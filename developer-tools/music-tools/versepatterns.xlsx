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30675" windowHeight="1566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X97" i="1" l="1"/>
  <c r="W97" i="1"/>
  <c r="V97" i="1"/>
  <c r="U97" i="1"/>
  <c r="T97" i="1"/>
  <c r="S97" i="1"/>
  <c r="R97" i="1"/>
  <c r="Q97" i="1"/>
  <c r="P97" i="1"/>
  <c r="X96" i="1"/>
  <c r="W96" i="1"/>
  <c r="V96" i="1"/>
  <c r="U96" i="1"/>
  <c r="T96" i="1"/>
  <c r="S96" i="1"/>
  <c r="R96" i="1"/>
  <c r="Q96" i="1"/>
  <c r="P96" i="1"/>
  <c r="W113" i="1"/>
  <c r="V113" i="1"/>
  <c r="U113" i="1"/>
  <c r="T113" i="1"/>
  <c r="S113" i="1"/>
  <c r="R113" i="1"/>
  <c r="Q113" i="1"/>
  <c r="P113" i="1"/>
  <c r="W103" i="1"/>
  <c r="V103" i="1"/>
  <c r="U103" i="1"/>
  <c r="T103" i="1"/>
  <c r="S103" i="1"/>
  <c r="R103" i="1"/>
  <c r="Q103" i="1"/>
  <c r="P103" i="1"/>
  <c r="O113" i="1"/>
  <c r="O103" i="1"/>
  <c r="F75" i="1"/>
  <c r="E75" i="1"/>
  <c r="D227" i="1"/>
  <c r="C227" i="1"/>
  <c r="K75" i="1" s="1"/>
  <c r="J74" i="1"/>
  <c r="F74" i="1"/>
  <c r="E74" i="1"/>
  <c r="D173" i="1"/>
  <c r="C173" i="1"/>
  <c r="K74" i="1" s="1"/>
  <c r="C15" i="1"/>
  <c r="I73" i="1" s="1"/>
  <c r="J72" i="1"/>
  <c r="I72" i="1"/>
  <c r="F72" i="1"/>
  <c r="E72" i="1"/>
  <c r="C69" i="1"/>
  <c r="H72" i="1" s="1"/>
  <c r="K72" i="1" l="1"/>
  <c r="G74" i="1"/>
  <c r="J73" i="1"/>
  <c r="H74" i="1"/>
  <c r="L74" i="1" s="1"/>
  <c r="G75" i="1"/>
  <c r="L75" i="1" s="1"/>
  <c r="L72" i="1"/>
  <c r="K73" i="1"/>
  <c r="I74" i="1"/>
  <c r="H75" i="1"/>
  <c r="I75" i="1"/>
  <c r="G72" i="1"/>
  <c r="J75" i="1"/>
  <c r="E73" i="1"/>
  <c r="L73" i="1" s="1"/>
  <c r="F73" i="1"/>
  <c r="G73" i="1"/>
  <c r="H73" i="1"/>
</calcChain>
</file>

<file path=xl/sharedStrings.xml><?xml version="1.0" encoding="utf-8"?>
<sst xmlns="http://schemas.openxmlformats.org/spreadsheetml/2006/main" count="148" uniqueCount="18">
  <si>
    <t>e</t>
  </si>
  <si>
    <t>c</t>
  </si>
  <si>
    <t>d</t>
  </si>
  <si>
    <t>f</t>
  </si>
  <si>
    <t>g</t>
  </si>
  <si>
    <t>A</t>
  </si>
  <si>
    <t>B</t>
  </si>
  <si>
    <t>C</t>
  </si>
  <si>
    <t>f#</t>
  </si>
  <si>
    <t>PSALMS</t>
  </si>
  <si>
    <t>Korah</t>
  </si>
  <si>
    <t>ASAPH</t>
  </si>
  <si>
    <t>KORAH</t>
  </si>
  <si>
    <t>DAVID</t>
  </si>
  <si>
    <t>OTHER</t>
  </si>
  <si>
    <t>RUTH</t>
  </si>
  <si>
    <t>SONG</t>
  </si>
  <si>
    <t>g#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</si>
</sst>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100"/>
      <c:rotY val="50"/>
      <c:depthPercent val="100"/>
      <c:rAngAx val="0"/>
      <c:perspective val="5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8099518810148729E-2"/>
          <c:y val="7.4548702245552642E-2"/>
          <c:w val="0.79204768153980754"/>
          <c:h val="0.8326195683872849"/>
        </c:manualLayout>
      </c:layout>
      <c:line3DChart>
        <c:grouping val="standard"/>
        <c:varyColors val="0"/>
        <c:ser>
          <c:idx val="0"/>
          <c:order val="0"/>
          <c:tx>
            <c:strRef>
              <c:f>Sheet1!$M$2</c:f>
              <c:strCache>
                <c:ptCount val="1"/>
                <c:pt idx="0">
                  <c:v>d</c:v>
                </c:pt>
              </c:strCache>
            </c:strRef>
          </c:tx>
          <c:cat>
            <c:numRef>
              <c:f>Sheet1!$B$3:$B$14</c:f>
              <c:numCache>
                <c:formatCode>General</c:formatCode>
                <c:ptCount val="12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84</c:v>
                </c:pt>
                <c:pt idx="9">
                  <c:v>85</c:v>
                </c:pt>
                <c:pt idx="10">
                  <c:v>87</c:v>
                </c:pt>
                <c:pt idx="11">
                  <c:v>88</c:v>
                </c:pt>
              </c:numCache>
            </c:numRef>
          </c:cat>
          <c:val>
            <c:numRef>
              <c:f>Sheet1!$M$3:$M$14</c:f>
              <c:numCache>
                <c:formatCode>General</c:formatCode>
                <c:ptCount val="12"/>
                <c:pt idx="0">
                  <c:v>3.52</c:v>
                </c:pt>
                <c:pt idx="1">
                  <c:v>4.83</c:v>
                </c:pt>
                <c:pt idx="2">
                  <c:v>1.21</c:v>
                </c:pt>
                <c:pt idx="3">
                  <c:v>0.51</c:v>
                </c:pt>
                <c:pt idx="4">
                  <c:v>0.86</c:v>
                </c:pt>
                <c:pt idx="5">
                  <c:v>1.73</c:v>
                </c:pt>
                <c:pt idx="6">
                  <c:v>1.1100000000000001</c:v>
                </c:pt>
                <c:pt idx="7">
                  <c:v>0</c:v>
                </c:pt>
                <c:pt idx="8">
                  <c:v>5.18</c:v>
                </c:pt>
                <c:pt idx="9">
                  <c:v>0.83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Sheet1!$N$2</c:f>
              <c:strCache>
                <c:ptCount val="1"/>
                <c:pt idx="0">
                  <c:v>e</c:v>
                </c:pt>
              </c:strCache>
            </c:strRef>
          </c:tx>
          <c:cat>
            <c:numRef>
              <c:f>Sheet1!$B$3:$B$14</c:f>
              <c:numCache>
                <c:formatCode>General</c:formatCode>
                <c:ptCount val="12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84</c:v>
                </c:pt>
                <c:pt idx="9">
                  <c:v>85</c:v>
                </c:pt>
                <c:pt idx="10">
                  <c:v>87</c:v>
                </c:pt>
                <c:pt idx="11">
                  <c:v>88</c:v>
                </c:pt>
              </c:numCache>
            </c:numRef>
          </c:cat>
          <c:val>
            <c:numRef>
              <c:f>Sheet1!$N$3:$N$14</c:f>
              <c:numCache>
                <c:formatCode>General</c:formatCode>
                <c:ptCount val="12"/>
                <c:pt idx="0">
                  <c:v>26.58</c:v>
                </c:pt>
                <c:pt idx="1">
                  <c:v>27.6</c:v>
                </c:pt>
                <c:pt idx="2">
                  <c:v>19.5</c:v>
                </c:pt>
                <c:pt idx="3">
                  <c:v>24.07</c:v>
                </c:pt>
                <c:pt idx="4">
                  <c:v>25.36</c:v>
                </c:pt>
                <c:pt idx="5">
                  <c:v>19.7</c:v>
                </c:pt>
                <c:pt idx="6">
                  <c:v>13.32</c:v>
                </c:pt>
                <c:pt idx="7">
                  <c:v>19.87</c:v>
                </c:pt>
                <c:pt idx="8">
                  <c:v>17.38</c:v>
                </c:pt>
                <c:pt idx="9">
                  <c:v>20.28</c:v>
                </c:pt>
                <c:pt idx="10">
                  <c:v>24.1</c:v>
                </c:pt>
                <c:pt idx="11">
                  <c:v>14.4</c:v>
                </c:pt>
              </c:numCache>
            </c:numRef>
          </c:val>
          <c:smooth val="0"/>
        </c:ser>
        <c:ser>
          <c:idx val="6"/>
          <c:order val="2"/>
          <c:tx>
            <c:strRef>
              <c:f>Sheet1!$S$2</c:f>
              <c:strCache>
                <c:ptCount val="1"/>
                <c:pt idx="0">
                  <c:v>C</c:v>
                </c:pt>
              </c:strCache>
            </c:strRef>
          </c:tx>
          <c:cat>
            <c:numRef>
              <c:f>Sheet1!$B$3:$B$14</c:f>
              <c:numCache>
                <c:formatCode>General</c:formatCode>
                <c:ptCount val="12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84</c:v>
                </c:pt>
                <c:pt idx="9">
                  <c:v>85</c:v>
                </c:pt>
                <c:pt idx="10">
                  <c:v>87</c:v>
                </c:pt>
                <c:pt idx="11">
                  <c:v>88</c:v>
                </c:pt>
              </c:numCache>
            </c:numRef>
          </c:cat>
          <c:val>
            <c:numRef>
              <c:f>Sheet1!$S$3:$S$14</c:f>
              <c:numCache>
                <c:formatCode>General</c:formatCode>
                <c:ptCount val="12"/>
                <c:pt idx="0">
                  <c:v>14.41</c:v>
                </c:pt>
                <c:pt idx="1">
                  <c:v>19.32</c:v>
                </c:pt>
                <c:pt idx="2">
                  <c:v>3.83</c:v>
                </c:pt>
                <c:pt idx="3">
                  <c:v>5.37</c:v>
                </c:pt>
                <c:pt idx="4">
                  <c:v>0</c:v>
                </c:pt>
                <c:pt idx="5">
                  <c:v>9.25</c:v>
                </c:pt>
                <c:pt idx="6">
                  <c:v>13.32</c:v>
                </c:pt>
                <c:pt idx="7">
                  <c:v>8.67</c:v>
                </c:pt>
                <c:pt idx="8">
                  <c:v>5.17</c:v>
                </c:pt>
                <c:pt idx="9">
                  <c:v>4.1500000000000004</c:v>
                </c:pt>
                <c:pt idx="10">
                  <c:v>2.58</c:v>
                </c:pt>
                <c:pt idx="11">
                  <c:v>3.72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00608"/>
        <c:axId val="152172736"/>
        <c:axId val="160864128"/>
      </c:line3DChart>
      <c:catAx>
        <c:axId val="1609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172736"/>
        <c:crosses val="autoZero"/>
        <c:auto val="1"/>
        <c:lblAlgn val="ctr"/>
        <c:lblOffset val="100"/>
        <c:noMultiLvlLbl val="0"/>
      </c:catAx>
      <c:valAx>
        <c:axId val="152172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900608"/>
        <c:crosses val="autoZero"/>
        <c:crossBetween val="between"/>
      </c:valAx>
      <c:serAx>
        <c:axId val="160864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52172736"/>
        <c:crosses val="autoZero"/>
      </c:serAx>
    </c:plotArea>
    <c:plotVisOnly val="1"/>
    <c:dispBlanksAs val="gap"/>
    <c:showDLblsOverMax val="0"/>
  </c:chart>
  <c:spPr>
    <a:scene3d>
      <a:camera prst="orthographicFront"/>
      <a:lightRig rig="threePt" dir="t"/>
    </a:scene3d>
    <a:sp3d>
      <a:bevelT prst="relaxedInset"/>
      <a:bevelB prst="relaxedInset"/>
    </a:sp3d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6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Sheet1!$O$2</c:f>
              <c:strCache>
                <c:ptCount val="1"/>
                <c:pt idx="0">
                  <c:v>f#</c:v>
                </c:pt>
              </c:strCache>
            </c:strRef>
          </c:tx>
          <c:cat>
            <c:numRef>
              <c:f>Sheet1!$B$3:$B$14</c:f>
              <c:numCache>
                <c:formatCode>General</c:formatCode>
                <c:ptCount val="12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84</c:v>
                </c:pt>
                <c:pt idx="9">
                  <c:v>85</c:v>
                </c:pt>
                <c:pt idx="10">
                  <c:v>87</c:v>
                </c:pt>
                <c:pt idx="11">
                  <c:v>88</c:v>
                </c:pt>
              </c:numCache>
            </c:numRef>
          </c:cat>
          <c:val>
            <c:numRef>
              <c:f>Sheet1!$O$3:$O$14</c:f>
              <c:numCache>
                <c:formatCode>General</c:formatCode>
                <c:ptCount val="12"/>
                <c:pt idx="0">
                  <c:v>27.55</c:v>
                </c:pt>
                <c:pt idx="1">
                  <c:v>21.39</c:v>
                </c:pt>
                <c:pt idx="2">
                  <c:v>18.809999999999999</c:v>
                </c:pt>
                <c:pt idx="3">
                  <c:v>16.600000000000001</c:v>
                </c:pt>
                <c:pt idx="4">
                  <c:v>22.33</c:v>
                </c:pt>
                <c:pt idx="5">
                  <c:v>19.079999999999998</c:v>
                </c:pt>
                <c:pt idx="6">
                  <c:v>19.61</c:v>
                </c:pt>
                <c:pt idx="7">
                  <c:v>12.31</c:v>
                </c:pt>
                <c:pt idx="8">
                  <c:v>22.9</c:v>
                </c:pt>
                <c:pt idx="9">
                  <c:v>13.67</c:v>
                </c:pt>
                <c:pt idx="10">
                  <c:v>13.8</c:v>
                </c:pt>
                <c:pt idx="11">
                  <c:v>18.04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Sheet1!$P$2</c:f>
              <c:strCache>
                <c:ptCount val="1"/>
                <c:pt idx="0">
                  <c:v>g</c:v>
                </c:pt>
              </c:strCache>
            </c:strRef>
          </c:tx>
          <c:cat>
            <c:numRef>
              <c:f>Sheet1!$B$3:$B$14</c:f>
              <c:numCache>
                <c:formatCode>General</c:formatCode>
                <c:ptCount val="12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84</c:v>
                </c:pt>
                <c:pt idx="9">
                  <c:v>85</c:v>
                </c:pt>
                <c:pt idx="10">
                  <c:v>87</c:v>
                </c:pt>
                <c:pt idx="11">
                  <c:v>88</c:v>
                </c:pt>
              </c:numCache>
            </c:numRef>
          </c:cat>
          <c:val>
            <c:numRef>
              <c:f>Sheet1!$P$3:$P$14</c:f>
              <c:numCache>
                <c:formatCode>General</c:formatCode>
                <c:ptCount val="12"/>
                <c:pt idx="0">
                  <c:v>8</c:v>
                </c:pt>
                <c:pt idx="1">
                  <c:v>7.59</c:v>
                </c:pt>
                <c:pt idx="2">
                  <c:v>19</c:v>
                </c:pt>
                <c:pt idx="3">
                  <c:v>20.18</c:v>
                </c:pt>
                <c:pt idx="4">
                  <c:v>18.059999999999999</c:v>
                </c:pt>
                <c:pt idx="5">
                  <c:v>20.22</c:v>
                </c:pt>
                <c:pt idx="6">
                  <c:v>17.39</c:v>
                </c:pt>
                <c:pt idx="7">
                  <c:v>22.4</c:v>
                </c:pt>
                <c:pt idx="8">
                  <c:v>15.53</c:v>
                </c:pt>
                <c:pt idx="9">
                  <c:v>15.74</c:v>
                </c:pt>
                <c:pt idx="10">
                  <c:v>25.02</c:v>
                </c:pt>
                <c:pt idx="11">
                  <c:v>13.29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Sheet1!$Q$2</c:f>
              <c:strCache>
                <c:ptCount val="1"/>
                <c:pt idx="0">
                  <c:v>A</c:v>
                </c:pt>
              </c:strCache>
            </c:strRef>
          </c:tx>
          <c:cat>
            <c:numRef>
              <c:f>Sheet1!$B$3:$B$14</c:f>
              <c:numCache>
                <c:formatCode>General</c:formatCode>
                <c:ptCount val="12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84</c:v>
                </c:pt>
                <c:pt idx="9">
                  <c:v>85</c:v>
                </c:pt>
                <c:pt idx="10">
                  <c:v>87</c:v>
                </c:pt>
                <c:pt idx="11">
                  <c:v>88</c:v>
                </c:pt>
              </c:numCache>
            </c:numRef>
          </c:cat>
          <c:val>
            <c:numRef>
              <c:f>Sheet1!$Q$3:$Q$14</c:f>
              <c:numCache>
                <c:formatCode>General</c:formatCode>
                <c:ptCount val="12"/>
                <c:pt idx="0">
                  <c:v>10.24</c:v>
                </c:pt>
                <c:pt idx="1">
                  <c:v>6.21</c:v>
                </c:pt>
                <c:pt idx="2">
                  <c:v>19.16</c:v>
                </c:pt>
                <c:pt idx="3">
                  <c:v>13.8</c:v>
                </c:pt>
                <c:pt idx="4">
                  <c:v>14.62</c:v>
                </c:pt>
                <c:pt idx="5">
                  <c:v>12.72</c:v>
                </c:pt>
                <c:pt idx="6">
                  <c:v>19.61</c:v>
                </c:pt>
                <c:pt idx="7">
                  <c:v>16.510000000000002</c:v>
                </c:pt>
                <c:pt idx="8">
                  <c:v>20.68</c:v>
                </c:pt>
                <c:pt idx="9">
                  <c:v>25.71</c:v>
                </c:pt>
                <c:pt idx="10">
                  <c:v>18.96</c:v>
                </c:pt>
                <c:pt idx="11">
                  <c:v>25.5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Sheet1!$R$2</c:f>
              <c:strCache>
                <c:ptCount val="1"/>
                <c:pt idx="0">
                  <c:v>B</c:v>
                </c:pt>
              </c:strCache>
            </c:strRef>
          </c:tx>
          <c:cat>
            <c:numRef>
              <c:f>Sheet1!$B$3:$B$14</c:f>
              <c:numCache>
                <c:formatCode>General</c:formatCode>
                <c:ptCount val="12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84</c:v>
                </c:pt>
                <c:pt idx="9">
                  <c:v>85</c:v>
                </c:pt>
                <c:pt idx="10">
                  <c:v>87</c:v>
                </c:pt>
                <c:pt idx="11">
                  <c:v>88</c:v>
                </c:pt>
              </c:numCache>
            </c:numRef>
          </c:cat>
          <c:val>
            <c:numRef>
              <c:f>Sheet1!$R$3:$R$14</c:f>
              <c:numCache>
                <c:formatCode>General</c:formatCode>
                <c:ptCount val="12"/>
                <c:pt idx="0">
                  <c:v>9.6</c:v>
                </c:pt>
                <c:pt idx="1">
                  <c:v>13.11</c:v>
                </c:pt>
                <c:pt idx="2">
                  <c:v>18.36</c:v>
                </c:pt>
                <c:pt idx="3">
                  <c:v>19.73</c:v>
                </c:pt>
                <c:pt idx="4">
                  <c:v>18.920000000000002</c:v>
                </c:pt>
                <c:pt idx="5">
                  <c:v>17.34</c:v>
                </c:pt>
                <c:pt idx="6">
                  <c:v>15.54</c:v>
                </c:pt>
                <c:pt idx="7">
                  <c:v>20.440000000000001</c:v>
                </c:pt>
                <c:pt idx="8">
                  <c:v>13.32</c:v>
                </c:pt>
                <c:pt idx="9">
                  <c:v>19.46</c:v>
                </c:pt>
                <c:pt idx="10">
                  <c:v>15.5</c:v>
                </c:pt>
                <c:pt idx="11">
                  <c:v>25.25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6544"/>
        <c:axId val="247361472"/>
        <c:axId val="47053312"/>
      </c:line3DChart>
      <c:catAx>
        <c:axId val="4631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7361472"/>
        <c:crosses val="autoZero"/>
        <c:auto val="1"/>
        <c:lblAlgn val="ctr"/>
        <c:lblOffset val="100"/>
        <c:noMultiLvlLbl val="0"/>
      </c:catAx>
      <c:valAx>
        <c:axId val="247361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16544"/>
        <c:crosses val="autoZero"/>
        <c:crossBetween val="between"/>
      </c:valAx>
      <c:serAx>
        <c:axId val="47053312"/>
        <c:scaling>
          <c:orientation val="minMax"/>
        </c:scaling>
        <c:delete val="0"/>
        <c:axPos val="b"/>
        <c:majorTickMark val="out"/>
        <c:minorTickMark val="none"/>
        <c:tickLblPos val="nextTo"/>
        <c:crossAx val="247361472"/>
        <c:crosses val="autoZero"/>
      </c:ser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4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Sheet1!$M$56</c:f>
              <c:strCache>
                <c:ptCount val="1"/>
                <c:pt idx="0">
                  <c:v>d</c:v>
                </c:pt>
              </c:strCache>
            </c:strRef>
          </c:tx>
          <c:cat>
            <c:numRef>
              <c:f>Sheet1!$B$57:$B$68</c:f>
              <c:numCache>
                <c:formatCode>General</c:formatCode>
                <c:ptCount val="12"/>
                <c:pt idx="0">
                  <c:v>50</c:v>
                </c:pt>
                <c:pt idx="1">
                  <c:v>73</c:v>
                </c:pt>
                <c:pt idx="2">
                  <c:v>74</c:v>
                </c:pt>
                <c:pt idx="3">
                  <c:v>75</c:v>
                </c:pt>
                <c:pt idx="4">
                  <c:v>76</c:v>
                </c:pt>
                <c:pt idx="5">
                  <c:v>77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</c:numCache>
            </c:numRef>
          </c:cat>
          <c:val>
            <c:numRef>
              <c:f>Sheet1!$M$57:$M$68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1.43</c:v>
                </c:pt>
                <c:pt idx="4">
                  <c:v>0.45</c:v>
                </c:pt>
                <c:pt idx="5">
                  <c:v>0.51</c:v>
                </c:pt>
                <c:pt idx="6">
                  <c:v>0.37</c:v>
                </c:pt>
                <c:pt idx="7">
                  <c:v>2.93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Sheet1!$N$56</c:f>
              <c:strCache>
                <c:ptCount val="1"/>
                <c:pt idx="0">
                  <c:v>e</c:v>
                </c:pt>
              </c:strCache>
            </c:strRef>
          </c:tx>
          <c:cat>
            <c:numRef>
              <c:f>Sheet1!$B$57:$B$68</c:f>
              <c:numCache>
                <c:formatCode>General</c:formatCode>
                <c:ptCount val="12"/>
                <c:pt idx="0">
                  <c:v>50</c:v>
                </c:pt>
                <c:pt idx="1">
                  <c:v>73</c:v>
                </c:pt>
                <c:pt idx="2">
                  <c:v>74</c:v>
                </c:pt>
                <c:pt idx="3">
                  <c:v>75</c:v>
                </c:pt>
                <c:pt idx="4">
                  <c:v>76</c:v>
                </c:pt>
                <c:pt idx="5">
                  <c:v>77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</c:numCache>
            </c:numRef>
          </c:cat>
          <c:val>
            <c:numRef>
              <c:f>Sheet1!$N$57:$N$68</c:f>
              <c:numCache>
                <c:formatCode>General</c:formatCode>
                <c:ptCount val="12"/>
                <c:pt idx="0">
                  <c:v>20.010000000000002</c:v>
                </c:pt>
                <c:pt idx="1">
                  <c:v>17.690000000000001</c:v>
                </c:pt>
                <c:pt idx="2">
                  <c:v>17.149999999999999</c:v>
                </c:pt>
                <c:pt idx="3">
                  <c:v>19.55</c:v>
                </c:pt>
                <c:pt idx="4">
                  <c:v>18.899999999999999</c:v>
                </c:pt>
                <c:pt idx="5">
                  <c:v>19.760000000000002</c:v>
                </c:pt>
                <c:pt idx="6">
                  <c:v>19.649999999999999</c:v>
                </c:pt>
                <c:pt idx="7">
                  <c:v>23.17</c:v>
                </c:pt>
                <c:pt idx="8">
                  <c:v>17.940000000000001</c:v>
                </c:pt>
                <c:pt idx="9">
                  <c:v>19.07</c:v>
                </c:pt>
                <c:pt idx="10">
                  <c:v>22.4</c:v>
                </c:pt>
                <c:pt idx="11">
                  <c:v>21.42</c:v>
                </c:pt>
              </c:numCache>
            </c:numRef>
          </c:val>
          <c:smooth val="0"/>
        </c:ser>
        <c:ser>
          <c:idx val="6"/>
          <c:order val="2"/>
          <c:tx>
            <c:strRef>
              <c:f>Sheet1!$S$56</c:f>
              <c:strCache>
                <c:ptCount val="1"/>
                <c:pt idx="0">
                  <c:v>C</c:v>
                </c:pt>
              </c:strCache>
            </c:strRef>
          </c:tx>
          <c:cat>
            <c:numRef>
              <c:f>Sheet1!$B$57:$B$68</c:f>
              <c:numCache>
                <c:formatCode>General</c:formatCode>
                <c:ptCount val="12"/>
                <c:pt idx="0">
                  <c:v>50</c:v>
                </c:pt>
                <c:pt idx="1">
                  <c:v>73</c:v>
                </c:pt>
                <c:pt idx="2">
                  <c:v>74</c:v>
                </c:pt>
                <c:pt idx="3">
                  <c:v>75</c:v>
                </c:pt>
                <c:pt idx="4">
                  <c:v>76</c:v>
                </c:pt>
                <c:pt idx="5">
                  <c:v>77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</c:numCache>
            </c:numRef>
          </c:cat>
          <c:val>
            <c:numRef>
              <c:f>Sheet1!$S$57:$S$68</c:f>
              <c:numCache>
                <c:formatCode>General</c:formatCode>
                <c:ptCount val="12"/>
                <c:pt idx="0">
                  <c:v>7.33</c:v>
                </c:pt>
                <c:pt idx="1">
                  <c:v>4.0199999999999996</c:v>
                </c:pt>
                <c:pt idx="2">
                  <c:v>4.33</c:v>
                </c:pt>
                <c:pt idx="3">
                  <c:v>4.76</c:v>
                </c:pt>
                <c:pt idx="4">
                  <c:v>0.45</c:v>
                </c:pt>
                <c:pt idx="5">
                  <c:v>5.88</c:v>
                </c:pt>
                <c:pt idx="6">
                  <c:v>4.8</c:v>
                </c:pt>
                <c:pt idx="7">
                  <c:v>13.19</c:v>
                </c:pt>
                <c:pt idx="8">
                  <c:v>6.34</c:v>
                </c:pt>
                <c:pt idx="9">
                  <c:v>4.1900000000000004</c:v>
                </c:pt>
                <c:pt idx="10">
                  <c:v>2.8</c:v>
                </c:pt>
                <c:pt idx="11">
                  <c:v>1.28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99072"/>
        <c:axId val="48928384"/>
        <c:axId val="153274880"/>
      </c:line3DChart>
      <c:catAx>
        <c:axId val="160899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928384"/>
        <c:crosses val="autoZero"/>
        <c:auto val="1"/>
        <c:lblAlgn val="ctr"/>
        <c:lblOffset val="100"/>
        <c:noMultiLvlLbl val="0"/>
      </c:catAx>
      <c:valAx>
        <c:axId val="48928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899072"/>
        <c:crosses val="autoZero"/>
        <c:crossBetween val="between"/>
      </c:valAx>
      <c:serAx>
        <c:axId val="153274880"/>
        <c:scaling>
          <c:orientation val="minMax"/>
        </c:scaling>
        <c:delete val="0"/>
        <c:axPos val="b"/>
        <c:majorTickMark val="out"/>
        <c:minorTickMark val="none"/>
        <c:tickLblPos val="nextTo"/>
        <c:crossAx val="48928384"/>
        <c:crosses val="autoZero"/>
      </c:ser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4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Sheet1!$O$56</c:f>
              <c:strCache>
                <c:ptCount val="1"/>
                <c:pt idx="0">
                  <c:v>f#</c:v>
                </c:pt>
              </c:strCache>
            </c:strRef>
          </c:tx>
          <c:cat>
            <c:numRef>
              <c:f>Sheet1!$B$57:$B$68</c:f>
              <c:numCache>
                <c:formatCode>General</c:formatCode>
                <c:ptCount val="12"/>
                <c:pt idx="0">
                  <c:v>50</c:v>
                </c:pt>
                <c:pt idx="1">
                  <c:v>73</c:v>
                </c:pt>
                <c:pt idx="2">
                  <c:v>74</c:v>
                </c:pt>
                <c:pt idx="3">
                  <c:v>75</c:v>
                </c:pt>
                <c:pt idx="4">
                  <c:v>76</c:v>
                </c:pt>
                <c:pt idx="5">
                  <c:v>77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</c:numCache>
            </c:numRef>
          </c:cat>
          <c:val>
            <c:numRef>
              <c:f>Sheet1!$O$57:$O$68</c:f>
              <c:numCache>
                <c:formatCode>General</c:formatCode>
                <c:ptCount val="12"/>
                <c:pt idx="0">
                  <c:v>13.55</c:v>
                </c:pt>
                <c:pt idx="1">
                  <c:v>20.97</c:v>
                </c:pt>
                <c:pt idx="2">
                  <c:v>25.54</c:v>
                </c:pt>
                <c:pt idx="3">
                  <c:v>16.170000000000002</c:v>
                </c:pt>
                <c:pt idx="4">
                  <c:v>16.649999999999999</c:v>
                </c:pt>
                <c:pt idx="5">
                  <c:v>18.399999999999999</c:v>
                </c:pt>
                <c:pt idx="6">
                  <c:v>17.079999999999998</c:v>
                </c:pt>
                <c:pt idx="7">
                  <c:v>22.88</c:v>
                </c:pt>
                <c:pt idx="8">
                  <c:v>19.05</c:v>
                </c:pt>
                <c:pt idx="9">
                  <c:v>11.63</c:v>
                </c:pt>
                <c:pt idx="10">
                  <c:v>27.99</c:v>
                </c:pt>
                <c:pt idx="11">
                  <c:v>18.8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Sheet1!$P$56</c:f>
              <c:strCache>
                <c:ptCount val="1"/>
                <c:pt idx="0">
                  <c:v>g</c:v>
                </c:pt>
              </c:strCache>
            </c:strRef>
          </c:tx>
          <c:cat>
            <c:numRef>
              <c:f>Sheet1!$B$57:$B$68</c:f>
              <c:numCache>
                <c:formatCode>General</c:formatCode>
                <c:ptCount val="12"/>
                <c:pt idx="0">
                  <c:v>50</c:v>
                </c:pt>
                <c:pt idx="1">
                  <c:v>73</c:v>
                </c:pt>
                <c:pt idx="2">
                  <c:v>74</c:v>
                </c:pt>
                <c:pt idx="3">
                  <c:v>75</c:v>
                </c:pt>
                <c:pt idx="4">
                  <c:v>76</c:v>
                </c:pt>
                <c:pt idx="5">
                  <c:v>77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</c:numCache>
            </c:numRef>
          </c:cat>
          <c:val>
            <c:numRef>
              <c:f>Sheet1!$P$57:$P$68</c:f>
              <c:numCache>
                <c:formatCode>General</c:formatCode>
                <c:ptCount val="12"/>
                <c:pt idx="0">
                  <c:v>17.48</c:v>
                </c:pt>
                <c:pt idx="1">
                  <c:v>14.43</c:v>
                </c:pt>
                <c:pt idx="2">
                  <c:v>20.16</c:v>
                </c:pt>
                <c:pt idx="3">
                  <c:v>16.649999999999999</c:v>
                </c:pt>
                <c:pt idx="4">
                  <c:v>18.45</c:v>
                </c:pt>
                <c:pt idx="5">
                  <c:v>12.78</c:v>
                </c:pt>
                <c:pt idx="6">
                  <c:v>16.010000000000002</c:v>
                </c:pt>
                <c:pt idx="7">
                  <c:v>10.85</c:v>
                </c:pt>
                <c:pt idx="8">
                  <c:v>9.7799999999999994</c:v>
                </c:pt>
                <c:pt idx="9">
                  <c:v>21.64</c:v>
                </c:pt>
                <c:pt idx="10">
                  <c:v>18.899999999999999</c:v>
                </c:pt>
                <c:pt idx="11">
                  <c:v>19.75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Sheet1!$Q$56</c:f>
              <c:strCache>
                <c:ptCount val="1"/>
                <c:pt idx="0">
                  <c:v>A</c:v>
                </c:pt>
              </c:strCache>
            </c:strRef>
          </c:tx>
          <c:cat>
            <c:numRef>
              <c:f>Sheet1!$B$57:$B$68</c:f>
              <c:numCache>
                <c:formatCode>General</c:formatCode>
                <c:ptCount val="12"/>
                <c:pt idx="0">
                  <c:v>50</c:v>
                </c:pt>
                <c:pt idx="1">
                  <c:v>73</c:v>
                </c:pt>
                <c:pt idx="2">
                  <c:v>74</c:v>
                </c:pt>
                <c:pt idx="3">
                  <c:v>75</c:v>
                </c:pt>
                <c:pt idx="4">
                  <c:v>76</c:v>
                </c:pt>
                <c:pt idx="5">
                  <c:v>77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</c:numCache>
            </c:numRef>
          </c:cat>
          <c:val>
            <c:numRef>
              <c:f>Sheet1!$Q$57:$Q$68</c:f>
              <c:numCache>
                <c:formatCode>General</c:formatCode>
                <c:ptCount val="12"/>
                <c:pt idx="0">
                  <c:v>21.82</c:v>
                </c:pt>
                <c:pt idx="1">
                  <c:v>26.44</c:v>
                </c:pt>
                <c:pt idx="2">
                  <c:v>15.58</c:v>
                </c:pt>
                <c:pt idx="3">
                  <c:v>25.71</c:v>
                </c:pt>
                <c:pt idx="4">
                  <c:v>17.55</c:v>
                </c:pt>
                <c:pt idx="5">
                  <c:v>19.440000000000001</c:v>
                </c:pt>
                <c:pt idx="6">
                  <c:v>24.41</c:v>
                </c:pt>
                <c:pt idx="7">
                  <c:v>11.15</c:v>
                </c:pt>
                <c:pt idx="8">
                  <c:v>24.86</c:v>
                </c:pt>
                <c:pt idx="9">
                  <c:v>23.57</c:v>
                </c:pt>
                <c:pt idx="10">
                  <c:v>15.4</c:v>
                </c:pt>
                <c:pt idx="11">
                  <c:v>21.98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Sheet1!$R$56</c:f>
              <c:strCache>
                <c:ptCount val="1"/>
                <c:pt idx="0">
                  <c:v>B</c:v>
                </c:pt>
              </c:strCache>
            </c:strRef>
          </c:tx>
          <c:cat>
            <c:numRef>
              <c:f>Sheet1!$B$57:$B$68</c:f>
              <c:numCache>
                <c:formatCode>General</c:formatCode>
                <c:ptCount val="12"/>
                <c:pt idx="0">
                  <c:v>50</c:v>
                </c:pt>
                <c:pt idx="1">
                  <c:v>73</c:v>
                </c:pt>
                <c:pt idx="2">
                  <c:v>74</c:v>
                </c:pt>
                <c:pt idx="3">
                  <c:v>75</c:v>
                </c:pt>
                <c:pt idx="4">
                  <c:v>76</c:v>
                </c:pt>
                <c:pt idx="5">
                  <c:v>77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</c:numCache>
            </c:numRef>
          </c:cat>
          <c:val>
            <c:numRef>
              <c:f>Sheet1!$R$57:$R$68</c:f>
              <c:numCache>
                <c:formatCode>General</c:formatCode>
                <c:ptCount val="12"/>
                <c:pt idx="0">
                  <c:v>20.010000000000002</c:v>
                </c:pt>
                <c:pt idx="1">
                  <c:v>16.34</c:v>
                </c:pt>
                <c:pt idx="2">
                  <c:v>17.329999999999998</c:v>
                </c:pt>
                <c:pt idx="3">
                  <c:v>15.71</c:v>
                </c:pt>
                <c:pt idx="4">
                  <c:v>27.45</c:v>
                </c:pt>
                <c:pt idx="5">
                  <c:v>23.29</c:v>
                </c:pt>
                <c:pt idx="6">
                  <c:v>17.71</c:v>
                </c:pt>
                <c:pt idx="7">
                  <c:v>15.85</c:v>
                </c:pt>
                <c:pt idx="8">
                  <c:v>21.96</c:v>
                </c:pt>
                <c:pt idx="9">
                  <c:v>20.04</c:v>
                </c:pt>
                <c:pt idx="10">
                  <c:v>12.6</c:v>
                </c:pt>
                <c:pt idx="11">
                  <c:v>16.93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39136"/>
        <c:axId val="48747584"/>
        <c:axId val="232607744"/>
      </c:line3DChart>
      <c:catAx>
        <c:axId val="14933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747584"/>
        <c:crosses val="autoZero"/>
        <c:auto val="1"/>
        <c:lblAlgn val="ctr"/>
        <c:lblOffset val="100"/>
        <c:noMultiLvlLbl val="0"/>
      </c:catAx>
      <c:valAx>
        <c:axId val="48747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39136"/>
        <c:crosses val="autoZero"/>
        <c:crossBetween val="between"/>
      </c:valAx>
      <c:serAx>
        <c:axId val="232607744"/>
        <c:scaling>
          <c:orientation val="minMax"/>
        </c:scaling>
        <c:delete val="0"/>
        <c:axPos val="b"/>
        <c:majorTickMark val="out"/>
        <c:minorTickMark val="none"/>
        <c:tickLblPos val="nextTo"/>
        <c:crossAx val="48747584"/>
        <c:crosses val="autoZero"/>
      </c:ser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Sheet1!$D$72</c:f>
              <c:strCache>
                <c:ptCount val="1"/>
                <c:pt idx="0">
                  <c:v>ASAPH</c:v>
                </c:pt>
              </c:strCache>
            </c:strRef>
          </c:tx>
          <c:marker>
            <c:symbol val="none"/>
          </c:marker>
          <c:cat>
            <c:strRef>
              <c:f>Sheet1!$E$71:$K$71</c:f>
              <c:strCache>
                <c:ptCount val="7"/>
                <c:pt idx="0">
                  <c:v>d</c:v>
                </c:pt>
                <c:pt idx="1">
                  <c:v>e</c:v>
                </c:pt>
                <c:pt idx="2">
                  <c:v>f#</c:v>
                </c:pt>
                <c:pt idx="3">
                  <c:v>g</c:v>
                </c:pt>
                <c:pt idx="4">
                  <c:v>A</c:v>
                </c:pt>
                <c:pt idx="5">
                  <c:v>B</c:v>
                </c:pt>
                <c:pt idx="6">
                  <c:v>C</c:v>
                </c:pt>
              </c:strCache>
            </c:strRef>
          </c:cat>
          <c:val>
            <c:numRef>
              <c:f>Sheet1!$E$72:$K$72</c:f>
              <c:numCache>
                <c:formatCode>0.00</c:formatCode>
                <c:ptCount val="7"/>
                <c:pt idx="0">
                  <c:v>0.41724617524339358</c:v>
                </c:pt>
                <c:pt idx="1">
                  <c:v>19.531094774488377</c:v>
                </c:pt>
                <c:pt idx="2">
                  <c:v>18.577389231074907</c:v>
                </c:pt>
                <c:pt idx="3">
                  <c:v>16.073912179614545</c:v>
                </c:pt>
                <c:pt idx="4">
                  <c:v>21.597456785217563</c:v>
                </c:pt>
                <c:pt idx="5">
                  <c:v>18.636995827538247</c:v>
                </c:pt>
                <c:pt idx="6">
                  <c:v>5.1659050268229683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Sheet1!$D$73</c:f>
              <c:strCache>
                <c:ptCount val="1"/>
                <c:pt idx="0">
                  <c:v>KORAH</c:v>
                </c:pt>
              </c:strCache>
            </c:strRef>
          </c:tx>
          <c:marker>
            <c:symbol val="none"/>
          </c:marker>
          <c:cat>
            <c:strRef>
              <c:f>Sheet1!$E$71:$K$71</c:f>
              <c:strCache>
                <c:ptCount val="7"/>
                <c:pt idx="0">
                  <c:v>d</c:v>
                </c:pt>
                <c:pt idx="1">
                  <c:v>e</c:v>
                </c:pt>
                <c:pt idx="2">
                  <c:v>f#</c:v>
                </c:pt>
                <c:pt idx="3">
                  <c:v>g</c:v>
                </c:pt>
                <c:pt idx="4">
                  <c:v>A</c:v>
                </c:pt>
                <c:pt idx="5">
                  <c:v>B</c:v>
                </c:pt>
                <c:pt idx="6">
                  <c:v>C</c:v>
                </c:pt>
              </c:strCache>
            </c:strRef>
          </c:cat>
          <c:val>
            <c:numRef>
              <c:f>Sheet1!$E$73:$K$73</c:f>
              <c:numCache>
                <c:formatCode>0.00</c:formatCode>
                <c:ptCount val="7"/>
                <c:pt idx="0">
                  <c:v>1.4779781259237363</c:v>
                </c:pt>
                <c:pt idx="1">
                  <c:v>20.455217262784512</c:v>
                </c:pt>
                <c:pt idx="2">
                  <c:v>18.799881761749926</c:v>
                </c:pt>
                <c:pt idx="3">
                  <c:v>16.908069760567543</c:v>
                </c:pt>
                <c:pt idx="4">
                  <c:v>17.558380135973987</c:v>
                </c:pt>
                <c:pt idx="5">
                  <c:v>17.794856636121786</c:v>
                </c:pt>
                <c:pt idx="6">
                  <c:v>7.0056163168785099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Sheet1!$D$74</c:f>
              <c:strCache>
                <c:ptCount val="1"/>
                <c:pt idx="0">
                  <c:v>DAVID</c:v>
                </c:pt>
              </c:strCache>
            </c:strRef>
          </c:tx>
          <c:marker>
            <c:symbol val="none"/>
          </c:marker>
          <c:val>
            <c:numRef>
              <c:f>Sheet1!$E$74:$K$74</c:f>
              <c:numCache>
                <c:formatCode>0.00</c:formatCode>
                <c:ptCount val="7"/>
                <c:pt idx="0">
                  <c:v>1.8513501309491556</c:v>
                </c:pt>
                <c:pt idx="1">
                  <c:v>20.270026189831121</c:v>
                </c:pt>
                <c:pt idx="2">
                  <c:v>21.696920437099251</c:v>
                </c:pt>
                <c:pt idx="3">
                  <c:v>14.27797344892983</c:v>
                </c:pt>
                <c:pt idx="4">
                  <c:v>18.463830940124627</c:v>
                </c:pt>
                <c:pt idx="5">
                  <c:v>16.955657906619706</c:v>
                </c:pt>
                <c:pt idx="6">
                  <c:v>6.4842409464463104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Sheet1!$D$75</c:f>
              <c:strCache>
                <c:ptCount val="1"/>
                <c:pt idx="0">
                  <c:v>OTHER</c:v>
                </c:pt>
              </c:strCache>
            </c:strRef>
          </c:tx>
          <c:marker>
            <c:symbol val="none"/>
          </c:marker>
          <c:val>
            <c:numRef>
              <c:f>Sheet1!$E$75:$K$75</c:f>
              <c:numCache>
                <c:formatCode>0.00</c:formatCode>
                <c:ptCount val="7"/>
                <c:pt idx="0">
                  <c:v>0.8073817762399077</c:v>
                </c:pt>
                <c:pt idx="1">
                  <c:v>19.463667820069205</c:v>
                </c:pt>
                <c:pt idx="2">
                  <c:v>17.866205305651672</c:v>
                </c:pt>
                <c:pt idx="3">
                  <c:v>16.620530565167243</c:v>
                </c:pt>
                <c:pt idx="4">
                  <c:v>21.764705882352942</c:v>
                </c:pt>
                <c:pt idx="5">
                  <c:v>18.673587081891579</c:v>
                </c:pt>
                <c:pt idx="6">
                  <c:v>4.8039215686274508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02656"/>
        <c:axId val="248908608"/>
      </c:lineChart>
      <c:catAx>
        <c:axId val="160902656"/>
        <c:scaling>
          <c:orientation val="minMax"/>
        </c:scaling>
        <c:delete val="0"/>
        <c:axPos val="b"/>
        <c:majorTickMark val="out"/>
        <c:minorTickMark val="none"/>
        <c:tickLblPos val="nextTo"/>
        <c:crossAx val="248908608"/>
        <c:crosses val="autoZero"/>
        <c:auto val="1"/>
        <c:lblAlgn val="ctr"/>
        <c:lblOffset val="100"/>
        <c:noMultiLvlLbl val="0"/>
      </c:catAx>
      <c:valAx>
        <c:axId val="2489086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60902656"/>
        <c:crosses val="autoZero"/>
        <c:crossBetween val="between"/>
      </c:valAx>
    </c:plotArea>
    <c:legend>
      <c:legendPos val="l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Sheet1!$O$96</c:f>
              <c:strCache>
                <c:ptCount val="1"/>
                <c:pt idx="0">
                  <c:v>RUTH</c:v>
                </c:pt>
              </c:strCache>
            </c:strRef>
          </c:tx>
          <c:marker>
            <c:symbol val="none"/>
          </c:marker>
          <c:cat>
            <c:strRef>
              <c:f>Sheet1!$P$95:$W$95</c:f>
              <c:strCache>
                <c:ptCount val="8"/>
                <c:pt idx="0">
                  <c:v>c</c:v>
                </c:pt>
                <c:pt idx="1">
                  <c:v>d</c:v>
                </c:pt>
                <c:pt idx="2">
                  <c:v>e</c:v>
                </c:pt>
                <c:pt idx="3">
                  <c:v>f</c:v>
                </c:pt>
                <c:pt idx="4">
                  <c:v>g#</c:v>
                </c:pt>
                <c:pt idx="5">
                  <c:v>A</c:v>
                </c:pt>
                <c:pt idx="6">
                  <c:v>B</c:v>
                </c:pt>
                <c:pt idx="7">
                  <c:v>C</c:v>
                </c:pt>
              </c:strCache>
            </c:strRef>
          </c:cat>
          <c:val>
            <c:numRef>
              <c:f>Sheet1!$P$96:$W$96</c:f>
              <c:numCache>
                <c:formatCode>0.00</c:formatCode>
                <c:ptCount val="8"/>
                <c:pt idx="0">
                  <c:v>1.6865079365079365</c:v>
                </c:pt>
                <c:pt idx="1">
                  <c:v>2.6785714285714284</c:v>
                </c:pt>
                <c:pt idx="2">
                  <c:v>18.617724867724867</c:v>
                </c:pt>
                <c:pt idx="3">
                  <c:v>12.301587301587302</c:v>
                </c:pt>
                <c:pt idx="4">
                  <c:v>14.847883597883598</c:v>
                </c:pt>
                <c:pt idx="5">
                  <c:v>10.449735449735449</c:v>
                </c:pt>
                <c:pt idx="6">
                  <c:v>24.140211640211639</c:v>
                </c:pt>
                <c:pt idx="7">
                  <c:v>15.277777777777779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Sheet1!$O$97</c:f>
              <c:strCache>
                <c:ptCount val="1"/>
                <c:pt idx="0">
                  <c:v>SONG</c:v>
                </c:pt>
              </c:strCache>
            </c:strRef>
          </c:tx>
          <c:marker>
            <c:symbol val="none"/>
          </c:marker>
          <c:cat>
            <c:strRef>
              <c:f>Sheet1!$P$95:$W$95</c:f>
              <c:strCache>
                <c:ptCount val="8"/>
                <c:pt idx="0">
                  <c:v>c</c:v>
                </c:pt>
                <c:pt idx="1">
                  <c:v>d</c:v>
                </c:pt>
                <c:pt idx="2">
                  <c:v>e</c:v>
                </c:pt>
                <c:pt idx="3">
                  <c:v>f</c:v>
                </c:pt>
                <c:pt idx="4">
                  <c:v>g#</c:v>
                </c:pt>
                <c:pt idx="5">
                  <c:v>A</c:v>
                </c:pt>
                <c:pt idx="6">
                  <c:v>B</c:v>
                </c:pt>
                <c:pt idx="7">
                  <c:v>C</c:v>
                </c:pt>
              </c:strCache>
            </c:strRef>
          </c:cat>
          <c:val>
            <c:numRef>
              <c:f>Sheet1!$P$97:$W$97</c:f>
              <c:numCache>
                <c:formatCode>0.00</c:formatCode>
                <c:ptCount val="8"/>
                <c:pt idx="0">
                  <c:v>0.55158987670343929</c:v>
                </c:pt>
                <c:pt idx="1">
                  <c:v>1.9143413367942894</c:v>
                </c:pt>
                <c:pt idx="2">
                  <c:v>19.759896171317326</c:v>
                </c:pt>
                <c:pt idx="3">
                  <c:v>11.161583387410772</c:v>
                </c:pt>
                <c:pt idx="4">
                  <c:v>18.526930564568463</c:v>
                </c:pt>
                <c:pt idx="5">
                  <c:v>9.961064243997404</c:v>
                </c:pt>
                <c:pt idx="6">
                  <c:v>23.750811161583389</c:v>
                </c:pt>
                <c:pt idx="7">
                  <c:v>14.373783257624918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455296"/>
        <c:axId val="48889856"/>
      </c:lineChart>
      <c:catAx>
        <c:axId val="150455296"/>
        <c:scaling>
          <c:orientation val="minMax"/>
        </c:scaling>
        <c:delete val="0"/>
        <c:axPos val="b"/>
        <c:majorTickMark val="out"/>
        <c:minorTickMark val="none"/>
        <c:tickLblPos val="nextTo"/>
        <c:crossAx val="48889856"/>
        <c:crosses val="autoZero"/>
        <c:auto val="1"/>
        <c:lblAlgn val="ctr"/>
        <c:lblOffset val="100"/>
        <c:noMultiLvlLbl val="0"/>
      </c:catAx>
      <c:valAx>
        <c:axId val="488898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045529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14</xdr:row>
      <xdr:rowOff>171450</xdr:rowOff>
    </xdr:from>
    <xdr:to>
      <xdr:col>8</xdr:col>
      <xdr:colOff>381000</xdr:colOff>
      <xdr:row>34</xdr:row>
      <xdr:rowOff>57149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514350</xdr:colOff>
      <xdr:row>15</xdr:row>
      <xdr:rowOff>9526</xdr:rowOff>
    </xdr:from>
    <xdr:to>
      <xdr:col>16</xdr:col>
      <xdr:colOff>238125</xdr:colOff>
      <xdr:row>34</xdr:row>
      <xdr:rowOff>28576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419101</xdr:colOff>
      <xdr:row>34</xdr:row>
      <xdr:rowOff>114300</xdr:rowOff>
    </xdr:from>
    <xdr:to>
      <xdr:col>8</xdr:col>
      <xdr:colOff>371476</xdr:colOff>
      <xdr:row>56</xdr:row>
      <xdr:rowOff>19049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533400</xdr:colOff>
      <xdr:row>34</xdr:row>
      <xdr:rowOff>42862</xdr:rowOff>
    </xdr:from>
    <xdr:to>
      <xdr:col>16</xdr:col>
      <xdr:colOff>228600</xdr:colOff>
      <xdr:row>55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238125</xdr:colOff>
      <xdr:row>76</xdr:row>
      <xdr:rowOff>109537</xdr:rowOff>
    </xdr:from>
    <xdr:to>
      <xdr:col>11</xdr:col>
      <xdr:colOff>542925</xdr:colOff>
      <xdr:row>90</xdr:row>
      <xdr:rowOff>185737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419100</xdr:colOff>
      <xdr:row>77</xdr:row>
      <xdr:rowOff>80962</xdr:rowOff>
    </xdr:from>
    <xdr:to>
      <xdr:col>22</xdr:col>
      <xdr:colOff>114300</xdr:colOff>
      <xdr:row>91</xdr:row>
      <xdr:rowOff>157162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227"/>
  <sheetViews>
    <sheetView tabSelected="1" topLeftCell="A70" workbookViewId="0">
      <selection activeCell="T96" sqref="T96"/>
    </sheetView>
  </sheetViews>
  <sheetFormatPr defaultRowHeight="15" x14ac:dyDescent="0.25"/>
  <cols>
    <col min="1" max="1" width="12.42578125" bestFit="1" customWidth="1"/>
    <col min="4" max="4" width="9.140625" customWidth="1"/>
    <col min="5" max="10" width="9.5703125" bestFit="1" customWidth="1"/>
    <col min="11" max="11" width="9.28515625" bestFit="1" customWidth="1"/>
  </cols>
  <sheetData>
    <row r="2" spans="1:19" x14ac:dyDescent="0.25">
      <c r="A2" t="s">
        <v>10</v>
      </c>
      <c r="L2" t="s">
        <v>1</v>
      </c>
      <c r="M2" t="s">
        <v>2</v>
      </c>
      <c r="N2" t="s">
        <v>0</v>
      </c>
      <c r="O2" t="s">
        <v>8</v>
      </c>
      <c r="P2" t="s">
        <v>4</v>
      </c>
      <c r="Q2" t="s">
        <v>5</v>
      </c>
      <c r="R2" t="s">
        <v>6</v>
      </c>
      <c r="S2" t="s">
        <v>7</v>
      </c>
    </row>
    <row r="3" spans="1:19" x14ac:dyDescent="0.25">
      <c r="A3" t="s">
        <v>9</v>
      </c>
      <c r="B3">
        <v>42</v>
      </c>
      <c r="C3">
        <v>312</v>
      </c>
      <c r="D3">
        <v>0</v>
      </c>
      <c r="E3">
        <v>11</v>
      </c>
      <c r="F3">
        <v>83</v>
      </c>
      <c r="G3">
        <v>86</v>
      </c>
      <c r="H3">
        <v>25</v>
      </c>
      <c r="I3">
        <v>32</v>
      </c>
      <c r="J3">
        <v>30</v>
      </c>
      <c r="K3">
        <v>45</v>
      </c>
      <c r="L3">
        <v>0</v>
      </c>
      <c r="M3">
        <v>3.52</v>
      </c>
      <c r="N3">
        <v>26.58</v>
      </c>
      <c r="O3">
        <v>27.55</v>
      </c>
      <c r="P3">
        <v>8</v>
      </c>
      <c r="Q3">
        <v>10.24</v>
      </c>
      <c r="R3">
        <v>9.6</v>
      </c>
      <c r="S3">
        <v>14.41</v>
      </c>
    </row>
    <row r="4" spans="1:19" x14ac:dyDescent="0.25">
      <c r="A4" t="s">
        <v>9</v>
      </c>
      <c r="B4">
        <v>43</v>
      </c>
      <c r="C4">
        <v>145</v>
      </c>
      <c r="D4">
        <v>0</v>
      </c>
      <c r="E4">
        <v>7</v>
      </c>
      <c r="F4">
        <v>40</v>
      </c>
      <c r="G4">
        <v>31</v>
      </c>
      <c r="H4">
        <v>11</v>
      </c>
      <c r="I4">
        <v>9</v>
      </c>
      <c r="J4">
        <v>19</v>
      </c>
      <c r="K4">
        <v>28</v>
      </c>
      <c r="L4">
        <v>0</v>
      </c>
      <c r="M4">
        <v>4.83</v>
      </c>
      <c r="N4">
        <v>27.6</v>
      </c>
      <c r="O4">
        <v>21.39</v>
      </c>
      <c r="P4">
        <v>7.59</v>
      </c>
      <c r="Q4">
        <v>6.21</v>
      </c>
      <c r="R4">
        <v>13.11</v>
      </c>
      <c r="S4">
        <v>19.32</v>
      </c>
    </row>
    <row r="5" spans="1:19" x14ac:dyDescent="0.25">
      <c r="A5" t="s">
        <v>9</v>
      </c>
      <c r="B5">
        <v>44</v>
      </c>
      <c r="C5">
        <v>495</v>
      </c>
      <c r="D5">
        <v>0</v>
      </c>
      <c r="E5">
        <v>6</v>
      </c>
      <c r="F5">
        <v>97</v>
      </c>
      <c r="G5">
        <v>93</v>
      </c>
      <c r="H5">
        <v>94</v>
      </c>
      <c r="I5">
        <v>95</v>
      </c>
      <c r="J5">
        <v>91</v>
      </c>
      <c r="K5">
        <v>19</v>
      </c>
      <c r="L5">
        <v>0</v>
      </c>
      <c r="M5">
        <v>1.21</v>
      </c>
      <c r="N5">
        <v>19.5</v>
      </c>
      <c r="O5">
        <v>18.809999999999999</v>
      </c>
      <c r="P5">
        <v>19</v>
      </c>
      <c r="Q5">
        <v>19.16</v>
      </c>
      <c r="R5">
        <v>18.36</v>
      </c>
      <c r="S5">
        <v>3.83</v>
      </c>
    </row>
    <row r="6" spans="1:19" x14ac:dyDescent="0.25">
      <c r="A6" t="s">
        <v>9</v>
      </c>
      <c r="B6">
        <v>45</v>
      </c>
      <c r="C6">
        <v>392</v>
      </c>
      <c r="D6">
        <v>0</v>
      </c>
      <c r="E6">
        <v>2</v>
      </c>
      <c r="F6">
        <v>94</v>
      </c>
      <c r="G6">
        <v>65</v>
      </c>
      <c r="H6">
        <v>79</v>
      </c>
      <c r="I6">
        <v>54</v>
      </c>
      <c r="J6">
        <v>77</v>
      </c>
      <c r="K6">
        <v>21</v>
      </c>
      <c r="L6">
        <v>0</v>
      </c>
      <c r="M6">
        <v>0.51</v>
      </c>
      <c r="N6">
        <v>24.07</v>
      </c>
      <c r="O6">
        <v>16.600000000000001</v>
      </c>
      <c r="P6">
        <v>20.18</v>
      </c>
      <c r="Q6">
        <v>13.8</v>
      </c>
      <c r="R6">
        <v>19.73</v>
      </c>
      <c r="S6">
        <v>5.37</v>
      </c>
    </row>
    <row r="7" spans="1:19" x14ac:dyDescent="0.25">
      <c r="A7" t="s">
        <v>9</v>
      </c>
      <c r="B7">
        <v>46</v>
      </c>
      <c r="C7">
        <v>233</v>
      </c>
      <c r="D7">
        <v>0</v>
      </c>
      <c r="E7">
        <v>2</v>
      </c>
      <c r="F7">
        <v>59</v>
      </c>
      <c r="G7">
        <v>52</v>
      </c>
      <c r="H7">
        <v>42</v>
      </c>
      <c r="I7">
        <v>34</v>
      </c>
      <c r="J7">
        <v>44</v>
      </c>
      <c r="K7">
        <v>0</v>
      </c>
      <c r="L7">
        <v>0</v>
      </c>
      <c r="M7">
        <v>0.86</v>
      </c>
      <c r="N7">
        <v>25.36</v>
      </c>
      <c r="O7">
        <v>22.33</v>
      </c>
      <c r="P7">
        <v>18.059999999999999</v>
      </c>
      <c r="Q7">
        <v>14.62</v>
      </c>
      <c r="R7">
        <v>18.920000000000002</v>
      </c>
      <c r="S7">
        <v>0</v>
      </c>
    </row>
    <row r="8" spans="1:19" x14ac:dyDescent="0.25">
      <c r="A8" t="s">
        <v>9</v>
      </c>
      <c r="B8">
        <v>47</v>
      </c>
      <c r="C8">
        <v>173</v>
      </c>
      <c r="D8">
        <v>0</v>
      </c>
      <c r="E8">
        <v>3</v>
      </c>
      <c r="F8">
        <v>34</v>
      </c>
      <c r="G8">
        <v>33</v>
      </c>
      <c r="H8">
        <v>35</v>
      </c>
      <c r="I8">
        <v>22</v>
      </c>
      <c r="J8">
        <v>30</v>
      </c>
      <c r="K8">
        <v>16</v>
      </c>
      <c r="L8">
        <v>0</v>
      </c>
      <c r="M8">
        <v>1.73</v>
      </c>
      <c r="N8">
        <v>19.7</v>
      </c>
      <c r="O8">
        <v>19.079999999999998</v>
      </c>
      <c r="P8">
        <v>20.22</v>
      </c>
      <c r="Q8">
        <v>12.72</v>
      </c>
      <c r="R8">
        <v>17.34</v>
      </c>
      <c r="S8">
        <v>9.25</v>
      </c>
    </row>
    <row r="9" spans="1:19" x14ac:dyDescent="0.25">
      <c r="A9" t="s">
        <v>9</v>
      </c>
      <c r="B9">
        <v>48</v>
      </c>
      <c r="C9">
        <v>270</v>
      </c>
      <c r="D9">
        <v>0</v>
      </c>
      <c r="E9">
        <v>3</v>
      </c>
      <c r="F9">
        <v>36</v>
      </c>
      <c r="G9">
        <v>53</v>
      </c>
      <c r="H9">
        <v>47</v>
      </c>
      <c r="I9">
        <v>53</v>
      </c>
      <c r="J9">
        <v>42</v>
      </c>
      <c r="K9">
        <v>36</v>
      </c>
      <c r="L9">
        <v>0</v>
      </c>
      <c r="M9">
        <v>1.1100000000000001</v>
      </c>
      <c r="N9">
        <v>13.32</v>
      </c>
      <c r="O9">
        <v>19.61</v>
      </c>
      <c r="P9">
        <v>17.39</v>
      </c>
      <c r="Q9">
        <v>19.61</v>
      </c>
      <c r="R9">
        <v>15.54</v>
      </c>
      <c r="S9">
        <v>13.32</v>
      </c>
    </row>
    <row r="10" spans="1:19" x14ac:dyDescent="0.25">
      <c r="A10" t="s">
        <v>9</v>
      </c>
      <c r="B10">
        <v>49</v>
      </c>
      <c r="C10">
        <v>358</v>
      </c>
      <c r="D10">
        <v>0</v>
      </c>
      <c r="E10">
        <v>0</v>
      </c>
      <c r="F10">
        <v>71</v>
      </c>
      <c r="G10">
        <v>44</v>
      </c>
      <c r="H10">
        <v>80</v>
      </c>
      <c r="I10">
        <v>59</v>
      </c>
      <c r="J10">
        <v>73</v>
      </c>
      <c r="K10">
        <v>31</v>
      </c>
      <c r="L10">
        <v>0</v>
      </c>
      <c r="M10">
        <v>0</v>
      </c>
      <c r="N10">
        <v>19.87</v>
      </c>
      <c r="O10">
        <v>12.31</v>
      </c>
      <c r="P10">
        <v>22.4</v>
      </c>
      <c r="Q10">
        <v>16.510000000000002</v>
      </c>
      <c r="R10">
        <v>20.440000000000001</v>
      </c>
      <c r="S10">
        <v>8.67</v>
      </c>
    </row>
    <row r="11" spans="1:19" x14ac:dyDescent="0.25">
      <c r="A11" t="s">
        <v>9</v>
      </c>
      <c r="B11">
        <v>84</v>
      </c>
      <c r="C11">
        <v>271</v>
      </c>
      <c r="D11">
        <v>0</v>
      </c>
      <c r="E11">
        <v>14</v>
      </c>
      <c r="F11">
        <v>47</v>
      </c>
      <c r="G11">
        <v>62</v>
      </c>
      <c r="H11">
        <v>42</v>
      </c>
      <c r="I11">
        <v>56</v>
      </c>
      <c r="J11">
        <v>36</v>
      </c>
      <c r="K11">
        <v>14</v>
      </c>
      <c r="L11">
        <v>0</v>
      </c>
      <c r="M11">
        <v>5.18</v>
      </c>
      <c r="N11">
        <v>17.38</v>
      </c>
      <c r="O11">
        <v>22.9</v>
      </c>
      <c r="P11">
        <v>15.53</v>
      </c>
      <c r="Q11">
        <v>20.68</v>
      </c>
      <c r="R11">
        <v>13.32</v>
      </c>
      <c r="S11">
        <v>5.17</v>
      </c>
    </row>
    <row r="12" spans="1:19" x14ac:dyDescent="0.25">
      <c r="A12" t="s">
        <v>9</v>
      </c>
      <c r="B12">
        <v>85</v>
      </c>
      <c r="C12">
        <v>241</v>
      </c>
      <c r="D12">
        <v>0</v>
      </c>
      <c r="E12">
        <v>2</v>
      </c>
      <c r="F12">
        <v>49</v>
      </c>
      <c r="G12">
        <v>33</v>
      </c>
      <c r="H12">
        <v>38</v>
      </c>
      <c r="I12">
        <v>62</v>
      </c>
      <c r="J12">
        <v>47</v>
      </c>
      <c r="K12">
        <v>10</v>
      </c>
      <c r="L12">
        <v>0</v>
      </c>
      <c r="M12">
        <v>0.83</v>
      </c>
      <c r="N12">
        <v>20.28</v>
      </c>
      <c r="O12">
        <v>13.67</v>
      </c>
      <c r="P12">
        <v>15.74</v>
      </c>
      <c r="Q12">
        <v>25.71</v>
      </c>
      <c r="R12">
        <v>19.46</v>
      </c>
      <c r="S12">
        <v>4.1500000000000004</v>
      </c>
    </row>
    <row r="13" spans="1:19" x14ac:dyDescent="0.25">
      <c r="A13" t="s">
        <v>9</v>
      </c>
      <c r="B13">
        <v>87</v>
      </c>
      <c r="C13">
        <v>116</v>
      </c>
      <c r="D13">
        <v>0</v>
      </c>
      <c r="E13">
        <v>0</v>
      </c>
      <c r="F13">
        <v>28</v>
      </c>
      <c r="G13">
        <v>16</v>
      </c>
      <c r="H13">
        <v>29</v>
      </c>
      <c r="I13">
        <v>22</v>
      </c>
      <c r="J13">
        <v>18</v>
      </c>
      <c r="K13">
        <v>3</v>
      </c>
      <c r="L13">
        <v>0</v>
      </c>
      <c r="M13">
        <v>0</v>
      </c>
      <c r="N13">
        <v>24.1</v>
      </c>
      <c r="O13">
        <v>13.8</v>
      </c>
      <c r="P13">
        <v>25.02</v>
      </c>
      <c r="Q13">
        <v>18.96</v>
      </c>
      <c r="R13">
        <v>15.5</v>
      </c>
      <c r="S13">
        <v>2.58</v>
      </c>
    </row>
    <row r="14" spans="1:19" x14ac:dyDescent="0.25">
      <c r="A14" t="s">
        <v>9</v>
      </c>
      <c r="B14">
        <v>88</v>
      </c>
      <c r="C14">
        <v>377</v>
      </c>
      <c r="D14">
        <v>0</v>
      </c>
      <c r="E14">
        <v>0</v>
      </c>
      <c r="F14">
        <v>54</v>
      </c>
      <c r="G14">
        <v>68</v>
      </c>
      <c r="H14">
        <v>50</v>
      </c>
      <c r="I14">
        <v>96</v>
      </c>
      <c r="J14">
        <v>95</v>
      </c>
      <c r="K14">
        <v>14</v>
      </c>
      <c r="L14">
        <v>0</v>
      </c>
      <c r="M14">
        <v>0</v>
      </c>
      <c r="N14">
        <v>14.4</v>
      </c>
      <c r="O14">
        <v>18.04</v>
      </c>
      <c r="P14">
        <v>13.29</v>
      </c>
      <c r="Q14">
        <v>25.5</v>
      </c>
      <c r="R14">
        <v>25.25</v>
      </c>
      <c r="S14">
        <v>3.72</v>
      </c>
    </row>
    <row r="15" spans="1:19" x14ac:dyDescent="0.25">
      <c r="C15">
        <f>SUM(C3:C14)</f>
        <v>3383</v>
      </c>
    </row>
    <row r="56" spans="1:19" x14ac:dyDescent="0.25">
      <c r="L56" t="s">
        <v>1</v>
      </c>
      <c r="M56" t="s">
        <v>2</v>
      </c>
      <c r="N56" t="s">
        <v>0</v>
      </c>
      <c r="O56" t="s">
        <v>8</v>
      </c>
      <c r="P56" t="s">
        <v>4</v>
      </c>
      <c r="Q56" t="s">
        <v>5</v>
      </c>
      <c r="R56" t="s">
        <v>6</v>
      </c>
      <c r="S56" t="s">
        <v>7</v>
      </c>
    </row>
    <row r="57" spans="1:19" x14ac:dyDescent="0.25">
      <c r="A57" t="s">
        <v>9</v>
      </c>
      <c r="B57">
        <v>50</v>
      </c>
      <c r="C57">
        <v>436</v>
      </c>
      <c r="D57">
        <v>0</v>
      </c>
      <c r="E57">
        <v>0</v>
      </c>
      <c r="F57">
        <v>87</v>
      </c>
      <c r="G57">
        <v>59</v>
      </c>
      <c r="H57">
        <v>76</v>
      </c>
      <c r="I57">
        <v>95</v>
      </c>
      <c r="J57">
        <v>87</v>
      </c>
      <c r="K57">
        <v>32</v>
      </c>
      <c r="L57">
        <v>0</v>
      </c>
      <c r="M57">
        <v>0</v>
      </c>
      <c r="N57">
        <v>20.010000000000002</v>
      </c>
      <c r="O57">
        <v>13.55</v>
      </c>
      <c r="P57">
        <v>17.48</v>
      </c>
      <c r="Q57">
        <v>21.82</v>
      </c>
      <c r="R57">
        <v>20.010000000000002</v>
      </c>
      <c r="S57">
        <v>7.33</v>
      </c>
    </row>
    <row r="58" spans="1:19" x14ac:dyDescent="0.25">
      <c r="A58" t="s">
        <v>9</v>
      </c>
      <c r="B58">
        <v>73</v>
      </c>
      <c r="C58">
        <v>472</v>
      </c>
      <c r="D58">
        <v>0</v>
      </c>
      <c r="E58">
        <v>0</v>
      </c>
      <c r="F58">
        <v>84</v>
      </c>
      <c r="G58">
        <v>99</v>
      </c>
      <c r="H58">
        <v>68</v>
      </c>
      <c r="I58">
        <v>125</v>
      </c>
      <c r="J58">
        <v>77</v>
      </c>
      <c r="K58">
        <v>19</v>
      </c>
      <c r="L58">
        <v>0</v>
      </c>
      <c r="M58">
        <v>0</v>
      </c>
      <c r="N58">
        <v>17.690000000000001</v>
      </c>
      <c r="O58">
        <v>20.97</v>
      </c>
      <c r="P58">
        <v>14.43</v>
      </c>
      <c r="Q58">
        <v>26.44</v>
      </c>
      <c r="R58">
        <v>16.34</v>
      </c>
      <c r="S58">
        <v>4.0199999999999996</v>
      </c>
    </row>
    <row r="59" spans="1:19" x14ac:dyDescent="0.25">
      <c r="A59" t="s">
        <v>9</v>
      </c>
      <c r="B59">
        <v>74</v>
      </c>
      <c r="C59">
        <v>462</v>
      </c>
      <c r="D59">
        <v>0</v>
      </c>
      <c r="E59">
        <v>0</v>
      </c>
      <c r="F59">
        <v>79</v>
      </c>
      <c r="G59">
        <v>118</v>
      </c>
      <c r="H59">
        <v>93</v>
      </c>
      <c r="I59">
        <v>72</v>
      </c>
      <c r="J59">
        <v>80</v>
      </c>
      <c r="K59">
        <v>20</v>
      </c>
      <c r="L59">
        <v>0</v>
      </c>
      <c r="M59">
        <v>0</v>
      </c>
      <c r="N59">
        <v>17.149999999999999</v>
      </c>
      <c r="O59">
        <v>25.54</v>
      </c>
      <c r="P59">
        <v>20.16</v>
      </c>
      <c r="Q59">
        <v>15.58</v>
      </c>
      <c r="R59">
        <v>17.329999999999998</v>
      </c>
      <c r="S59">
        <v>4.33</v>
      </c>
    </row>
    <row r="60" spans="1:19" x14ac:dyDescent="0.25">
      <c r="A60" t="s">
        <v>9</v>
      </c>
      <c r="B60">
        <v>75</v>
      </c>
      <c r="C60">
        <v>210</v>
      </c>
      <c r="D60">
        <v>0</v>
      </c>
      <c r="E60">
        <v>3</v>
      </c>
      <c r="F60">
        <v>41</v>
      </c>
      <c r="G60">
        <v>34</v>
      </c>
      <c r="H60">
        <v>35</v>
      </c>
      <c r="I60">
        <v>54</v>
      </c>
      <c r="J60">
        <v>33</v>
      </c>
      <c r="K60">
        <v>10</v>
      </c>
      <c r="L60">
        <v>0</v>
      </c>
      <c r="M60">
        <v>1.43</v>
      </c>
      <c r="N60">
        <v>19.55</v>
      </c>
      <c r="O60">
        <v>16.170000000000002</v>
      </c>
      <c r="P60">
        <v>16.649999999999999</v>
      </c>
      <c r="Q60">
        <v>25.71</v>
      </c>
      <c r="R60">
        <v>15.71</v>
      </c>
      <c r="S60">
        <v>4.76</v>
      </c>
    </row>
    <row r="61" spans="1:19" x14ac:dyDescent="0.25">
      <c r="A61" t="s">
        <v>9</v>
      </c>
      <c r="B61">
        <v>76</v>
      </c>
      <c r="C61">
        <v>222</v>
      </c>
      <c r="D61">
        <v>0</v>
      </c>
      <c r="E61">
        <v>1</v>
      </c>
      <c r="F61">
        <v>42</v>
      </c>
      <c r="G61">
        <v>37</v>
      </c>
      <c r="H61">
        <v>41</v>
      </c>
      <c r="I61">
        <v>39</v>
      </c>
      <c r="J61">
        <v>61</v>
      </c>
      <c r="K61">
        <v>1</v>
      </c>
      <c r="L61">
        <v>0</v>
      </c>
      <c r="M61">
        <v>0.45</v>
      </c>
      <c r="N61">
        <v>18.899999999999999</v>
      </c>
      <c r="O61">
        <v>16.649999999999999</v>
      </c>
      <c r="P61">
        <v>18.45</v>
      </c>
      <c r="Q61">
        <v>17.55</v>
      </c>
      <c r="R61">
        <v>27.45</v>
      </c>
      <c r="S61">
        <v>0.45</v>
      </c>
    </row>
    <row r="62" spans="1:19" x14ac:dyDescent="0.25">
      <c r="A62" t="s">
        <v>9</v>
      </c>
      <c r="B62">
        <v>77</v>
      </c>
      <c r="C62">
        <v>391</v>
      </c>
      <c r="D62">
        <v>0</v>
      </c>
      <c r="E62">
        <v>2</v>
      </c>
      <c r="F62">
        <v>77</v>
      </c>
      <c r="G62">
        <v>72</v>
      </c>
      <c r="H62">
        <v>50</v>
      </c>
      <c r="I62">
        <v>76</v>
      </c>
      <c r="J62">
        <v>91</v>
      </c>
      <c r="K62">
        <v>23</v>
      </c>
      <c r="L62">
        <v>0</v>
      </c>
      <c r="M62">
        <v>0.51</v>
      </c>
      <c r="N62">
        <v>19.760000000000002</v>
      </c>
      <c r="O62">
        <v>18.399999999999999</v>
      </c>
      <c r="P62">
        <v>12.78</v>
      </c>
      <c r="Q62">
        <v>19.440000000000001</v>
      </c>
      <c r="R62">
        <v>23.29</v>
      </c>
      <c r="S62">
        <v>5.88</v>
      </c>
    </row>
    <row r="63" spans="1:19" x14ac:dyDescent="0.25">
      <c r="A63" t="s">
        <v>9</v>
      </c>
      <c r="B63">
        <v>78</v>
      </c>
      <c r="C63">
        <v>1354</v>
      </c>
      <c r="D63">
        <v>0</v>
      </c>
      <c r="E63">
        <v>5</v>
      </c>
      <c r="F63">
        <v>268</v>
      </c>
      <c r="G63">
        <v>231</v>
      </c>
      <c r="H63">
        <v>216</v>
      </c>
      <c r="I63">
        <v>330</v>
      </c>
      <c r="J63">
        <v>239</v>
      </c>
      <c r="K63">
        <v>65</v>
      </c>
      <c r="L63">
        <v>0</v>
      </c>
      <c r="M63">
        <v>0.37</v>
      </c>
      <c r="N63">
        <v>19.649999999999999</v>
      </c>
      <c r="O63">
        <v>17.079999999999998</v>
      </c>
      <c r="P63">
        <v>16.010000000000002</v>
      </c>
      <c r="Q63">
        <v>24.41</v>
      </c>
      <c r="R63">
        <v>17.71</v>
      </c>
      <c r="S63">
        <v>4.8</v>
      </c>
    </row>
    <row r="64" spans="1:19" x14ac:dyDescent="0.25">
      <c r="A64" t="s">
        <v>9</v>
      </c>
      <c r="B64">
        <v>79</v>
      </c>
      <c r="C64">
        <v>341</v>
      </c>
      <c r="D64">
        <v>0</v>
      </c>
      <c r="E64">
        <v>10</v>
      </c>
      <c r="F64">
        <v>79</v>
      </c>
      <c r="G64">
        <v>78</v>
      </c>
      <c r="H64">
        <v>37</v>
      </c>
      <c r="I64">
        <v>38</v>
      </c>
      <c r="J64">
        <v>54</v>
      </c>
      <c r="K64">
        <v>45</v>
      </c>
      <c r="L64">
        <v>0</v>
      </c>
      <c r="M64">
        <v>2.93</v>
      </c>
      <c r="N64">
        <v>23.17</v>
      </c>
      <c r="O64">
        <v>22.88</v>
      </c>
      <c r="P64">
        <v>10.85</v>
      </c>
      <c r="Q64">
        <v>11.15</v>
      </c>
      <c r="R64">
        <v>15.85</v>
      </c>
      <c r="S64">
        <v>13.19</v>
      </c>
    </row>
    <row r="65" spans="1:19" x14ac:dyDescent="0.25">
      <c r="A65" t="s">
        <v>9</v>
      </c>
      <c r="B65">
        <v>80</v>
      </c>
      <c r="C65">
        <v>378</v>
      </c>
      <c r="D65">
        <v>0</v>
      </c>
      <c r="E65">
        <v>0</v>
      </c>
      <c r="F65">
        <v>68</v>
      </c>
      <c r="G65">
        <v>72</v>
      </c>
      <c r="H65">
        <v>37</v>
      </c>
      <c r="I65">
        <v>94</v>
      </c>
      <c r="J65">
        <v>83</v>
      </c>
      <c r="K65">
        <v>24</v>
      </c>
      <c r="L65">
        <v>0</v>
      </c>
      <c r="M65">
        <v>0</v>
      </c>
      <c r="N65">
        <v>17.940000000000001</v>
      </c>
      <c r="O65">
        <v>19.05</v>
      </c>
      <c r="P65">
        <v>9.7799999999999994</v>
      </c>
      <c r="Q65">
        <v>24.86</v>
      </c>
      <c r="R65">
        <v>21.96</v>
      </c>
      <c r="S65">
        <v>6.34</v>
      </c>
    </row>
    <row r="66" spans="1:19" x14ac:dyDescent="0.25">
      <c r="A66" t="s">
        <v>9</v>
      </c>
      <c r="B66">
        <v>81</v>
      </c>
      <c r="C66">
        <v>310</v>
      </c>
      <c r="D66">
        <v>0</v>
      </c>
      <c r="E66">
        <v>0</v>
      </c>
      <c r="F66">
        <v>59</v>
      </c>
      <c r="G66">
        <v>36</v>
      </c>
      <c r="H66">
        <v>67</v>
      </c>
      <c r="I66">
        <v>73</v>
      </c>
      <c r="J66">
        <v>62</v>
      </c>
      <c r="K66">
        <v>13</v>
      </c>
      <c r="L66">
        <v>0</v>
      </c>
      <c r="M66">
        <v>0</v>
      </c>
      <c r="N66">
        <v>19.07</v>
      </c>
      <c r="O66">
        <v>11.63</v>
      </c>
      <c r="P66">
        <v>21.64</v>
      </c>
      <c r="Q66">
        <v>23.57</v>
      </c>
      <c r="R66">
        <v>20.04</v>
      </c>
      <c r="S66">
        <v>4.1900000000000004</v>
      </c>
    </row>
    <row r="67" spans="1:19" x14ac:dyDescent="0.25">
      <c r="A67" t="s">
        <v>9</v>
      </c>
      <c r="B67">
        <v>82</v>
      </c>
      <c r="C67">
        <v>143</v>
      </c>
      <c r="D67">
        <v>0</v>
      </c>
      <c r="E67">
        <v>0</v>
      </c>
      <c r="F67">
        <v>32</v>
      </c>
      <c r="G67">
        <v>40</v>
      </c>
      <c r="H67">
        <v>27</v>
      </c>
      <c r="I67">
        <v>22</v>
      </c>
      <c r="J67">
        <v>18</v>
      </c>
      <c r="K67">
        <v>4</v>
      </c>
      <c r="L67">
        <v>0</v>
      </c>
      <c r="M67">
        <v>0</v>
      </c>
      <c r="N67">
        <v>22.4</v>
      </c>
      <c r="O67">
        <v>27.99</v>
      </c>
      <c r="P67">
        <v>18.899999999999999</v>
      </c>
      <c r="Q67">
        <v>15.4</v>
      </c>
      <c r="R67">
        <v>12.6</v>
      </c>
      <c r="S67">
        <v>2.8</v>
      </c>
    </row>
    <row r="68" spans="1:19" x14ac:dyDescent="0.25">
      <c r="A68" t="s">
        <v>9</v>
      </c>
      <c r="B68">
        <v>83</v>
      </c>
      <c r="C68">
        <v>314</v>
      </c>
      <c r="D68">
        <v>0</v>
      </c>
      <c r="E68">
        <v>0</v>
      </c>
      <c r="F68">
        <v>67</v>
      </c>
      <c r="G68">
        <v>59</v>
      </c>
      <c r="H68">
        <v>62</v>
      </c>
      <c r="I68">
        <v>69</v>
      </c>
      <c r="J68">
        <v>53</v>
      </c>
      <c r="K68">
        <v>4</v>
      </c>
      <c r="L68">
        <v>0</v>
      </c>
      <c r="M68">
        <v>0</v>
      </c>
      <c r="N68">
        <v>21.42</v>
      </c>
      <c r="O68">
        <v>18.8</v>
      </c>
      <c r="P68">
        <v>19.75</v>
      </c>
      <c r="Q68">
        <v>21.98</v>
      </c>
      <c r="R68">
        <v>16.93</v>
      </c>
      <c r="S68">
        <v>1.28</v>
      </c>
    </row>
    <row r="69" spans="1:19" x14ac:dyDescent="0.25">
      <c r="C69">
        <f>SUM(C57:C68)</f>
        <v>5033</v>
      </c>
    </row>
    <row r="71" spans="1:19" x14ac:dyDescent="0.25">
      <c r="E71" t="s">
        <v>2</v>
      </c>
      <c r="F71" t="s">
        <v>0</v>
      </c>
      <c r="G71" t="s">
        <v>8</v>
      </c>
      <c r="H71" t="s">
        <v>4</v>
      </c>
      <c r="I71" t="s">
        <v>5</v>
      </c>
      <c r="J71" t="s">
        <v>6</v>
      </c>
      <c r="K71" t="s">
        <v>7</v>
      </c>
    </row>
    <row r="72" spans="1:19" x14ac:dyDescent="0.25">
      <c r="D72" t="s">
        <v>11</v>
      </c>
      <c r="E72" s="1">
        <f>SUM(E57:E68)*100/$C$69</f>
        <v>0.41724617524339358</v>
      </c>
      <c r="F72" s="1">
        <f t="shared" ref="F72:K72" si="0">SUM(F57:F68)*100/$C$69</f>
        <v>19.531094774488377</v>
      </c>
      <c r="G72" s="1">
        <f t="shared" si="0"/>
        <v>18.577389231074907</v>
      </c>
      <c r="H72" s="1">
        <f t="shared" si="0"/>
        <v>16.073912179614545</v>
      </c>
      <c r="I72" s="1">
        <f t="shared" si="0"/>
        <v>21.597456785217563</v>
      </c>
      <c r="J72" s="1">
        <f t="shared" si="0"/>
        <v>18.636995827538247</v>
      </c>
      <c r="K72" s="1">
        <f t="shared" si="0"/>
        <v>5.1659050268229683</v>
      </c>
      <c r="L72">
        <f>SUM(E72:K72)</f>
        <v>100</v>
      </c>
    </row>
    <row r="73" spans="1:19" x14ac:dyDescent="0.25">
      <c r="D73" t="s">
        <v>12</v>
      </c>
      <c r="E73" s="1">
        <f>SUM(E3:E14)*100/$C$15</f>
        <v>1.4779781259237363</v>
      </c>
      <c r="F73" s="1">
        <f t="shared" ref="F73:K73" si="1">SUM(F3:F14)*100/$C$15</f>
        <v>20.455217262784512</v>
      </c>
      <c r="G73" s="1">
        <f t="shared" si="1"/>
        <v>18.799881761749926</v>
      </c>
      <c r="H73" s="1">
        <f t="shared" si="1"/>
        <v>16.908069760567543</v>
      </c>
      <c r="I73" s="1">
        <f t="shared" si="1"/>
        <v>17.558380135973987</v>
      </c>
      <c r="J73" s="1">
        <f t="shared" si="1"/>
        <v>17.794856636121786</v>
      </c>
      <c r="K73" s="1">
        <f t="shared" si="1"/>
        <v>7.0056163168785099</v>
      </c>
      <c r="L73">
        <f>SUM(E73:K73)</f>
        <v>100.00000000000001</v>
      </c>
    </row>
    <row r="74" spans="1:19" x14ac:dyDescent="0.25">
      <c r="D74" t="s">
        <v>13</v>
      </c>
      <c r="E74" s="1">
        <f>SUM(E99:E172)*100/$C$173</f>
        <v>1.8513501309491556</v>
      </c>
      <c r="F74" s="1">
        <f t="shared" ref="F74:K74" si="2">SUM(F99:F172)*100/$C$173</f>
        <v>20.270026189831121</v>
      </c>
      <c r="G74" s="1">
        <f t="shared" si="2"/>
        <v>21.696920437099251</v>
      </c>
      <c r="H74" s="1">
        <f t="shared" si="2"/>
        <v>14.27797344892983</v>
      </c>
      <c r="I74" s="1">
        <f t="shared" si="2"/>
        <v>18.463830940124627</v>
      </c>
      <c r="J74" s="1">
        <f t="shared" si="2"/>
        <v>16.955657906619706</v>
      </c>
      <c r="K74" s="1">
        <f t="shared" si="2"/>
        <v>6.4842409464463104</v>
      </c>
      <c r="L74">
        <f>SUM(E74:K74)</f>
        <v>100</v>
      </c>
    </row>
    <row r="75" spans="1:19" x14ac:dyDescent="0.25">
      <c r="D75" t="s">
        <v>14</v>
      </c>
      <c r="E75" s="1">
        <f>SUM(E174:E226)*100/$C$227</f>
        <v>0.8073817762399077</v>
      </c>
      <c r="F75" s="1">
        <f t="shared" ref="F75:K75" si="3">SUM(F174:F226)*100/$C$227</f>
        <v>19.463667820069205</v>
      </c>
      <c r="G75" s="1">
        <f t="shared" si="3"/>
        <v>17.866205305651672</v>
      </c>
      <c r="H75" s="1">
        <f t="shared" si="3"/>
        <v>16.620530565167243</v>
      </c>
      <c r="I75" s="1">
        <f t="shared" si="3"/>
        <v>21.764705882352942</v>
      </c>
      <c r="J75" s="1">
        <f t="shared" si="3"/>
        <v>18.673587081891579</v>
      </c>
      <c r="K75" s="1">
        <f t="shared" si="3"/>
        <v>4.8039215686274508</v>
      </c>
      <c r="L75">
        <f>SUM(E75:K75)</f>
        <v>100</v>
      </c>
    </row>
    <row r="95" spans="15:24" x14ac:dyDescent="0.25">
      <c r="P95" t="s">
        <v>1</v>
      </c>
      <c r="Q95" t="s">
        <v>2</v>
      </c>
      <c r="R95" t="s">
        <v>0</v>
      </c>
      <c r="S95" t="s">
        <v>3</v>
      </c>
      <c r="T95" t="s">
        <v>17</v>
      </c>
      <c r="U95" t="s">
        <v>5</v>
      </c>
      <c r="V95" t="s">
        <v>6</v>
      </c>
      <c r="W95" t="s">
        <v>7</v>
      </c>
    </row>
    <row r="96" spans="15:24" x14ac:dyDescent="0.25">
      <c r="O96" t="s">
        <v>15</v>
      </c>
      <c r="P96" s="1">
        <f>P103*100/$O$103</f>
        <v>1.6865079365079365</v>
      </c>
      <c r="Q96" s="1">
        <f t="shared" ref="Q96:W96" si="4">Q103*100/$O$103</f>
        <v>2.6785714285714284</v>
      </c>
      <c r="R96" s="1">
        <f t="shared" si="4"/>
        <v>18.617724867724867</v>
      </c>
      <c r="S96" s="1">
        <f t="shared" si="4"/>
        <v>12.301587301587302</v>
      </c>
      <c r="T96" s="1">
        <f t="shared" si="4"/>
        <v>14.847883597883598</v>
      </c>
      <c r="U96" s="1">
        <f t="shared" si="4"/>
        <v>10.449735449735449</v>
      </c>
      <c r="V96" s="1">
        <f t="shared" si="4"/>
        <v>24.140211640211639</v>
      </c>
      <c r="W96" s="1">
        <f t="shared" si="4"/>
        <v>15.277777777777779</v>
      </c>
      <c r="X96" s="1">
        <f>SUM(P96:W96)</f>
        <v>100</v>
      </c>
    </row>
    <row r="97" spans="1:24" x14ac:dyDescent="0.25">
      <c r="O97" t="s">
        <v>16</v>
      </c>
      <c r="P97" s="1">
        <f>P113*100/$O$113</f>
        <v>0.55158987670343929</v>
      </c>
      <c r="Q97" s="1">
        <f t="shared" ref="Q97:W97" si="5">Q113*100/$O$113</f>
        <v>1.9143413367942894</v>
      </c>
      <c r="R97" s="1">
        <f t="shared" si="5"/>
        <v>19.759896171317326</v>
      </c>
      <c r="S97" s="1">
        <f t="shared" si="5"/>
        <v>11.161583387410772</v>
      </c>
      <c r="T97" s="1">
        <f t="shared" si="5"/>
        <v>18.526930564568463</v>
      </c>
      <c r="U97" s="1">
        <f t="shared" si="5"/>
        <v>9.961064243997404</v>
      </c>
      <c r="V97" s="1">
        <f t="shared" si="5"/>
        <v>23.750811161583389</v>
      </c>
      <c r="W97" s="1">
        <f t="shared" si="5"/>
        <v>14.373783257624918</v>
      </c>
      <c r="X97" s="1">
        <f>SUM(P97:W97)</f>
        <v>100.00000000000001</v>
      </c>
    </row>
    <row r="99" spans="1:24" x14ac:dyDescent="0.25">
      <c r="A99" t="s">
        <v>9</v>
      </c>
      <c r="B99">
        <v>3</v>
      </c>
      <c r="C99">
        <v>161</v>
      </c>
      <c r="D99">
        <v>0</v>
      </c>
      <c r="E99">
        <v>3</v>
      </c>
      <c r="F99">
        <v>31</v>
      </c>
      <c r="G99">
        <v>25</v>
      </c>
      <c r="H99">
        <v>23</v>
      </c>
      <c r="I99">
        <v>30</v>
      </c>
      <c r="J99">
        <v>25</v>
      </c>
      <c r="K99">
        <v>24</v>
      </c>
      <c r="M99" t="s">
        <v>15</v>
      </c>
      <c r="N99">
        <v>1</v>
      </c>
      <c r="O99">
        <v>757</v>
      </c>
      <c r="P99">
        <v>4</v>
      </c>
      <c r="Q99">
        <v>5</v>
      </c>
      <c r="R99">
        <v>105</v>
      </c>
      <c r="S99">
        <v>90</v>
      </c>
      <c r="T99">
        <v>112</v>
      </c>
      <c r="U99">
        <v>80</v>
      </c>
      <c r="V99">
        <v>200</v>
      </c>
      <c r="W99">
        <v>161</v>
      </c>
    </row>
    <row r="100" spans="1:24" x14ac:dyDescent="0.25">
      <c r="A100" t="s">
        <v>9</v>
      </c>
      <c r="B100">
        <v>4</v>
      </c>
      <c r="C100">
        <v>179</v>
      </c>
      <c r="D100">
        <v>0</v>
      </c>
      <c r="E100">
        <v>5</v>
      </c>
      <c r="F100">
        <v>48</v>
      </c>
      <c r="G100">
        <v>37</v>
      </c>
      <c r="H100">
        <v>27</v>
      </c>
      <c r="I100">
        <v>28</v>
      </c>
      <c r="J100">
        <v>27</v>
      </c>
      <c r="K100">
        <v>7</v>
      </c>
      <c r="M100" t="s">
        <v>15</v>
      </c>
      <c r="N100">
        <v>2</v>
      </c>
      <c r="O100">
        <v>912</v>
      </c>
      <c r="P100">
        <v>11</v>
      </c>
      <c r="Q100">
        <v>20</v>
      </c>
      <c r="R100">
        <v>185</v>
      </c>
      <c r="S100">
        <v>128</v>
      </c>
      <c r="T100">
        <v>130</v>
      </c>
      <c r="U100">
        <v>105</v>
      </c>
      <c r="V100">
        <v>207</v>
      </c>
      <c r="W100">
        <v>126</v>
      </c>
    </row>
    <row r="101" spans="1:24" x14ac:dyDescent="0.25">
      <c r="A101" t="s">
        <v>9</v>
      </c>
      <c r="B101">
        <v>5</v>
      </c>
      <c r="C101">
        <v>276</v>
      </c>
      <c r="D101">
        <v>0</v>
      </c>
      <c r="E101">
        <v>21</v>
      </c>
      <c r="F101">
        <v>86</v>
      </c>
      <c r="G101">
        <v>64</v>
      </c>
      <c r="H101">
        <v>30</v>
      </c>
      <c r="I101">
        <v>36</v>
      </c>
      <c r="J101">
        <v>19</v>
      </c>
      <c r="K101">
        <v>20</v>
      </c>
      <c r="M101" t="s">
        <v>15</v>
      </c>
      <c r="N101">
        <v>3</v>
      </c>
      <c r="O101">
        <v>586</v>
      </c>
      <c r="P101">
        <v>17</v>
      </c>
      <c r="Q101">
        <v>31</v>
      </c>
      <c r="R101">
        <v>103</v>
      </c>
      <c r="S101">
        <v>79</v>
      </c>
      <c r="T101">
        <v>100</v>
      </c>
      <c r="U101">
        <v>75</v>
      </c>
      <c r="V101">
        <v>118</v>
      </c>
      <c r="W101">
        <v>63</v>
      </c>
    </row>
    <row r="102" spans="1:24" x14ac:dyDescent="0.25">
      <c r="A102" t="s">
        <v>9</v>
      </c>
      <c r="B102">
        <v>6</v>
      </c>
      <c r="C102">
        <v>200</v>
      </c>
      <c r="D102">
        <v>0</v>
      </c>
      <c r="E102">
        <v>0</v>
      </c>
      <c r="F102">
        <v>41</v>
      </c>
      <c r="G102">
        <v>34</v>
      </c>
      <c r="H102">
        <v>31</v>
      </c>
      <c r="I102">
        <v>41</v>
      </c>
      <c r="J102">
        <v>36</v>
      </c>
      <c r="K102">
        <v>17</v>
      </c>
      <c r="M102" t="s">
        <v>15</v>
      </c>
      <c r="N102">
        <v>4</v>
      </c>
      <c r="O102">
        <v>769</v>
      </c>
      <c r="P102">
        <v>19</v>
      </c>
      <c r="Q102">
        <v>25</v>
      </c>
      <c r="R102">
        <v>170</v>
      </c>
      <c r="S102">
        <v>75</v>
      </c>
      <c r="T102">
        <v>107</v>
      </c>
      <c r="U102">
        <v>56</v>
      </c>
      <c r="V102">
        <v>205</v>
      </c>
      <c r="W102">
        <v>112</v>
      </c>
    </row>
    <row r="103" spans="1:24" x14ac:dyDescent="0.25">
      <c r="A103" t="s">
        <v>9</v>
      </c>
      <c r="B103">
        <v>7</v>
      </c>
      <c r="C103">
        <v>331</v>
      </c>
      <c r="D103">
        <v>0</v>
      </c>
      <c r="E103">
        <v>4</v>
      </c>
      <c r="F103">
        <v>64</v>
      </c>
      <c r="G103">
        <v>78</v>
      </c>
      <c r="H103">
        <v>51</v>
      </c>
      <c r="I103">
        <v>75</v>
      </c>
      <c r="J103">
        <v>52</v>
      </c>
      <c r="K103">
        <v>7</v>
      </c>
      <c r="O103">
        <f>SUM(O99:O102)</f>
        <v>3024</v>
      </c>
      <c r="P103">
        <f t="shared" ref="P103:W103" si="6">SUM(P99:P102)</f>
        <v>51</v>
      </c>
      <c r="Q103">
        <f t="shared" si="6"/>
        <v>81</v>
      </c>
      <c r="R103">
        <f t="shared" si="6"/>
        <v>563</v>
      </c>
      <c r="S103">
        <f t="shared" si="6"/>
        <v>372</v>
      </c>
      <c r="T103">
        <f t="shared" si="6"/>
        <v>449</v>
      </c>
      <c r="U103">
        <f t="shared" si="6"/>
        <v>316</v>
      </c>
      <c r="V103">
        <f t="shared" si="6"/>
        <v>730</v>
      </c>
      <c r="W103">
        <f t="shared" si="6"/>
        <v>462</v>
      </c>
    </row>
    <row r="104" spans="1:24" x14ac:dyDescent="0.25">
      <c r="A104" t="s">
        <v>9</v>
      </c>
      <c r="B104">
        <v>8</v>
      </c>
      <c r="C104">
        <v>192</v>
      </c>
      <c r="D104">
        <v>0</v>
      </c>
      <c r="E104">
        <v>2</v>
      </c>
      <c r="F104">
        <v>41</v>
      </c>
      <c r="G104">
        <v>45</v>
      </c>
      <c r="H104">
        <v>28</v>
      </c>
      <c r="I104">
        <v>33</v>
      </c>
      <c r="J104">
        <v>29</v>
      </c>
      <c r="K104">
        <v>14</v>
      </c>
    </row>
    <row r="105" spans="1:24" x14ac:dyDescent="0.25">
      <c r="A105" t="s">
        <v>9</v>
      </c>
      <c r="B105">
        <v>9</v>
      </c>
      <c r="C105">
        <v>395</v>
      </c>
      <c r="D105">
        <v>0</v>
      </c>
      <c r="E105">
        <v>2</v>
      </c>
      <c r="F105">
        <v>80</v>
      </c>
      <c r="G105">
        <v>109</v>
      </c>
      <c r="H105">
        <v>63</v>
      </c>
      <c r="I105">
        <v>67</v>
      </c>
      <c r="J105">
        <v>59</v>
      </c>
      <c r="K105">
        <v>15</v>
      </c>
      <c r="M105" t="s">
        <v>16</v>
      </c>
      <c r="N105">
        <v>1</v>
      </c>
      <c r="O105">
        <v>373</v>
      </c>
      <c r="P105">
        <v>2</v>
      </c>
      <c r="Q105">
        <v>0</v>
      </c>
      <c r="R105">
        <v>85</v>
      </c>
      <c r="S105">
        <v>33</v>
      </c>
      <c r="T105">
        <v>65</v>
      </c>
      <c r="U105">
        <v>28</v>
      </c>
      <c r="V105">
        <v>66</v>
      </c>
      <c r="W105">
        <v>94</v>
      </c>
    </row>
    <row r="106" spans="1:24" x14ac:dyDescent="0.25">
      <c r="A106" t="s">
        <v>9</v>
      </c>
      <c r="B106">
        <v>11</v>
      </c>
      <c r="C106">
        <v>154</v>
      </c>
      <c r="D106">
        <v>0</v>
      </c>
      <c r="E106">
        <v>15</v>
      </c>
      <c r="F106">
        <v>21</v>
      </c>
      <c r="G106">
        <v>45</v>
      </c>
      <c r="H106">
        <v>21</v>
      </c>
      <c r="I106">
        <v>22</v>
      </c>
      <c r="J106">
        <v>18</v>
      </c>
      <c r="K106">
        <v>12</v>
      </c>
      <c r="M106" t="s">
        <v>16</v>
      </c>
      <c r="N106">
        <v>2</v>
      </c>
      <c r="O106">
        <v>429</v>
      </c>
      <c r="P106">
        <v>2</v>
      </c>
      <c r="Q106">
        <v>13</v>
      </c>
      <c r="R106">
        <v>95</v>
      </c>
      <c r="S106">
        <v>63</v>
      </c>
      <c r="T106">
        <v>74</v>
      </c>
      <c r="U106">
        <v>46</v>
      </c>
      <c r="V106">
        <v>110</v>
      </c>
      <c r="W106">
        <v>26</v>
      </c>
    </row>
    <row r="107" spans="1:24" x14ac:dyDescent="0.25">
      <c r="A107" t="s">
        <v>9</v>
      </c>
      <c r="B107">
        <v>12</v>
      </c>
      <c r="C107">
        <v>186</v>
      </c>
      <c r="D107">
        <v>0</v>
      </c>
      <c r="E107">
        <v>6</v>
      </c>
      <c r="F107">
        <v>32</v>
      </c>
      <c r="G107">
        <v>52</v>
      </c>
      <c r="H107">
        <v>24</v>
      </c>
      <c r="I107">
        <v>28</v>
      </c>
      <c r="J107">
        <v>32</v>
      </c>
      <c r="K107">
        <v>12</v>
      </c>
      <c r="M107" t="s">
        <v>16</v>
      </c>
      <c r="N107">
        <v>3</v>
      </c>
      <c r="O107">
        <v>332</v>
      </c>
      <c r="P107">
        <v>4</v>
      </c>
      <c r="Q107">
        <v>12</v>
      </c>
      <c r="R107">
        <v>70</v>
      </c>
      <c r="S107">
        <v>32</v>
      </c>
      <c r="T107">
        <v>53</v>
      </c>
      <c r="U107">
        <v>35</v>
      </c>
      <c r="V107">
        <v>89</v>
      </c>
      <c r="W107">
        <v>37</v>
      </c>
    </row>
    <row r="108" spans="1:24" x14ac:dyDescent="0.25">
      <c r="A108" t="s">
        <v>9</v>
      </c>
      <c r="B108">
        <v>13</v>
      </c>
      <c r="C108">
        <v>126</v>
      </c>
      <c r="D108">
        <v>0</v>
      </c>
      <c r="E108">
        <v>7</v>
      </c>
      <c r="F108">
        <v>26</v>
      </c>
      <c r="G108">
        <v>25</v>
      </c>
      <c r="H108">
        <v>15</v>
      </c>
      <c r="I108">
        <v>16</v>
      </c>
      <c r="J108">
        <v>32</v>
      </c>
      <c r="K108">
        <v>5</v>
      </c>
      <c r="M108" t="s">
        <v>16</v>
      </c>
      <c r="N108">
        <v>4</v>
      </c>
      <c r="O108">
        <v>445</v>
      </c>
      <c r="P108">
        <v>0</v>
      </c>
      <c r="Q108">
        <v>6</v>
      </c>
      <c r="R108">
        <v>40</v>
      </c>
      <c r="S108">
        <v>49</v>
      </c>
      <c r="T108">
        <v>96</v>
      </c>
      <c r="U108">
        <v>45</v>
      </c>
      <c r="V108">
        <v>106</v>
      </c>
      <c r="W108">
        <v>103</v>
      </c>
    </row>
    <row r="109" spans="1:24" x14ac:dyDescent="0.25">
      <c r="A109" t="s">
        <v>9</v>
      </c>
      <c r="B109">
        <v>14</v>
      </c>
      <c r="C109">
        <v>154</v>
      </c>
      <c r="D109">
        <v>0</v>
      </c>
      <c r="E109">
        <v>10</v>
      </c>
      <c r="F109">
        <v>45</v>
      </c>
      <c r="G109">
        <v>33</v>
      </c>
      <c r="H109">
        <v>13</v>
      </c>
      <c r="I109">
        <v>21</v>
      </c>
      <c r="J109">
        <v>28</v>
      </c>
      <c r="K109">
        <v>4</v>
      </c>
      <c r="M109" t="s">
        <v>16</v>
      </c>
      <c r="N109">
        <v>5</v>
      </c>
      <c r="O109">
        <v>444</v>
      </c>
      <c r="P109">
        <v>4</v>
      </c>
      <c r="Q109">
        <v>3</v>
      </c>
      <c r="R109">
        <v>98</v>
      </c>
      <c r="S109">
        <v>43</v>
      </c>
      <c r="T109">
        <v>82</v>
      </c>
      <c r="U109">
        <v>51</v>
      </c>
      <c r="V109">
        <v>118</v>
      </c>
      <c r="W109">
        <v>45</v>
      </c>
    </row>
    <row r="110" spans="1:24" x14ac:dyDescent="0.25">
      <c r="A110" t="s">
        <v>9</v>
      </c>
      <c r="B110">
        <v>15</v>
      </c>
      <c r="C110">
        <v>118</v>
      </c>
      <c r="D110">
        <v>0</v>
      </c>
      <c r="E110">
        <v>0</v>
      </c>
      <c r="F110">
        <v>29</v>
      </c>
      <c r="G110">
        <v>23</v>
      </c>
      <c r="H110">
        <v>10</v>
      </c>
      <c r="I110">
        <v>16</v>
      </c>
      <c r="J110">
        <v>28</v>
      </c>
      <c r="K110">
        <v>12</v>
      </c>
      <c r="M110" t="s">
        <v>16</v>
      </c>
      <c r="N110">
        <v>6</v>
      </c>
      <c r="O110">
        <v>298</v>
      </c>
      <c r="P110">
        <v>0</v>
      </c>
      <c r="Q110">
        <v>0</v>
      </c>
      <c r="R110">
        <v>40</v>
      </c>
      <c r="S110">
        <v>30</v>
      </c>
      <c r="T110">
        <v>62</v>
      </c>
      <c r="U110">
        <v>43</v>
      </c>
      <c r="V110">
        <v>69</v>
      </c>
      <c r="W110">
        <v>54</v>
      </c>
    </row>
    <row r="111" spans="1:24" x14ac:dyDescent="0.25">
      <c r="A111" t="s">
        <v>9</v>
      </c>
      <c r="B111">
        <v>16</v>
      </c>
      <c r="C111">
        <v>216</v>
      </c>
      <c r="D111">
        <v>0</v>
      </c>
      <c r="E111">
        <v>2</v>
      </c>
      <c r="F111">
        <v>47</v>
      </c>
      <c r="G111">
        <v>52</v>
      </c>
      <c r="H111">
        <v>28</v>
      </c>
      <c r="I111">
        <v>47</v>
      </c>
      <c r="J111">
        <v>31</v>
      </c>
      <c r="K111">
        <v>9</v>
      </c>
      <c r="M111" t="s">
        <v>16</v>
      </c>
      <c r="N111">
        <v>7</v>
      </c>
      <c r="O111">
        <v>355</v>
      </c>
      <c r="P111">
        <v>3</v>
      </c>
      <c r="Q111">
        <v>11</v>
      </c>
      <c r="R111">
        <v>94</v>
      </c>
      <c r="S111">
        <v>35</v>
      </c>
      <c r="T111">
        <v>74</v>
      </c>
      <c r="U111">
        <v>24</v>
      </c>
      <c r="V111">
        <v>83</v>
      </c>
      <c r="W111">
        <v>31</v>
      </c>
    </row>
    <row r="112" spans="1:24" x14ac:dyDescent="0.25">
      <c r="A112" t="s">
        <v>9</v>
      </c>
      <c r="B112">
        <v>17</v>
      </c>
      <c r="C112">
        <v>328</v>
      </c>
      <c r="D112">
        <v>0</v>
      </c>
      <c r="E112">
        <v>2</v>
      </c>
      <c r="F112">
        <v>62</v>
      </c>
      <c r="G112">
        <v>105</v>
      </c>
      <c r="H112">
        <v>47</v>
      </c>
      <c r="I112">
        <v>60</v>
      </c>
      <c r="J112">
        <v>31</v>
      </c>
      <c r="K112">
        <v>21</v>
      </c>
      <c r="M112" t="s">
        <v>16</v>
      </c>
      <c r="N112">
        <v>8</v>
      </c>
      <c r="O112">
        <v>406</v>
      </c>
      <c r="P112">
        <v>2</v>
      </c>
      <c r="Q112">
        <v>14</v>
      </c>
      <c r="R112">
        <v>87</v>
      </c>
      <c r="S112">
        <v>59</v>
      </c>
      <c r="T112">
        <v>65</v>
      </c>
      <c r="U112">
        <v>35</v>
      </c>
      <c r="V112">
        <v>91</v>
      </c>
      <c r="W112">
        <v>53</v>
      </c>
    </row>
    <row r="113" spans="1:23" x14ac:dyDescent="0.25">
      <c r="A113" t="s">
        <v>9</v>
      </c>
      <c r="B113">
        <v>18</v>
      </c>
      <c r="C113">
        <v>973</v>
      </c>
      <c r="D113">
        <v>0</v>
      </c>
      <c r="E113">
        <v>13</v>
      </c>
      <c r="F113">
        <v>257</v>
      </c>
      <c r="G113">
        <v>184</v>
      </c>
      <c r="H113">
        <v>122</v>
      </c>
      <c r="I113">
        <v>207</v>
      </c>
      <c r="J113">
        <v>135</v>
      </c>
      <c r="K113">
        <v>55</v>
      </c>
      <c r="O113">
        <f>SUM(O105:O112)</f>
        <v>3082</v>
      </c>
      <c r="P113">
        <f t="shared" ref="P113:W113" si="7">SUM(P105:P112)</f>
        <v>17</v>
      </c>
      <c r="Q113">
        <f t="shared" si="7"/>
        <v>59</v>
      </c>
      <c r="R113">
        <f t="shared" si="7"/>
        <v>609</v>
      </c>
      <c r="S113">
        <f t="shared" si="7"/>
        <v>344</v>
      </c>
      <c r="T113">
        <f t="shared" si="7"/>
        <v>571</v>
      </c>
      <c r="U113">
        <f t="shared" si="7"/>
        <v>307</v>
      </c>
      <c r="V113">
        <f t="shared" si="7"/>
        <v>732</v>
      </c>
      <c r="W113">
        <f t="shared" si="7"/>
        <v>443</v>
      </c>
    </row>
    <row r="114" spans="1:23" x14ac:dyDescent="0.25">
      <c r="A114" t="s">
        <v>9</v>
      </c>
      <c r="B114">
        <v>19</v>
      </c>
      <c r="C114">
        <v>304</v>
      </c>
      <c r="D114">
        <v>0</v>
      </c>
      <c r="E114">
        <v>3</v>
      </c>
      <c r="F114">
        <v>73</v>
      </c>
      <c r="G114">
        <v>83</v>
      </c>
      <c r="H114">
        <v>33</v>
      </c>
      <c r="I114">
        <v>45</v>
      </c>
      <c r="J114">
        <v>31</v>
      </c>
      <c r="K114">
        <v>36</v>
      </c>
    </row>
    <row r="115" spans="1:23" x14ac:dyDescent="0.25">
      <c r="A115" t="s">
        <v>9</v>
      </c>
      <c r="B115">
        <v>20</v>
      </c>
      <c r="C115">
        <v>194</v>
      </c>
      <c r="D115">
        <v>0</v>
      </c>
      <c r="E115">
        <v>0</v>
      </c>
      <c r="F115">
        <v>40</v>
      </c>
      <c r="G115">
        <v>46</v>
      </c>
      <c r="H115">
        <v>21</v>
      </c>
      <c r="I115">
        <v>46</v>
      </c>
      <c r="J115">
        <v>22</v>
      </c>
      <c r="K115">
        <v>19</v>
      </c>
    </row>
    <row r="116" spans="1:23" x14ac:dyDescent="0.25">
      <c r="A116" t="s">
        <v>9</v>
      </c>
      <c r="B116">
        <v>21</v>
      </c>
      <c r="C116">
        <v>256</v>
      </c>
      <c r="D116">
        <v>0</v>
      </c>
      <c r="E116">
        <v>2</v>
      </c>
      <c r="F116">
        <v>51</v>
      </c>
      <c r="G116">
        <v>77</v>
      </c>
      <c r="H116">
        <v>37</v>
      </c>
      <c r="I116">
        <v>42</v>
      </c>
      <c r="J116">
        <v>41</v>
      </c>
      <c r="K116">
        <v>6</v>
      </c>
    </row>
    <row r="117" spans="1:23" x14ac:dyDescent="0.25">
      <c r="A117" t="s">
        <v>9</v>
      </c>
      <c r="B117">
        <v>22</v>
      </c>
      <c r="C117">
        <v>615</v>
      </c>
      <c r="D117">
        <v>0</v>
      </c>
      <c r="E117">
        <v>10</v>
      </c>
      <c r="F117">
        <v>118</v>
      </c>
      <c r="G117">
        <v>132</v>
      </c>
      <c r="H117">
        <v>91</v>
      </c>
      <c r="I117">
        <v>122</v>
      </c>
      <c r="J117">
        <v>125</v>
      </c>
      <c r="K117">
        <v>17</v>
      </c>
    </row>
    <row r="118" spans="1:23" x14ac:dyDescent="0.25">
      <c r="A118" t="s">
        <v>9</v>
      </c>
      <c r="B118">
        <v>23</v>
      </c>
      <c r="C118">
        <v>134</v>
      </c>
      <c r="D118">
        <v>0</v>
      </c>
      <c r="E118">
        <v>6</v>
      </c>
      <c r="F118">
        <v>25</v>
      </c>
      <c r="G118">
        <v>44</v>
      </c>
      <c r="H118">
        <v>16</v>
      </c>
      <c r="I118">
        <v>15</v>
      </c>
      <c r="J118">
        <v>20</v>
      </c>
      <c r="K118">
        <v>8</v>
      </c>
    </row>
    <row r="119" spans="1:23" x14ac:dyDescent="0.25">
      <c r="A119" t="s">
        <v>9</v>
      </c>
      <c r="B119">
        <v>24</v>
      </c>
      <c r="C119">
        <v>199</v>
      </c>
      <c r="D119">
        <v>0</v>
      </c>
      <c r="E119">
        <v>0</v>
      </c>
      <c r="F119">
        <v>28</v>
      </c>
      <c r="G119">
        <v>26</v>
      </c>
      <c r="H119">
        <v>33</v>
      </c>
      <c r="I119">
        <v>45</v>
      </c>
      <c r="J119">
        <v>40</v>
      </c>
      <c r="K119">
        <v>27</v>
      </c>
    </row>
    <row r="120" spans="1:23" x14ac:dyDescent="0.25">
      <c r="A120" t="s">
        <v>9</v>
      </c>
      <c r="B120">
        <v>25</v>
      </c>
      <c r="C120">
        <v>375</v>
      </c>
      <c r="D120">
        <v>0</v>
      </c>
      <c r="E120">
        <v>0</v>
      </c>
      <c r="F120">
        <v>82</v>
      </c>
      <c r="G120">
        <v>49</v>
      </c>
      <c r="H120">
        <v>81</v>
      </c>
      <c r="I120">
        <v>82</v>
      </c>
      <c r="J120">
        <v>57</v>
      </c>
      <c r="K120">
        <v>24</v>
      </c>
    </row>
    <row r="121" spans="1:23" x14ac:dyDescent="0.25">
      <c r="A121" t="s">
        <v>9</v>
      </c>
      <c r="B121">
        <v>26</v>
      </c>
      <c r="C121">
        <v>212</v>
      </c>
      <c r="D121">
        <v>0</v>
      </c>
      <c r="E121">
        <v>0</v>
      </c>
      <c r="F121">
        <v>39</v>
      </c>
      <c r="G121">
        <v>20</v>
      </c>
      <c r="H121">
        <v>44</v>
      </c>
      <c r="I121">
        <v>53</v>
      </c>
      <c r="J121">
        <v>52</v>
      </c>
      <c r="K121">
        <v>4</v>
      </c>
    </row>
    <row r="122" spans="1:23" x14ac:dyDescent="0.25">
      <c r="A122" t="s">
        <v>9</v>
      </c>
      <c r="B122">
        <v>27</v>
      </c>
      <c r="C122">
        <v>357</v>
      </c>
      <c r="D122">
        <v>0</v>
      </c>
      <c r="E122">
        <v>14</v>
      </c>
      <c r="F122">
        <v>100</v>
      </c>
      <c r="G122">
        <v>71</v>
      </c>
      <c r="H122">
        <v>51</v>
      </c>
      <c r="I122">
        <v>39</v>
      </c>
      <c r="J122">
        <v>57</v>
      </c>
      <c r="K122">
        <v>25</v>
      </c>
    </row>
    <row r="123" spans="1:23" x14ac:dyDescent="0.25">
      <c r="A123" t="s">
        <v>9</v>
      </c>
      <c r="B123">
        <v>28</v>
      </c>
      <c r="C123">
        <v>228</v>
      </c>
      <c r="D123">
        <v>0</v>
      </c>
      <c r="E123">
        <v>10</v>
      </c>
      <c r="F123">
        <v>35</v>
      </c>
      <c r="G123">
        <v>57</v>
      </c>
      <c r="H123">
        <v>26</v>
      </c>
      <c r="I123">
        <v>35</v>
      </c>
      <c r="J123">
        <v>33</v>
      </c>
      <c r="K123">
        <v>32</v>
      </c>
    </row>
    <row r="124" spans="1:23" x14ac:dyDescent="0.25">
      <c r="A124" t="s">
        <v>9</v>
      </c>
      <c r="B124">
        <v>29</v>
      </c>
      <c r="C124">
        <v>201</v>
      </c>
      <c r="D124">
        <v>0</v>
      </c>
      <c r="E124">
        <v>3</v>
      </c>
      <c r="F124">
        <v>29</v>
      </c>
      <c r="G124">
        <v>73</v>
      </c>
      <c r="H124">
        <v>24</v>
      </c>
      <c r="I124">
        <v>32</v>
      </c>
      <c r="J124">
        <v>35</v>
      </c>
      <c r="K124">
        <v>5</v>
      </c>
    </row>
    <row r="125" spans="1:23" x14ac:dyDescent="0.25">
      <c r="A125" t="s">
        <v>9</v>
      </c>
      <c r="B125">
        <v>30</v>
      </c>
      <c r="C125">
        <v>244</v>
      </c>
      <c r="D125">
        <v>0</v>
      </c>
      <c r="E125">
        <v>11</v>
      </c>
      <c r="F125">
        <v>49</v>
      </c>
      <c r="G125">
        <v>70</v>
      </c>
      <c r="H125">
        <v>18</v>
      </c>
      <c r="I125">
        <v>41</v>
      </c>
      <c r="J125">
        <v>43</v>
      </c>
      <c r="K125">
        <v>12</v>
      </c>
    </row>
    <row r="126" spans="1:23" x14ac:dyDescent="0.25">
      <c r="A126" t="s">
        <v>9</v>
      </c>
      <c r="B126">
        <v>31</v>
      </c>
      <c r="C126">
        <v>548</v>
      </c>
      <c r="D126">
        <v>0</v>
      </c>
      <c r="E126">
        <v>39</v>
      </c>
      <c r="F126">
        <v>102</v>
      </c>
      <c r="G126">
        <v>166</v>
      </c>
      <c r="H126">
        <v>69</v>
      </c>
      <c r="I126">
        <v>69</v>
      </c>
      <c r="J126">
        <v>59</v>
      </c>
      <c r="K126">
        <v>44</v>
      </c>
    </row>
    <row r="127" spans="1:23" x14ac:dyDescent="0.25">
      <c r="A127" t="s">
        <v>9</v>
      </c>
      <c r="B127">
        <v>32</v>
      </c>
      <c r="C127">
        <v>258</v>
      </c>
      <c r="D127">
        <v>0</v>
      </c>
      <c r="E127">
        <v>10</v>
      </c>
      <c r="F127">
        <v>68</v>
      </c>
      <c r="G127">
        <v>53</v>
      </c>
      <c r="H127">
        <v>29</v>
      </c>
      <c r="I127">
        <v>42</v>
      </c>
      <c r="J127">
        <v>39</v>
      </c>
      <c r="K127">
        <v>17</v>
      </c>
    </row>
    <row r="128" spans="1:23" x14ac:dyDescent="0.25">
      <c r="A128" t="s">
        <v>9</v>
      </c>
      <c r="B128">
        <v>34</v>
      </c>
      <c r="C128">
        <v>391</v>
      </c>
      <c r="D128">
        <v>0</v>
      </c>
      <c r="E128">
        <v>0</v>
      </c>
      <c r="F128">
        <v>71</v>
      </c>
      <c r="G128">
        <v>54</v>
      </c>
      <c r="H128">
        <v>62</v>
      </c>
      <c r="I128">
        <v>104</v>
      </c>
      <c r="J128">
        <v>91</v>
      </c>
      <c r="K128">
        <v>9</v>
      </c>
    </row>
    <row r="129" spans="1:11" x14ac:dyDescent="0.25">
      <c r="A129" t="s">
        <v>9</v>
      </c>
      <c r="B129">
        <v>35</v>
      </c>
      <c r="C129">
        <v>568</v>
      </c>
      <c r="D129">
        <v>0</v>
      </c>
      <c r="E129">
        <v>12</v>
      </c>
      <c r="F129">
        <v>104</v>
      </c>
      <c r="G129">
        <v>129</v>
      </c>
      <c r="H129">
        <v>80</v>
      </c>
      <c r="I129">
        <v>116</v>
      </c>
      <c r="J129">
        <v>104</v>
      </c>
      <c r="K129">
        <v>23</v>
      </c>
    </row>
    <row r="130" spans="1:11" x14ac:dyDescent="0.25">
      <c r="A130" t="s">
        <v>9</v>
      </c>
      <c r="B130">
        <v>36</v>
      </c>
      <c r="C130">
        <v>236</v>
      </c>
      <c r="D130">
        <v>0</v>
      </c>
      <c r="E130">
        <v>0</v>
      </c>
      <c r="F130">
        <v>53</v>
      </c>
      <c r="G130">
        <v>33</v>
      </c>
      <c r="H130">
        <v>49</v>
      </c>
      <c r="I130">
        <v>41</v>
      </c>
      <c r="J130">
        <v>52</v>
      </c>
      <c r="K130">
        <v>8</v>
      </c>
    </row>
    <row r="131" spans="1:11" x14ac:dyDescent="0.25">
      <c r="A131" t="s">
        <v>9</v>
      </c>
      <c r="B131">
        <v>37</v>
      </c>
      <c r="C131">
        <v>726</v>
      </c>
      <c r="D131">
        <v>0</v>
      </c>
      <c r="E131">
        <v>4</v>
      </c>
      <c r="F131">
        <v>122</v>
      </c>
      <c r="G131">
        <v>88</v>
      </c>
      <c r="H131">
        <v>164</v>
      </c>
      <c r="I131">
        <v>178</v>
      </c>
      <c r="J131">
        <v>123</v>
      </c>
      <c r="K131">
        <v>47</v>
      </c>
    </row>
    <row r="132" spans="1:11" x14ac:dyDescent="0.25">
      <c r="A132" t="s">
        <v>9</v>
      </c>
      <c r="B132">
        <v>38</v>
      </c>
      <c r="C132">
        <v>407</v>
      </c>
      <c r="D132">
        <v>0</v>
      </c>
      <c r="E132">
        <v>0</v>
      </c>
      <c r="F132">
        <v>95</v>
      </c>
      <c r="G132">
        <v>78</v>
      </c>
      <c r="H132">
        <v>62</v>
      </c>
      <c r="I132">
        <v>89</v>
      </c>
      <c r="J132">
        <v>75</v>
      </c>
      <c r="K132">
        <v>8</v>
      </c>
    </row>
    <row r="133" spans="1:11" x14ac:dyDescent="0.25">
      <c r="A133" t="s">
        <v>9</v>
      </c>
      <c r="B133">
        <v>39</v>
      </c>
      <c r="C133">
        <v>303</v>
      </c>
      <c r="D133">
        <v>0</v>
      </c>
      <c r="E133">
        <v>3</v>
      </c>
      <c r="F133">
        <v>77</v>
      </c>
      <c r="G133">
        <v>63</v>
      </c>
      <c r="H133">
        <v>20</v>
      </c>
      <c r="I133">
        <v>44</v>
      </c>
      <c r="J133">
        <v>64</v>
      </c>
      <c r="K133">
        <v>32</v>
      </c>
    </row>
    <row r="134" spans="1:11" x14ac:dyDescent="0.25">
      <c r="A134" t="s">
        <v>9</v>
      </c>
      <c r="B134">
        <v>40</v>
      </c>
      <c r="C134">
        <v>469</v>
      </c>
      <c r="D134">
        <v>0</v>
      </c>
      <c r="E134">
        <v>10</v>
      </c>
      <c r="F134">
        <v>85</v>
      </c>
      <c r="G134">
        <v>140</v>
      </c>
      <c r="H134">
        <v>42</v>
      </c>
      <c r="I134">
        <v>68</v>
      </c>
      <c r="J134">
        <v>66</v>
      </c>
      <c r="K134">
        <v>58</v>
      </c>
    </row>
    <row r="135" spans="1:11" x14ac:dyDescent="0.25">
      <c r="A135" t="s">
        <v>9</v>
      </c>
      <c r="B135">
        <v>41</v>
      </c>
      <c r="C135">
        <v>273</v>
      </c>
      <c r="D135">
        <v>0</v>
      </c>
      <c r="E135">
        <v>0</v>
      </c>
      <c r="F135">
        <v>51</v>
      </c>
      <c r="G135">
        <v>53</v>
      </c>
      <c r="H135">
        <v>56</v>
      </c>
      <c r="I135">
        <v>39</v>
      </c>
      <c r="J135">
        <v>39</v>
      </c>
      <c r="K135">
        <v>35</v>
      </c>
    </row>
    <row r="136" spans="1:11" x14ac:dyDescent="0.25">
      <c r="A136" t="s">
        <v>9</v>
      </c>
      <c r="B136">
        <v>51</v>
      </c>
      <c r="C136">
        <v>403</v>
      </c>
      <c r="D136">
        <v>0</v>
      </c>
      <c r="E136">
        <v>0</v>
      </c>
      <c r="F136">
        <v>69</v>
      </c>
      <c r="G136">
        <v>93</v>
      </c>
      <c r="H136">
        <v>60</v>
      </c>
      <c r="I136">
        <v>75</v>
      </c>
      <c r="J136">
        <v>80</v>
      </c>
      <c r="K136">
        <v>26</v>
      </c>
    </row>
    <row r="137" spans="1:11" x14ac:dyDescent="0.25">
      <c r="A137" t="s">
        <v>9</v>
      </c>
      <c r="B137">
        <v>52</v>
      </c>
      <c r="C137">
        <v>221</v>
      </c>
      <c r="D137">
        <v>0</v>
      </c>
      <c r="E137">
        <v>5</v>
      </c>
      <c r="F137">
        <v>43</v>
      </c>
      <c r="G137">
        <v>64</v>
      </c>
      <c r="H137">
        <v>28</v>
      </c>
      <c r="I137">
        <v>30</v>
      </c>
      <c r="J137">
        <v>41</v>
      </c>
      <c r="K137">
        <v>10</v>
      </c>
    </row>
    <row r="138" spans="1:11" x14ac:dyDescent="0.25">
      <c r="A138" t="s">
        <v>9</v>
      </c>
      <c r="B138">
        <v>53</v>
      </c>
      <c r="C138">
        <v>167</v>
      </c>
      <c r="D138">
        <v>0</v>
      </c>
      <c r="E138">
        <v>9</v>
      </c>
      <c r="F138">
        <v>46</v>
      </c>
      <c r="G138">
        <v>44</v>
      </c>
      <c r="H138">
        <v>15</v>
      </c>
      <c r="I138">
        <v>23</v>
      </c>
      <c r="J138">
        <v>23</v>
      </c>
      <c r="K138">
        <v>7</v>
      </c>
    </row>
    <row r="139" spans="1:11" x14ac:dyDescent="0.25">
      <c r="A139" t="s">
        <v>9</v>
      </c>
      <c r="B139">
        <v>54</v>
      </c>
      <c r="C139">
        <v>157</v>
      </c>
      <c r="D139">
        <v>0</v>
      </c>
      <c r="E139">
        <v>0</v>
      </c>
      <c r="F139">
        <v>19</v>
      </c>
      <c r="G139">
        <v>27</v>
      </c>
      <c r="H139">
        <v>36</v>
      </c>
      <c r="I139">
        <v>38</v>
      </c>
      <c r="J139">
        <v>22</v>
      </c>
      <c r="K139">
        <v>15</v>
      </c>
    </row>
    <row r="140" spans="1:11" x14ac:dyDescent="0.25">
      <c r="A140" t="s">
        <v>9</v>
      </c>
      <c r="B140">
        <v>55</v>
      </c>
      <c r="C140">
        <v>470</v>
      </c>
      <c r="D140">
        <v>0</v>
      </c>
      <c r="E140">
        <v>4</v>
      </c>
      <c r="F140">
        <v>82</v>
      </c>
      <c r="G140">
        <v>89</v>
      </c>
      <c r="H140">
        <v>85</v>
      </c>
      <c r="I140">
        <v>66</v>
      </c>
      <c r="J140">
        <v>86</v>
      </c>
      <c r="K140">
        <v>58</v>
      </c>
    </row>
    <row r="141" spans="1:11" x14ac:dyDescent="0.25">
      <c r="A141" t="s">
        <v>9</v>
      </c>
      <c r="B141">
        <v>56</v>
      </c>
      <c r="C141">
        <v>278</v>
      </c>
      <c r="D141">
        <v>0</v>
      </c>
      <c r="E141">
        <v>13</v>
      </c>
      <c r="F141">
        <v>56</v>
      </c>
      <c r="G141">
        <v>30</v>
      </c>
      <c r="H141">
        <v>50</v>
      </c>
      <c r="I141">
        <v>58</v>
      </c>
      <c r="J141">
        <v>51</v>
      </c>
      <c r="K141">
        <v>20</v>
      </c>
    </row>
    <row r="142" spans="1:11" x14ac:dyDescent="0.25">
      <c r="A142" t="s">
        <v>9</v>
      </c>
      <c r="B142">
        <v>57</v>
      </c>
      <c r="C142">
        <v>260</v>
      </c>
      <c r="D142">
        <v>0</v>
      </c>
      <c r="E142">
        <v>8</v>
      </c>
      <c r="F142">
        <v>38</v>
      </c>
      <c r="G142">
        <v>52</v>
      </c>
      <c r="H142">
        <v>31</v>
      </c>
      <c r="I142">
        <v>38</v>
      </c>
      <c r="J142">
        <v>62</v>
      </c>
      <c r="K142">
        <v>31</v>
      </c>
    </row>
    <row r="143" spans="1:11" x14ac:dyDescent="0.25">
      <c r="A143" t="s">
        <v>9</v>
      </c>
      <c r="B143">
        <v>58</v>
      </c>
      <c r="C143">
        <v>234</v>
      </c>
      <c r="D143">
        <v>0</v>
      </c>
      <c r="E143">
        <v>3</v>
      </c>
      <c r="F143">
        <v>46</v>
      </c>
      <c r="G143">
        <v>81</v>
      </c>
      <c r="H143">
        <v>26</v>
      </c>
      <c r="I143">
        <v>26</v>
      </c>
      <c r="J143">
        <v>49</v>
      </c>
      <c r="K143">
        <v>3</v>
      </c>
    </row>
    <row r="144" spans="1:11" x14ac:dyDescent="0.25">
      <c r="A144" t="s">
        <v>9</v>
      </c>
      <c r="B144">
        <v>59</v>
      </c>
      <c r="C144">
        <v>409</v>
      </c>
      <c r="D144">
        <v>0</v>
      </c>
      <c r="E144">
        <v>12</v>
      </c>
      <c r="F144">
        <v>84</v>
      </c>
      <c r="G144">
        <v>90</v>
      </c>
      <c r="H144">
        <v>70</v>
      </c>
      <c r="I144">
        <v>57</v>
      </c>
      <c r="J144">
        <v>74</v>
      </c>
      <c r="K144">
        <v>22</v>
      </c>
    </row>
    <row r="145" spans="1:11" x14ac:dyDescent="0.25">
      <c r="A145" t="s">
        <v>9</v>
      </c>
      <c r="B145">
        <v>60</v>
      </c>
      <c r="C145">
        <v>279</v>
      </c>
      <c r="D145">
        <v>0</v>
      </c>
      <c r="E145">
        <v>2</v>
      </c>
      <c r="F145">
        <v>44</v>
      </c>
      <c r="G145">
        <v>31</v>
      </c>
      <c r="H145">
        <v>47</v>
      </c>
      <c r="I145">
        <v>48</v>
      </c>
      <c r="J145">
        <v>83</v>
      </c>
      <c r="K145">
        <v>24</v>
      </c>
    </row>
    <row r="146" spans="1:11" x14ac:dyDescent="0.25">
      <c r="A146" t="s">
        <v>9</v>
      </c>
      <c r="B146">
        <v>61</v>
      </c>
      <c r="C146">
        <v>162</v>
      </c>
      <c r="D146">
        <v>0</v>
      </c>
      <c r="E146">
        <v>0</v>
      </c>
      <c r="F146">
        <v>36</v>
      </c>
      <c r="G146">
        <v>21</v>
      </c>
      <c r="H146">
        <v>28</v>
      </c>
      <c r="I146">
        <v>29</v>
      </c>
      <c r="J146">
        <v>40</v>
      </c>
      <c r="K146">
        <v>8</v>
      </c>
    </row>
    <row r="147" spans="1:11" x14ac:dyDescent="0.25">
      <c r="A147" t="s">
        <v>9</v>
      </c>
      <c r="B147">
        <v>62</v>
      </c>
      <c r="C147">
        <v>257</v>
      </c>
      <c r="D147">
        <v>0</v>
      </c>
      <c r="E147">
        <v>10</v>
      </c>
      <c r="F147">
        <v>68</v>
      </c>
      <c r="G147">
        <v>45</v>
      </c>
      <c r="H147">
        <v>20</v>
      </c>
      <c r="I147">
        <v>54</v>
      </c>
      <c r="J147">
        <v>35</v>
      </c>
      <c r="K147">
        <v>25</v>
      </c>
    </row>
    <row r="148" spans="1:11" x14ac:dyDescent="0.25">
      <c r="A148" t="s">
        <v>9</v>
      </c>
      <c r="B148">
        <v>63</v>
      </c>
      <c r="C148">
        <v>229</v>
      </c>
      <c r="D148">
        <v>0</v>
      </c>
      <c r="E148">
        <v>3</v>
      </c>
      <c r="F148">
        <v>42</v>
      </c>
      <c r="G148">
        <v>55</v>
      </c>
      <c r="H148">
        <v>34</v>
      </c>
      <c r="I148">
        <v>46</v>
      </c>
      <c r="J148">
        <v>46</v>
      </c>
      <c r="K148">
        <v>3</v>
      </c>
    </row>
    <row r="149" spans="1:11" x14ac:dyDescent="0.25">
      <c r="A149" t="s">
        <v>9</v>
      </c>
      <c r="B149">
        <v>64</v>
      </c>
      <c r="C149">
        <v>196</v>
      </c>
      <c r="D149">
        <v>0</v>
      </c>
      <c r="E149">
        <v>0</v>
      </c>
      <c r="F149">
        <v>56</v>
      </c>
      <c r="G149">
        <v>38</v>
      </c>
      <c r="H149">
        <v>19</v>
      </c>
      <c r="I149">
        <v>34</v>
      </c>
      <c r="J149">
        <v>45</v>
      </c>
      <c r="K149">
        <v>4</v>
      </c>
    </row>
    <row r="150" spans="1:11" x14ac:dyDescent="0.25">
      <c r="A150" t="s">
        <v>9</v>
      </c>
      <c r="B150">
        <v>65</v>
      </c>
      <c r="C150">
        <v>288</v>
      </c>
      <c r="D150">
        <v>0</v>
      </c>
      <c r="E150">
        <v>12</v>
      </c>
      <c r="F150">
        <v>50</v>
      </c>
      <c r="G150">
        <v>68</v>
      </c>
      <c r="H150">
        <v>39</v>
      </c>
      <c r="I150">
        <v>63</v>
      </c>
      <c r="J150">
        <v>41</v>
      </c>
      <c r="K150">
        <v>15</v>
      </c>
    </row>
    <row r="151" spans="1:11" x14ac:dyDescent="0.25">
      <c r="A151" t="s">
        <v>9</v>
      </c>
      <c r="B151">
        <v>68</v>
      </c>
      <c r="C151">
        <v>766</v>
      </c>
      <c r="D151">
        <v>0</v>
      </c>
      <c r="E151">
        <v>15</v>
      </c>
      <c r="F151">
        <v>106</v>
      </c>
      <c r="G151">
        <v>230</v>
      </c>
      <c r="H151">
        <v>112</v>
      </c>
      <c r="I151">
        <v>105</v>
      </c>
      <c r="J151">
        <v>90</v>
      </c>
      <c r="K151">
        <v>108</v>
      </c>
    </row>
    <row r="152" spans="1:11" x14ac:dyDescent="0.25">
      <c r="A152" t="s">
        <v>9</v>
      </c>
      <c r="B152">
        <v>69</v>
      </c>
      <c r="C152">
        <v>734</v>
      </c>
      <c r="D152">
        <v>0</v>
      </c>
      <c r="E152">
        <v>5</v>
      </c>
      <c r="F152">
        <v>144</v>
      </c>
      <c r="G152">
        <v>133</v>
      </c>
      <c r="H152">
        <v>102</v>
      </c>
      <c r="I152">
        <v>156</v>
      </c>
      <c r="J152">
        <v>149</v>
      </c>
      <c r="K152">
        <v>45</v>
      </c>
    </row>
    <row r="153" spans="1:11" x14ac:dyDescent="0.25">
      <c r="A153" t="s">
        <v>9</v>
      </c>
      <c r="B153">
        <v>70</v>
      </c>
      <c r="C153">
        <v>127</v>
      </c>
      <c r="D153">
        <v>0</v>
      </c>
      <c r="E153">
        <v>3</v>
      </c>
      <c r="F153">
        <v>25</v>
      </c>
      <c r="G153">
        <v>19</v>
      </c>
      <c r="H153">
        <v>12</v>
      </c>
      <c r="I153">
        <v>31</v>
      </c>
      <c r="J153">
        <v>27</v>
      </c>
      <c r="K153">
        <v>10</v>
      </c>
    </row>
    <row r="154" spans="1:11" x14ac:dyDescent="0.25">
      <c r="A154" t="s">
        <v>9</v>
      </c>
      <c r="B154">
        <v>86</v>
      </c>
      <c r="C154">
        <v>381</v>
      </c>
      <c r="D154">
        <v>0</v>
      </c>
      <c r="E154">
        <v>1</v>
      </c>
      <c r="F154">
        <v>69</v>
      </c>
      <c r="G154">
        <v>104</v>
      </c>
      <c r="H154">
        <v>58</v>
      </c>
      <c r="I154">
        <v>50</v>
      </c>
      <c r="J154">
        <v>70</v>
      </c>
      <c r="K154">
        <v>29</v>
      </c>
    </row>
    <row r="155" spans="1:11" x14ac:dyDescent="0.25">
      <c r="A155" t="s">
        <v>9</v>
      </c>
      <c r="B155">
        <v>101</v>
      </c>
      <c r="C155">
        <v>187</v>
      </c>
      <c r="D155">
        <v>0</v>
      </c>
      <c r="E155">
        <v>9</v>
      </c>
      <c r="F155">
        <v>63</v>
      </c>
      <c r="G155">
        <v>39</v>
      </c>
      <c r="H155">
        <v>16</v>
      </c>
      <c r="I155">
        <v>27</v>
      </c>
      <c r="J155">
        <v>24</v>
      </c>
      <c r="K155">
        <v>9</v>
      </c>
    </row>
    <row r="156" spans="1:11" x14ac:dyDescent="0.25">
      <c r="A156" t="s">
        <v>9</v>
      </c>
      <c r="B156">
        <v>103</v>
      </c>
      <c r="C156">
        <v>407</v>
      </c>
      <c r="D156">
        <v>0</v>
      </c>
      <c r="E156">
        <v>0</v>
      </c>
      <c r="F156">
        <v>77</v>
      </c>
      <c r="G156">
        <v>84</v>
      </c>
      <c r="H156">
        <v>55</v>
      </c>
      <c r="I156">
        <v>100</v>
      </c>
      <c r="J156">
        <v>79</v>
      </c>
      <c r="K156">
        <v>12</v>
      </c>
    </row>
    <row r="157" spans="1:11" x14ac:dyDescent="0.25">
      <c r="A157" t="s">
        <v>9</v>
      </c>
      <c r="B157">
        <v>108</v>
      </c>
      <c r="C157">
        <v>242</v>
      </c>
      <c r="D157">
        <v>0</v>
      </c>
      <c r="E157">
        <v>0</v>
      </c>
      <c r="F157">
        <v>46</v>
      </c>
      <c r="G157">
        <v>51</v>
      </c>
      <c r="H157">
        <v>35</v>
      </c>
      <c r="I157">
        <v>46</v>
      </c>
      <c r="J157">
        <v>50</v>
      </c>
      <c r="K157">
        <v>14</v>
      </c>
    </row>
    <row r="158" spans="1:11" x14ac:dyDescent="0.25">
      <c r="A158" t="s">
        <v>9</v>
      </c>
      <c r="B158">
        <v>109</v>
      </c>
      <c r="C158">
        <v>571</v>
      </c>
      <c r="D158">
        <v>0</v>
      </c>
      <c r="E158">
        <v>7</v>
      </c>
      <c r="F158">
        <v>121</v>
      </c>
      <c r="G158">
        <v>110</v>
      </c>
      <c r="H158">
        <v>77</v>
      </c>
      <c r="I158">
        <v>119</v>
      </c>
      <c r="J158">
        <v>105</v>
      </c>
      <c r="K158">
        <v>32</v>
      </c>
    </row>
    <row r="159" spans="1:11" x14ac:dyDescent="0.25">
      <c r="A159" t="s">
        <v>9</v>
      </c>
      <c r="B159">
        <v>110</v>
      </c>
      <c r="C159">
        <v>145</v>
      </c>
      <c r="D159">
        <v>0</v>
      </c>
      <c r="E159">
        <v>2</v>
      </c>
      <c r="F159">
        <v>30</v>
      </c>
      <c r="G159">
        <v>32</v>
      </c>
      <c r="H159">
        <v>19</v>
      </c>
      <c r="I159">
        <v>24</v>
      </c>
      <c r="J159">
        <v>28</v>
      </c>
      <c r="K159">
        <v>10</v>
      </c>
    </row>
    <row r="160" spans="1:11" x14ac:dyDescent="0.25">
      <c r="A160" t="s">
        <v>9</v>
      </c>
      <c r="B160">
        <v>122</v>
      </c>
      <c r="C160">
        <v>150</v>
      </c>
      <c r="D160">
        <v>0</v>
      </c>
      <c r="E160">
        <v>6</v>
      </c>
      <c r="F160">
        <v>20</v>
      </c>
      <c r="G160">
        <v>16</v>
      </c>
      <c r="H160">
        <v>28</v>
      </c>
      <c r="I160">
        <v>46</v>
      </c>
      <c r="J160">
        <v>30</v>
      </c>
      <c r="K160">
        <v>4</v>
      </c>
    </row>
    <row r="161" spans="1:11" x14ac:dyDescent="0.25">
      <c r="A161" t="s">
        <v>9</v>
      </c>
      <c r="B161">
        <v>124</v>
      </c>
      <c r="C161">
        <v>141</v>
      </c>
      <c r="D161">
        <v>0</v>
      </c>
      <c r="E161">
        <v>2</v>
      </c>
      <c r="F161">
        <v>26</v>
      </c>
      <c r="G161">
        <v>42</v>
      </c>
      <c r="H161">
        <v>23</v>
      </c>
      <c r="I161">
        <v>26</v>
      </c>
      <c r="J161">
        <v>22</v>
      </c>
      <c r="K161">
        <v>0</v>
      </c>
    </row>
    <row r="162" spans="1:11" x14ac:dyDescent="0.25">
      <c r="A162" t="s">
        <v>9</v>
      </c>
      <c r="B162">
        <v>131</v>
      </c>
      <c r="C162">
        <v>76</v>
      </c>
      <c r="D162">
        <v>0</v>
      </c>
      <c r="E162">
        <v>0</v>
      </c>
      <c r="F162">
        <v>12</v>
      </c>
      <c r="G162">
        <v>10</v>
      </c>
      <c r="H162">
        <v>20</v>
      </c>
      <c r="I162">
        <v>12</v>
      </c>
      <c r="J162">
        <v>10</v>
      </c>
      <c r="K162">
        <v>12</v>
      </c>
    </row>
    <row r="163" spans="1:11" x14ac:dyDescent="0.25">
      <c r="A163" t="s">
        <v>9</v>
      </c>
      <c r="B163">
        <v>132</v>
      </c>
      <c r="C163">
        <v>322</v>
      </c>
      <c r="D163">
        <v>0</v>
      </c>
      <c r="E163">
        <v>2</v>
      </c>
      <c r="F163">
        <v>74</v>
      </c>
      <c r="G163">
        <v>76</v>
      </c>
      <c r="H163">
        <v>32</v>
      </c>
      <c r="I163">
        <v>101</v>
      </c>
      <c r="J163">
        <v>35</v>
      </c>
      <c r="K163">
        <v>2</v>
      </c>
    </row>
    <row r="164" spans="1:11" x14ac:dyDescent="0.25">
      <c r="A164" t="s">
        <v>9</v>
      </c>
      <c r="B164">
        <v>133</v>
      </c>
      <c r="C164">
        <v>78</v>
      </c>
      <c r="D164">
        <v>0</v>
      </c>
      <c r="E164">
        <v>2</v>
      </c>
      <c r="F164">
        <v>20</v>
      </c>
      <c r="G164">
        <v>15</v>
      </c>
      <c r="H164">
        <v>12</v>
      </c>
      <c r="I164">
        <v>12</v>
      </c>
      <c r="J164">
        <v>5</v>
      </c>
      <c r="K164">
        <v>12</v>
      </c>
    </row>
    <row r="165" spans="1:11" x14ac:dyDescent="0.25">
      <c r="A165" t="s">
        <v>9</v>
      </c>
      <c r="B165">
        <v>138</v>
      </c>
      <c r="C165">
        <v>181</v>
      </c>
      <c r="D165">
        <v>0</v>
      </c>
      <c r="E165">
        <v>9</v>
      </c>
      <c r="F165">
        <v>33</v>
      </c>
      <c r="G165">
        <v>38</v>
      </c>
      <c r="H165">
        <v>40</v>
      </c>
      <c r="I165">
        <v>23</v>
      </c>
      <c r="J165">
        <v>27</v>
      </c>
      <c r="K165">
        <v>11</v>
      </c>
    </row>
    <row r="166" spans="1:11" x14ac:dyDescent="0.25">
      <c r="A166" t="s">
        <v>9</v>
      </c>
      <c r="B166">
        <v>139</v>
      </c>
      <c r="C166">
        <v>429</v>
      </c>
      <c r="D166">
        <v>0</v>
      </c>
      <c r="E166">
        <v>5</v>
      </c>
      <c r="F166">
        <v>78</v>
      </c>
      <c r="G166">
        <v>90</v>
      </c>
      <c r="H166">
        <v>57</v>
      </c>
      <c r="I166">
        <v>110</v>
      </c>
      <c r="J166">
        <v>80</v>
      </c>
      <c r="K166">
        <v>9</v>
      </c>
    </row>
    <row r="167" spans="1:11" x14ac:dyDescent="0.25">
      <c r="A167" t="s">
        <v>9</v>
      </c>
      <c r="B167">
        <v>140</v>
      </c>
      <c r="C167">
        <v>274</v>
      </c>
      <c r="D167">
        <v>0</v>
      </c>
      <c r="E167">
        <v>2</v>
      </c>
      <c r="F167">
        <v>58</v>
      </c>
      <c r="G167">
        <v>66</v>
      </c>
      <c r="H167">
        <v>39</v>
      </c>
      <c r="I167">
        <v>45</v>
      </c>
      <c r="J167">
        <v>53</v>
      </c>
      <c r="K167">
        <v>11</v>
      </c>
    </row>
    <row r="168" spans="1:11" x14ac:dyDescent="0.25">
      <c r="A168" t="s">
        <v>9</v>
      </c>
      <c r="B168">
        <v>141</v>
      </c>
      <c r="C168">
        <v>227</v>
      </c>
      <c r="D168">
        <v>0</v>
      </c>
      <c r="E168">
        <v>5</v>
      </c>
      <c r="F168">
        <v>53</v>
      </c>
      <c r="G168">
        <v>50</v>
      </c>
      <c r="H168">
        <v>15</v>
      </c>
      <c r="I168">
        <v>36</v>
      </c>
      <c r="J168">
        <v>48</v>
      </c>
      <c r="K168">
        <v>20</v>
      </c>
    </row>
    <row r="169" spans="1:11" x14ac:dyDescent="0.25">
      <c r="A169" t="s">
        <v>9</v>
      </c>
      <c r="B169">
        <v>142</v>
      </c>
      <c r="C169">
        <v>173</v>
      </c>
      <c r="D169">
        <v>0</v>
      </c>
      <c r="E169">
        <v>13</v>
      </c>
      <c r="F169">
        <v>38</v>
      </c>
      <c r="G169">
        <v>31</v>
      </c>
      <c r="H169">
        <v>20</v>
      </c>
      <c r="I169">
        <v>24</v>
      </c>
      <c r="J169">
        <v>30</v>
      </c>
      <c r="K169">
        <v>17</v>
      </c>
    </row>
    <row r="170" spans="1:11" x14ac:dyDescent="0.25">
      <c r="A170" t="s">
        <v>9</v>
      </c>
      <c r="B170">
        <v>143</v>
      </c>
      <c r="C170">
        <v>302</v>
      </c>
      <c r="D170">
        <v>0</v>
      </c>
      <c r="E170">
        <v>9</v>
      </c>
      <c r="F170">
        <v>57</v>
      </c>
      <c r="G170">
        <v>65</v>
      </c>
      <c r="H170">
        <v>32</v>
      </c>
      <c r="I170">
        <v>53</v>
      </c>
      <c r="J170">
        <v>43</v>
      </c>
      <c r="K170">
        <v>43</v>
      </c>
    </row>
    <row r="171" spans="1:11" x14ac:dyDescent="0.25">
      <c r="A171" t="s">
        <v>9</v>
      </c>
      <c r="B171">
        <v>144</v>
      </c>
      <c r="C171">
        <v>330</v>
      </c>
      <c r="D171">
        <v>0</v>
      </c>
      <c r="E171">
        <v>3</v>
      </c>
      <c r="F171">
        <v>72</v>
      </c>
      <c r="G171">
        <v>85</v>
      </c>
      <c r="H171">
        <v>64</v>
      </c>
      <c r="I171">
        <v>42</v>
      </c>
      <c r="J171">
        <v>47</v>
      </c>
      <c r="K171">
        <v>17</v>
      </c>
    </row>
    <row r="172" spans="1:11" x14ac:dyDescent="0.25">
      <c r="A172" t="s">
        <v>9</v>
      </c>
      <c r="B172">
        <v>145</v>
      </c>
      <c r="C172">
        <v>406</v>
      </c>
      <c r="D172">
        <v>0</v>
      </c>
      <c r="E172">
        <v>0</v>
      </c>
      <c r="F172">
        <v>81</v>
      </c>
      <c r="G172">
        <v>75</v>
      </c>
      <c r="H172">
        <v>65</v>
      </c>
      <c r="I172">
        <v>102</v>
      </c>
      <c r="J172">
        <v>75</v>
      </c>
      <c r="K172">
        <v>8</v>
      </c>
    </row>
    <row r="173" spans="1:11" x14ac:dyDescent="0.25">
      <c r="C173">
        <f>SUM(C99:C172)</f>
        <v>22146</v>
      </c>
      <c r="D173">
        <f t="shared" ref="D173:K173" si="8">SUM(D99:D172)</f>
        <v>0</v>
      </c>
    </row>
    <row r="174" spans="1:11" x14ac:dyDescent="0.25">
      <c r="B174">
        <v>1</v>
      </c>
      <c r="C174">
        <v>147</v>
      </c>
      <c r="D174">
        <v>0</v>
      </c>
      <c r="E174">
        <v>4</v>
      </c>
      <c r="F174">
        <v>30</v>
      </c>
      <c r="G174">
        <v>48</v>
      </c>
      <c r="H174">
        <v>19</v>
      </c>
      <c r="I174">
        <v>15</v>
      </c>
      <c r="J174">
        <v>16</v>
      </c>
      <c r="K174">
        <v>15</v>
      </c>
    </row>
    <row r="175" spans="1:11" x14ac:dyDescent="0.25">
      <c r="B175">
        <v>2</v>
      </c>
      <c r="C175">
        <v>220</v>
      </c>
      <c r="D175">
        <v>0</v>
      </c>
      <c r="E175">
        <v>0</v>
      </c>
      <c r="F175">
        <v>46</v>
      </c>
      <c r="G175">
        <v>23</v>
      </c>
      <c r="H175">
        <v>30</v>
      </c>
      <c r="I175">
        <v>63</v>
      </c>
      <c r="J175">
        <v>42</v>
      </c>
      <c r="K175">
        <v>16</v>
      </c>
    </row>
    <row r="176" spans="1:11" x14ac:dyDescent="0.25">
      <c r="B176">
        <v>10</v>
      </c>
      <c r="C176">
        <v>370</v>
      </c>
      <c r="D176">
        <v>0</v>
      </c>
      <c r="E176">
        <v>3</v>
      </c>
      <c r="F176">
        <v>72</v>
      </c>
      <c r="G176">
        <v>94</v>
      </c>
      <c r="H176">
        <v>61</v>
      </c>
      <c r="I176">
        <v>57</v>
      </c>
      <c r="J176">
        <v>47</v>
      </c>
      <c r="K176">
        <v>36</v>
      </c>
    </row>
    <row r="177" spans="2:11" x14ac:dyDescent="0.25">
      <c r="B177">
        <v>33</v>
      </c>
      <c r="C177">
        <v>364</v>
      </c>
      <c r="D177">
        <v>0</v>
      </c>
      <c r="E177">
        <v>0</v>
      </c>
      <c r="F177">
        <v>66</v>
      </c>
      <c r="G177">
        <v>67</v>
      </c>
      <c r="H177">
        <v>71</v>
      </c>
      <c r="I177">
        <v>82</v>
      </c>
      <c r="J177">
        <v>74</v>
      </c>
      <c r="K177">
        <v>4</v>
      </c>
    </row>
    <row r="178" spans="2:11" x14ac:dyDescent="0.25">
      <c r="B178">
        <v>43</v>
      </c>
      <c r="C178">
        <v>145</v>
      </c>
      <c r="D178">
        <v>0</v>
      </c>
      <c r="E178">
        <v>7</v>
      </c>
      <c r="F178">
        <v>40</v>
      </c>
      <c r="G178">
        <v>31</v>
      </c>
      <c r="H178">
        <v>11</v>
      </c>
      <c r="I178">
        <v>9</v>
      </c>
      <c r="J178">
        <v>19</v>
      </c>
      <c r="K178">
        <v>28</v>
      </c>
    </row>
    <row r="179" spans="2:11" x14ac:dyDescent="0.25">
      <c r="B179">
        <v>66</v>
      </c>
      <c r="C179">
        <v>375</v>
      </c>
      <c r="D179">
        <v>0</v>
      </c>
      <c r="E179">
        <v>0</v>
      </c>
      <c r="F179">
        <v>74</v>
      </c>
      <c r="G179">
        <v>68</v>
      </c>
      <c r="H179">
        <v>69</v>
      </c>
      <c r="I179">
        <v>72</v>
      </c>
      <c r="J179">
        <v>71</v>
      </c>
      <c r="K179">
        <v>21</v>
      </c>
    </row>
    <row r="180" spans="2:11" x14ac:dyDescent="0.25">
      <c r="B180">
        <v>67</v>
      </c>
      <c r="C180">
        <v>138</v>
      </c>
      <c r="D180">
        <v>0</v>
      </c>
      <c r="E180">
        <v>0</v>
      </c>
      <c r="F180">
        <v>35</v>
      </c>
      <c r="G180">
        <v>37</v>
      </c>
      <c r="H180">
        <v>14</v>
      </c>
      <c r="I180">
        <v>35</v>
      </c>
      <c r="J180">
        <v>16</v>
      </c>
      <c r="K180">
        <v>1</v>
      </c>
    </row>
    <row r="181" spans="2:11" x14ac:dyDescent="0.25">
      <c r="B181">
        <v>71</v>
      </c>
      <c r="C181">
        <v>512</v>
      </c>
      <c r="D181">
        <v>0</v>
      </c>
      <c r="E181">
        <v>6</v>
      </c>
      <c r="F181">
        <v>106</v>
      </c>
      <c r="G181">
        <v>119</v>
      </c>
      <c r="H181">
        <v>64</v>
      </c>
      <c r="I181">
        <v>93</v>
      </c>
      <c r="J181">
        <v>76</v>
      </c>
      <c r="K181">
        <v>48</v>
      </c>
    </row>
    <row r="182" spans="2:11" x14ac:dyDescent="0.25">
      <c r="B182">
        <v>72</v>
      </c>
      <c r="C182">
        <v>383</v>
      </c>
      <c r="D182">
        <v>0</v>
      </c>
      <c r="E182">
        <v>6</v>
      </c>
      <c r="F182">
        <v>80</v>
      </c>
      <c r="G182">
        <v>83</v>
      </c>
      <c r="H182">
        <v>54</v>
      </c>
      <c r="I182">
        <v>77</v>
      </c>
      <c r="J182">
        <v>56</v>
      </c>
      <c r="K182">
        <v>27</v>
      </c>
    </row>
    <row r="183" spans="2:11" x14ac:dyDescent="0.25">
      <c r="B183">
        <v>89</v>
      </c>
      <c r="C183">
        <v>949</v>
      </c>
      <c r="D183">
        <v>0</v>
      </c>
      <c r="E183">
        <v>0</v>
      </c>
      <c r="F183">
        <v>157</v>
      </c>
      <c r="G183">
        <v>214</v>
      </c>
      <c r="H183">
        <v>189</v>
      </c>
      <c r="I183">
        <v>195</v>
      </c>
      <c r="J183">
        <v>172</v>
      </c>
      <c r="K183">
        <v>22</v>
      </c>
    </row>
    <row r="184" spans="2:11" x14ac:dyDescent="0.25">
      <c r="B184">
        <v>90</v>
      </c>
      <c r="C184">
        <v>361</v>
      </c>
      <c r="D184">
        <v>0</v>
      </c>
      <c r="E184">
        <v>14</v>
      </c>
      <c r="F184">
        <v>70</v>
      </c>
      <c r="G184">
        <v>63</v>
      </c>
      <c r="H184">
        <v>46</v>
      </c>
      <c r="I184">
        <v>75</v>
      </c>
      <c r="J184">
        <v>70</v>
      </c>
      <c r="K184">
        <v>23</v>
      </c>
    </row>
    <row r="185" spans="2:11" x14ac:dyDescent="0.25">
      <c r="B185">
        <v>91</v>
      </c>
      <c r="C185">
        <v>281</v>
      </c>
      <c r="D185">
        <v>0</v>
      </c>
      <c r="E185">
        <v>0</v>
      </c>
      <c r="F185">
        <v>56</v>
      </c>
      <c r="G185">
        <v>33</v>
      </c>
      <c r="H185">
        <v>53</v>
      </c>
      <c r="I185">
        <v>72</v>
      </c>
      <c r="J185">
        <v>57</v>
      </c>
      <c r="K185">
        <v>10</v>
      </c>
    </row>
    <row r="186" spans="2:11" x14ac:dyDescent="0.25">
      <c r="B186">
        <v>92</v>
      </c>
      <c r="C186">
        <v>275</v>
      </c>
      <c r="D186">
        <v>0</v>
      </c>
      <c r="E186">
        <v>4</v>
      </c>
      <c r="F186">
        <v>45</v>
      </c>
      <c r="G186">
        <v>51</v>
      </c>
      <c r="H186">
        <v>48</v>
      </c>
      <c r="I186">
        <v>51</v>
      </c>
      <c r="J186">
        <v>65</v>
      </c>
      <c r="K186">
        <v>11</v>
      </c>
    </row>
    <row r="187" spans="2:11" x14ac:dyDescent="0.25">
      <c r="B187">
        <v>93</v>
      </c>
      <c r="C187">
        <v>102</v>
      </c>
      <c r="D187">
        <v>0</v>
      </c>
      <c r="E187">
        <v>2</v>
      </c>
      <c r="F187">
        <v>26</v>
      </c>
      <c r="G187">
        <v>11</v>
      </c>
      <c r="H187">
        <v>8</v>
      </c>
      <c r="I187">
        <v>15</v>
      </c>
      <c r="J187">
        <v>30</v>
      </c>
      <c r="K187">
        <v>10</v>
      </c>
    </row>
    <row r="188" spans="2:11" x14ac:dyDescent="0.25">
      <c r="B188">
        <v>94</v>
      </c>
      <c r="C188">
        <v>387</v>
      </c>
      <c r="D188">
        <v>0</v>
      </c>
      <c r="E188">
        <v>0</v>
      </c>
      <c r="F188">
        <v>70</v>
      </c>
      <c r="G188">
        <v>52</v>
      </c>
      <c r="H188">
        <v>66</v>
      </c>
      <c r="I188">
        <v>87</v>
      </c>
      <c r="J188">
        <v>93</v>
      </c>
      <c r="K188">
        <v>19</v>
      </c>
    </row>
    <row r="189" spans="2:11" x14ac:dyDescent="0.25">
      <c r="B189">
        <v>95</v>
      </c>
      <c r="C189">
        <v>208</v>
      </c>
      <c r="D189">
        <v>0</v>
      </c>
      <c r="E189">
        <v>0</v>
      </c>
      <c r="F189">
        <v>35</v>
      </c>
      <c r="G189">
        <v>31</v>
      </c>
      <c r="H189">
        <v>35</v>
      </c>
      <c r="I189">
        <v>55</v>
      </c>
      <c r="J189">
        <v>30</v>
      </c>
      <c r="K189">
        <v>22</v>
      </c>
    </row>
    <row r="190" spans="2:11" x14ac:dyDescent="0.25">
      <c r="B190">
        <v>96</v>
      </c>
      <c r="C190">
        <v>258</v>
      </c>
      <c r="D190">
        <v>0</v>
      </c>
      <c r="E190">
        <v>2</v>
      </c>
      <c r="F190">
        <v>45</v>
      </c>
      <c r="G190">
        <v>75</v>
      </c>
      <c r="H190">
        <v>38</v>
      </c>
      <c r="I190">
        <v>40</v>
      </c>
      <c r="J190">
        <v>37</v>
      </c>
      <c r="K190">
        <v>21</v>
      </c>
    </row>
    <row r="191" spans="2:11" x14ac:dyDescent="0.25">
      <c r="B191">
        <v>97</v>
      </c>
      <c r="C191">
        <v>230</v>
      </c>
      <c r="D191">
        <v>0</v>
      </c>
      <c r="E191">
        <v>0</v>
      </c>
      <c r="F191">
        <v>41</v>
      </c>
      <c r="G191">
        <v>39</v>
      </c>
      <c r="H191">
        <v>39</v>
      </c>
      <c r="I191">
        <v>43</v>
      </c>
      <c r="J191">
        <v>56</v>
      </c>
      <c r="K191">
        <v>12</v>
      </c>
    </row>
    <row r="192" spans="2:11" x14ac:dyDescent="0.25">
      <c r="B192">
        <v>98</v>
      </c>
      <c r="C192">
        <v>182</v>
      </c>
      <c r="D192">
        <v>0</v>
      </c>
      <c r="E192">
        <v>5</v>
      </c>
      <c r="F192">
        <v>36</v>
      </c>
      <c r="G192">
        <v>40</v>
      </c>
      <c r="H192">
        <v>20</v>
      </c>
      <c r="I192">
        <v>42</v>
      </c>
      <c r="J192">
        <v>26</v>
      </c>
      <c r="K192">
        <v>13</v>
      </c>
    </row>
    <row r="193" spans="2:11" x14ac:dyDescent="0.25">
      <c r="B193">
        <v>99</v>
      </c>
      <c r="C193">
        <v>201</v>
      </c>
      <c r="D193">
        <v>0</v>
      </c>
      <c r="E193">
        <v>5</v>
      </c>
      <c r="F193">
        <v>39</v>
      </c>
      <c r="G193">
        <v>49</v>
      </c>
      <c r="H193">
        <v>34</v>
      </c>
      <c r="I193">
        <v>19</v>
      </c>
      <c r="J193">
        <v>32</v>
      </c>
      <c r="K193">
        <v>23</v>
      </c>
    </row>
    <row r="194" spans="2:11" x14ac:dyDescent="0.25">
      <c r="B194">
        <v>100</v>
      </c>
      <c r="C194">
        <v>97</v>
      </c>
      <c r="D194">
        <v>0</v>
      </c>
      <c r="E194">
        <v>0</v>
      </c>
      <c r="F194">
        <v>15</v>
      </c>
      <c r="G194">
        <v>29</v>
      </c>
      <c r="H194">
        <v>8</v>
      </c>
      <c r="I194">
        <v>17</v>
      </c>
      <c r="J194">
        <v>14</v>
      </c>
      <c r="K194">
        <v>14</v>
      </c>
    </row>
    <row r="195" spans="2:11" x14ac:dyDescent="0.25">
      <c r="B195">
        <v>102</v>
      </c>
      <c r="C195">
        <v>515</v>
      </c>
      <c r="D195">
        <v>0</v>
      </c>
      <c r="E195">
        <v>5</v>
      </c>
      <c r="F195">
        <v>118</v>
      </c>
      <c r="G195">
        <v>90</v>
      </c>
      <c r="H195">
        <v>85</v>
      </c>
      <c r="I195">
        <v>122</v>
      </c>
      <c r="J195">
        <v>82</v>
      </c>
      <c r="K195">
        <v>13</v>
      </c>
    </row>
    <row r="196" spans="2:11" x14ac:dyDescent="0.25">
      <c r="B196">
        <v>104</v>
      </c>
      <c r="C196">
        <v>661</v>
      </c>
      <c r="D196">
        <v>0</v>
      </c>
      <c r="E196">
        <v>2</v>
      </c>
      <c r="F196">
        <v>133</v>
      </c>
      <c r="G196">
        <v>112</v>
      </c>
      <c r="H196">
        <v>138</v>
      </c>
      <c r="I196">
        <v>123</v>
      </c>
      <c r="J196">
        <v>115</v>
      </c>
      <c r="K196">
        <v>38</v>
      </c>
    </row>
    <row r="197" spans="2:11" x14ac:dyDescent="0.25">
      <c r="B197">
        <v>105</v>
      </c>
      <c r="C197">
        <v>697</v>
      </c>
      <c r="D197">
        <v>0</v>
      </c>
      <c r="E197">
        <v>0</v>
      </c>
      <c r="F197">
        <v>122</v>
      </c>
      <c r="G197">
        <v>55</v>
      </c>
      <c r="H197">
        <v>109</v>
      </c>
      <c r="I197">
        <v>206</v>
      </c>
      <c r="J197">
        <v>197</v>
      </c>
      <c r="K197">
        <v>8</v>
      </c>
    </row>
    <row r="198" spans="2:11" x14ac:dyDescent="0.25">
      <c r="B198">
        <v>106</v>
      </c>
      <c r="C198">
        <v>880</v>
      </c>
      <c r="D198">
        <v>0</v>
      </c>
      <c r="E198">
        <v>11</v>
      </c>
      <c r="F198">
        <v>171</v>
      </c>
      <c r="G198">
        <v>138</v>
      </c>
      <c r="H198">
        <v>142</v>
      </c>
      <c r="I198">
        <v>240</v>
      </c>
      <c r="J198">
        <v>123</v>
      </c>
      <c r="K198">
        <v>55</v>
      </c>
    </row>
    <row r="199" spans="2:11" x14ac:dyDescent="0.25">
      <c r="B199">
        <v>107</v>
      </c>
      <c r="C199">
        <v>721</v>
      </c>
      <c r="D199">
        <v>0</v>
      </c>
      <c r="E199">
        <v>0</v>
      </c>
      <c r="F199">
        <v>133</v>
      </c>
      <c r="G199">
        <v>107</v>
      </c>
      <c r="H199">
        <v>125</v>
      </c>
      <c r="I199">
        <v>189</v>
      </c>
      <c r="J199">
        <v>167</v>
      </c>
      <c r="K199">
        <v>0</v>
      </c>
    </row>
    <row r="200" spans="2:11" x14ac:dyDescent="0.25">
      <c r="B200">
        <v>111</v>
      </c>
      <c r="C200">
        <v>183</v>
      </c>
      <c r="D200">
        <v>0</v>
      </c>
      <c r="E200">
        <v>0</v>
      </c>
      <c r="F200">
        <v>24</v>
      </c>
      <c r="G200">
        <v>26</v>
      </c>
      <c r="H200">
        <v>43</v>
      </c>
      <c r="I200">
        <v>44</v>
      </c>
      <c r="J200">
        <v>32</v>
      </c>
      <c r="K200">
        <v>14</v>
      </c>
    </row>
    <row r="201" spans="2:11" x14ac:dyDescent="0.25">
      <c r="B201">
        <v>112</v>
      </c>
      <c r="C201">
        <v>179</v>
      </c>
      <c r="D201">
        <v>0</v>
      </c>
      <c r="E201">
        <v>0</v>
      </c>
      <c r="F201">
        <v>23</v>
      </c>
      <c r="G201">
        <v>35</v>
      </c>
      <c r="H201">
        <v>35</v>
      </c>
      <c r="I201">
        <v>30</v>
      </c>
      <c r="J201">
        <v>40</v>
      </c>
      <c r="K201">
        <v>16</v>
      </c>
    </row>
    <row r="202" spans="2:11" x14ac:dyDescent="0.25">
      <c r="B202">
        <v>113</v>
      </c>
      <c r="C202">
        <v>136</v>
      </c>
      <c r="D202">
        <v>0</v>
      </c>
      <c r="E202">
        <v>0</v>
      </c>
      <c r="F202">
        <v>37</v>
      </c>
      <c r="G202">
        <v>32</v>
      </c>
      <c r="H202">
        <v>13</v>
      </c>
      <c r="I202">
        <v>33</v>
      </c>
      <c r="J202">
        <v>20</v>
      </c>
      <c r="K202">
        <v>1</v>
      </c>
    </row>
    <row r="203" spans="2:11" x14ac:dyDescent="0.25">
      <c r="B203">
        <v>114</v>
      </c>
      <c r="C203">
        <v>128</v>
      </c>
      <c r="D203">
        <v>0</v>
      </c>
      <c r="E203">
        <v>0</v>
      </c>
      <c r="F203">
        <v>18</v>
      </c>
      <c r="G203">
        <v>13</v>
      </c>
      <c r="H203">
        <v>22</v>
      </c>
      <c r="I203">
        <v>46</v>
      </c>
      <c r="J203">
        <v>29</v>
      </c>
      <c r="K203">
        <v>0</v>
      </c>
    </row>
    <row r="204" spans="2:11" x14ac:dyDescent="0.25">
      <c r="B204">
        <v>115</v>
      </c>
      <c r="C204">
        <v>313</v>
      </c>
      <c r="D204">
        <v>0</v>
      </c>
      <c r="E204">
        <v>4</v>
      </c>
      <c r="F204">
        <v>48</v>
      </c>
      <c r="G204">
        <v>38</v>
      </c>
      <c r="H204">
        <v>75</v>
      </c>
      <c r="I204">
        <v>71</v>
      </c>
      <c r="J204">
        <v>62</v>
      </c>
      <c r="K204">
        <v>15</v>
      </c>
    </row>
    <row r="205" spans="2:11" x14ac:dyDescent="0.25">
      <c r="B205">
        <v>116</v>
      </c>
      <c r="C205">
        <v>302</v>
      </c>
      <c r="D205">
        <v>0</v>
      </c>
      <c r="E205">
        <v>2</v>
      </c>
      <c r="F205">
        <v>62</v>
      </c>
      <c r="G205">
        <v>43</v>
      </c>
      <c r="H205">
        <v>49</v>
      </c>
      <c r="I205">
        <v>69</v>
      </c>
      <c r="J205">
        <v>55</v>
      </c>
      <c r="K205">
        <v>22</v>
      </c>
    </row>
    <row r="206" spans="2:11" x14ac:dyDescent="0.25">
      <c r="B206">
        <v>117</v>
      </c>
      <c r="C206">
        <v>34</v>
      </c>
      <c r="D206">
        <v>0</v>
      </c>
      <c r="E206">
        <v>0</v>
      </c>
      <c r="F206">
        <v>9</v>
      </c>
      <c r="G206">
        <v>6</v>
      </c>
      <c r="H206">
        <v>4</v>
      </c>
      <c r="I206">
        <v>7</v>
      </c>
      <c r="J206">
        <v>2</v>
      </c>
      <c r="K206">
        <v>6</v>
      </c>
    </row>
    <row r="207" spans="2:11" x14ac:dyDescent="0.25">
      <c r="B207">
        <v>118</v>
      </c>
      <c r="C207">
        <v>431</v>
      </c>
      <c r="D207">
        <v>0</v>
      </c>
      <c r="E207">
        <v>2</v>
      </c>
      <c r="F207">
        <v>96</v>
      </c>
      <c r="G207">
        <v>72</v>
      </c>
      <c r="H207">
        <v>63</v>
      </c>
      <c r="I207">
        <v>93</v>
      </c>
      <c r="J207">
        <v>93</v>
      </c>
      <c r="K207">
        <v>12</v>
      </c>
    </row>
    <row r="208" spans="2:11" x14ac:dyDescent="0.25">
      <c r="B208">
        <v>119</v>
      </c>
      <c r="C208">
        <v>2837</v>
      </c>
      <c r="D208">
        <v>0</v>
      </c>
      <c r="E208">
        <v>0</v>
      </c>
      <c r="F208">
        <v>627</v>
      </c>
      <c r="G208">
        <v>528</v>
      </c>
      <c r="H208">
        <v>469</v>
      </c>
      <c r="I208">
        <v>661</v>
      </c>
      <c r="J208">
        <v>524</v>
      </c>
      <c r="K208">
        <v>28</v>
      </c>
    </row>
    <row r="209" spans="2:11" x14ac:dyDescent="0.25">
      <c r="B209">
        <v>120</v>
      </c>
      <c r="C209">
        <v>111</v>
      </c>
      <c r="D209">
        <v>0</v>
      </c>
      <c r="E209">
        <v>0</v>
      </c>
      <c r="F209">
        <v>30</v>
      </c>
      <c r="G209">
        <v>18</v>
      </c>
      <c r="H209">
        <v>20</v>
      </c>
      <c r="I209">
        <v>26</v>
      </c>
      <c r="J209">
        <v>17</v>
      </c>
      <c r="K209">
        <v>0</v>
      </c>
    </row>
    <row r="210" spans="2:11" x14ac:dyDescent="0.25">
      <c r="B210">
        <v>121</v>
      </c>
      <c r="C210">
        <v>124</v>
      </c>
      <c r="D210">
        <v>0</v>
      </c>
      <c r="E210">
        <v>0</v>
      </c>
      <c r="F210">
        <v>41</v>
      </c>
      <c r="G210">
        <v>27</v>
      </c>
      <c r="H210">
        <v>11</v>
      </c>
      <c r="I210">
        <v>35</v>
      </c>
      <c r="J210">
        <v>10</v>
      </c>
      <c r="K210">
        <v>0</v>
      </c>
    </row>
    <row r="211" spans="2:11" x14ac:dyDescent="0.25">
      <c r="B211">
        <v>123</v>
      </c>
      <c r="C211">
        <v>97</v>
      </c>
      <c r="D211">
        <v>0</v>
      </c>
      <c r="E211">
        <v>10</v>
      </c>
      <c r="F211">
        <v>28</v>
      </c>
      <c r="G211">
        <v>15</v>
      </c>
      <c r="H211">
        <v>9</v>
      </c>
      <c r="I211">
        <v>17</v>
      </c>
      <c r="J211">
        <v>17</v>
      </c>
      <c r="K211">
        <v>1</v>
      </c>
    </row>
    <row r="212" spans="2:11" x14ac:dyDescent="0.25">
      <c r="B212">
        <v>125</v>
      </c>
      <c r="C212">
        <v>125</v>
      </c>
      <c r="D212">
        <v>0</v>
      </c>
      <c r="E212">
        <v>9</v>
      </c>
      <c r="F212">
        <v>23</v>
      </c>
      <c r="G212">
        <v>22</v>
      </c>
      <c r="H212">
        <v>24</v>
      </c>
      <c r="I212">
        <v>23</v>
      </c>
      <c r="J212">
        <v>8</v>
      </c>
      <c r="K212">
        <v>16</v>
      </c>
    </row>
    <row r="213" spans="2:11" x14ac:dyDescent="0.25">
      <c r="B213">
        <v>126</v>
      </c>
      <c r="C213">
        <v>120</v>
      </c>
      <c r="D213">
        <v>0</v>
      </c>
      <c r="E213">
        <v>11</v>
      </c>
      <c r="F213">
        <v>21</v>
      </c>
      <c r="G213">
        <v>36</v>
      </c>
      <c r="H213">
        <v>15</v>
      </c>
      <c r="I213">
        <v>19</v>
      </c>
      <c r="J213">
        <v>8</v>
      </c>
      <c r="K213">
        <v>10</v>
      </c>
    </row>
    <row r="214" spans="2:11" x14ac:dyDescent="0.25">
      <c r="B214">
        <v>127</v>
      </c>
      <c r="C214">
        <v>121</v>
      </c>
      <c r="D214">
        <v>0</v>
      </c>
      <c r="E214">
        <v>9</v>
      </c>
      <c r="F214">
        <v>16</v>
      </c>
      <c r="G214">
        <v>26</v>
      </c>
      <c r="H214">
        <v>8</v>
      </c>
      <c r="I214">
        <v>13</v>
      </c>
      <c r="J214">
        <v>21</v>
      </c>
      <c r="K214">
        <v>28</v>
      </c>
    </row>
    <row r="215" spans="2:11" x14ac:dyDescent="0.25">
      <c r="B215">
        <v>128</v>
      </c>
      <c r="C215">
        <v>114</v>
      </c>
      <c r="D215">
        <v>0</v>
      </c>
      <c r="E215">
        <v>2</v>
      </c>
      <c r="F215">
        <v>22</v>
      </c>
      <c r="G215">
        <v>25</v>
      </c>
      <c r="H215">
        <v>17</v>
      </c>
      <c r="I215">
        <v>27</v>
      </c>
      <c r="J215">
        <v>19</v>
      </c>
      <c r="K215">
        <v>2</v>
      </c>
    </row>
    <row r="216" spans="2:11" x14ac:dyDescent="0.25">
      <c r="B216">
        <v>129</v>
      </c>
      <c r="C216">
        <v>126</v>
      </c>
      <c r="D216">
        <v>0</v>
      </c>
      <c r="E216">
        <v>0</v>
      </c>
      <c r="F216">
        <v>23</v>
      </c>
      <c r="G216">
        <v>23</v>
      </c>
      <c r="H216">
        <v>24</v>
      </c>
      <c r="I216">
        <v>25</v>
      </c>
      <c r="J216">
        <v>22</v>
      </c>
      <c r="K216">
        <v>9</v>
      </c>
    </row>
    <row r="217" spans="2:11" x14ac:dyDescent="0.25">
      <c r="B217">
        <v>130</v>
      </c>
      <c r="C217">
        <v>133</v>
      </c>
      <c r="D217">
        <v>0</v>
      </c>
      <c r="E217">
        <v>3</v>
      </c>
      <c r="F217">
        <v>25</v>
      </c>
      <c r="G217">
        <v>33</v>
      </c>
      <c r="H217">
        <v>16</v>
      </c>
      <c r="I217">
        <v>38</v>
      </c>
      <c r="J217">
        <v>18</v>
      </c>
      <c r="K217">
        <v>0</v>
      </c>
    </row>
    <row r="218" spans="2:11" x14ac:dyDescent="0.25">
      <c r="B218">
        <v>134</v>
      </c>
      <c r="C218">
        <v>59</v>
      </c>
      <c r="D218">
        <v>0</v>
      </c>
      <c r="E218">
        <v>0</v>
      </c>
      <c r="F218">
        <v>15</v>
      </c>
      <c r="G218">
        <v>13</v>
      </c>
      <c r="H218">
        <v>8</v>
      </c>
      <c r="I218">
        <v>15</v>
      </c>
      <c r="J218">
        <v>5</v>
      </c>
      <c r="K218">
        <v>3</v>
      </c>
    </row>
    <row r="219" spans="2:11" x14ac:dyDescent="0.25">
      <c r="B219">
        <v>135</v>
      </c>
      <c r="C219">
        <v>385</v>
      </c>
      <c r="D219">
        <v>0</v>
      </c>
      <c r="E219">
        <v>2</v>
      </c>
      <c r="F219">
        <v>52</v>
      </c>
      <c r="G219">
        <v>60</v>
      </c>
      <c r="H219">
        <v>62</v>
      </c>
      <c r="I219">
        <v>101</v>
      </c>
      <c r="J219">
        <v>81</v>
      </c>
      <c r="K219">
        <v>27</v>
      </c>
    </row>
    <row r="220" spans="2:11" x14ac:dyDescent="0.25">
      <c r="B220">
        <v>136</v>
      </c>
      <c r="C220">
        <v>400</v>
      </c>
      <c r="D220">
        <v>0</v>
      </c>
      <c r="E220">
        <v>0</v>
      </c>
      <c r="F220">
        <v>57</v>
      </c>
      <c r="G220">
        <v>4</v>
      </c>
      <c r="H220">
        <v>169</v>
      </c>
      <c r="I220">
        <v>31</v>
      </c>
      <c r="J220">
        <v>134</v>
      </c>
      <c r="K220">
        <v>5</v>
      </c>
    </row>
    <row r="221" spans="2:11" x14ac:dyDescent="0.25">
      <c r="B221">
        <v>137</v>
      </c>
      <c r="C221">
        <v>181</v>
      </c>
      <c r="D221">
        <v>0</v>
      </c>
      <c r="E221">
        <v>10</v>
      </c>
      <c r="F221">
        <v>35</v>
      </c>
      <c r="G221">
        <v>52</v>
      </c>
      <c r="H221">
        <v>17</v>
      </c>
      <c r="I221">
        <v>32</v>
      </c>
      <c r="J221">
        <v>10</v>
      </c>
      <c r="K221">
        <v>25</v>
      </c>
    </row>
    <row r="222" spans="2:11" x14ac:dyDescent="0.25">
      <c r="B222">
        <v>146</v>
      </c>
      <c r="C222">
        <v>195</v>
      </c>
      <c r="D222">
        <v>0</v>
      </c>
      <c r="E222">
        <v>0</v>
      </c>
      <c r="F222">
        <v>29</v>
      </c>
      <c r="G222">
        <v>37</v>
      </c>
      <c r="H222">
        <v>22</v>
      </c>
      <c r="I222">
        <v>28</v>
      </c>
      <c r="J222">
        <v>38</v>
      </c>
      <c r="K222">
        <v>41</v>
      </c>
    </row>
    <row r="223" spans="2:11" x14ac:dyDescent="0.25">
      <c r="B223">
        <v>147</v>
      </c>
      <c r="C223">
        <v>341</v>
      </c>
      <c r="D223">
        <v>0</v>
      </c>
      <c r="E223">
        <v>0</v>
      </c>
      <c r="F223">
        <v>62</v>
      </c>
      <c r="G223">
        <v>52</v>
      </c>
      <c r="H223">
        <v>45</v>
      </c>
      <c r="I223">
        <v>65</v>
      </c>
      <c r="J223">
        <v>104</v>
      </c>
      <c r="K223">
        <v>13</v>
      </c>
    </row>
    <row r="224" spans="2:11" x14ac:dyDescent="0.25">
      <c r="B224">
        <v>148</v>
      </c>
      <c r="C224">
        <v>254</v>
      </c>
      <c r="D224">
        <v>0</v>
      </c>
      <c r="E224">
        <v>0</v>
      </c>
      <c r="F224">
        <v>49</v>
      </c>
      <c r="G224">
        <v>50</v>
      </c>
      <c r="H224">
        <v>34</v>
      </c>
      <c r="I224">
        <v>65</v>
      </c>
      <c r="J224">
        <v>35</v>
      </c>
      <c r="K224">
        <v>21</v>
      </c>
    </row>
    <row r="225" spans="2:11" x14ac:dyDescent="0.25">
      <c r="B225">
        <v>149</v>
      </c>
      <c r="C225">
        <v>157</v>
      </c>
      <c r="D225">
        <v>0</v>
      </c>
      <c r="E225">
        <v>0</v>
      </c>
      <c r="F225">
        <v>30</v>
      </c>
      <c r="G225">
        <v>25</v>
      </c>
      <c r="H225">
        <v>19</v>
      </c>
      <c r="I225">
        <v>37</v>
      </c>
      <c r="J225">
        <v>38</v>
      </c>
      <c r="K225">
        <v>8</v>
      </c>
    </row>
    <row r="226" spans="2:11" x14ac:dyDescent="0.25">
      <c r="B226">
        <v>150</v>
      </c>
      <c r="C226">
        <v>95</v>
      </c>
      <c r="D226">
        <v>0</v>
      </c>
      <c r="E226">
        <v>0</v>
      </c>
      <c r="F226">
        <v>12</v>
      </c>
      <c r="G226">
        <v>28</v>
      </c>
      <c r="H226">
        <v>13</v>
      </c>
      <c r="I226">
        <v>29</v>
      </c>
      <c r="J226">
        <v>13</v>
      </c>
      <c r="K226">
        <v>0</v>
      </c>
    </row>
    <row r="227" spans="2:11" x14ac:dyDescent="0.25">
      <c r="C227">
        <f>SUM(C174:C226)</f>
        <v>17340</v>
      </c>
      <c r="D227">
        <f t="shared" ref="D227:K227" si="9">SUM(D174:D226)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MacDonald</dc:creator>
  <cp:lastModifiedBy>Bob MacDonald</cp:lastModifiedBy>
  <dcterms:created xsi:type="dcterms:W3CDTF">2024-12-13T07:40:17Z</dcterms:created>
  <dcterms:modified xsi:type="dcterms:W3CDTF">2024-12-24T03:37:33Z</dcterms:modified>
</cp:coreProperties>
</file>