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265" yWindow="-15" windowWidth="11325" windowHeight="14265"/>
  </bookViews>
  <sheets>
    <sheet name="Status" sheetId="2" r:id="rId1"/>
    <sheet name="changes" sheetId="3" r:id="rId2"/>
    <sheet name="zartsi" sheetId="4" r:id="rId3"/>
    <sheet name="starts" sheetId="1" r:id="rId4"/>
    <sheet name="Prose endings" sheetId="5" r:id="rId5"/>
    <sheet name="Prose contour examples" sheetId="6" r:id="rId6"/>
    <sheet name="Sheet1" sheetId="7" r:id="rId7"/>
  </sheets>
  <calcPr calcId="145621"/>
</workbook>
</file>

<file path=xl/calcChain.xml><?xml version="1.0" encoding="utf-8"?>
<calcChain xmlns="http://schemas.openxmlformats.org/spreadsheetml/2006/main">
  <c r="J28" i="2" l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I27" i="2"/>
  <c r="I45" i="2" s="1"/>
  <c r="I39" i="2" l="1"/>
  <c r="I30" i="2"/>
  <c r="I31" i="2"/>
  <c r="I38" i="2"/>
  <c r="I32" i="2"/>
  <c r="I40" i="2"/>
  <c r="I33" i="2"/>
  <c r="I41" i="2"/>
  <c r="I34" i="2"/>
  <c r="I42" i="2"/>
  <c r="I43" i="2"/>
  <c r="I35" i="2"/>
  <c r="I28" i="2"/>
  <c r="I36" i="2"/>
  <c r="I44" i="2"/>
  <c r="I29" i="2"/>
  <c r="I37" i="2"/>
  <c r="J46" i="2"/>
  <c r="K46" i="2" s="1"/>
  <c r="K28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L32" i="2"/>
  <c r="L35" i="2"/>
  <c r="L39" i="2"/>
  <c r="L42" i="2"/>
  <c r="L45" i="2"/>
  <c r="F46" i="2" l="1"/>
  <c r="H32" i="2" l="1"/>
  <c r="H45" i="2" l="1"/>
  <c r="H39" i="2"/>
  <c r="E5" i="7"/>
  <c r="E4" i="7"/>
  <c r="E3" i="7"/>
  <c r="E2" i="7"/>
  <c r="D5" i="7"/>
  <c r="D4" i="7"/>
  <c r="D3" i="7"/>
  <c r="D2" i="7"/>
  <c r="H46" i="2" l="1"/>
  <c r="L46" i="2" s="1"/>
  <c r="O136" i="1"/>
  <c r="N136" i="1"/>
  <c r="O135" i="1"/>
  <c r="N135" i="1"/>
  <c r="O134" i="1"/>
  <c r="N134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8" i="1"/>
  <c r="N118" i="1"/>
  <c r="O117" i="1"/>
  <c r="N117" i="1"/>
  <c r="O116" i="1"/>
  <c r="N116" i="1"/>
  <c r="O115" i="1"/>
  <c r="N115" i="1"/>
  <c r="O114" i="1"/>
  <c r="N114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G96" i="1"/>
  <c r="G121" i="1"/>
  <c r="G122" i="1"/>
  <c r="G124" i="1"/>
  <c r="G126" i="1"/>
  <c r="E103" i="1"/>
  <c r="F103" i="1"/>
  <c r="G103" i="1" s="1"/>
  <c r="E113" i="1"/>
  <c r="F113" i="1"/>
  <c r="G113" i="1" s="1"/>
  <c r="E119" i="1"/>
  <c r="F119" i="1"/>
  <c r="G119" i="1" s="1"/>
  <c r="E133" i="1"/>
  <c r="F133" i="1"/>
  <c r="G133" i="1" s="1"/>
  <c r="E137" i="1"/>
  <c r="F137" i="1"/>
  <c r="G137" i="1" s="1"/>
  <c r="G115" i="1"/>
  <c r="L107" i="1"/>
  <c r="L101" i="1"/>
  <c r="G108" i="1"/>
  <c r="L117" i="1"/>
  <c r="L116" i="1"/>
  <c r="L115" i="1"/>
  <c r="L114" i="1"/>
  <c r="L113" i="1"/>
  <c r="L112" i="1"/>
  <c r="L111" i="1"/>
  <c r="L110" i="1"/>
  <c r="L109" i="1"/>
  <c r="L108" i="1"/>
  <c r="L106" i="1"/>
  <c r="L105" i="1"/>
  <c r="L104" i="1"/>
  <c r="L103" i="1"/>
  <c r="L102" i="1"/>
  <c r="L100" i="1"/>
  <c r="L99" i="1"/>
  <c r="L98" i="1"/>
  <c r="L97" i="1"/>
  <c r="L96" i="1"/>
  <c r="G136" i="1"/>
  <c r="G135" i="1"/>
  <c r="G134" i="1"/>
  <c r="G132" i="1"/>
  <c r="G131" i="1"/>
  <c r="G130" i="1"/>
  <c r="G129" i="1"/>
  <c r="G128" i="1"/>
  <c r="G127" i="1"/>
  <c r="G125" i="1"/>
  <c r="G123" i="1"/>
  <c r="G120" i="1"/>
  <c r="G118" i="1"/>
  <c r="G117" i="1"/>
  <c r="G116" i="1"/>
  <c r="G114" i="1"/>
  <c r="G112" i="1"/>
  <c r="G111" i="1"/>
  <c r="G110" i="1"/>
  <c r="G109" i="1"/>
  <c r="G107" i="1"/>
  <c r="G106" i="1"/>
  <c r="G105" i="1"/>
  <c r="G104" i="1"/>
  <c r="G102" i="1"/>
  <c r="G101" i="1"/>
  <c r="G100" i="1"/>
  <c r="G99" i="1"/>
  <c r="G98" i="1"/>
  <c r="G97" i="1"/>
  <c r="G95" i="1"/>
  <c r="G94" i="1"/>
  <c r="G93" i="1"/>
  <c r="G92" i="1"/>
  <c r="R47" i="2"/>
  <c r="R46" i="2"/>
  <c r="R45" i="2"/>
  <c r="G18" i="1" l="1"/>
  <c r="F18" i="1"/>
  <c r="G17" i="1"/>
  <c r="F17" i="1"/>
  <c r="E18" i="1"/>
  <c r="E17" i="1"/>
  <c r="R43" i="2"/>
  <c r="R42" i="2"/>
  <c r="R41" i="2"/>
  <c r="R40" i="2"/>
  <c r="Q33" i="2"/>
  <c r="Q32" i="2"/>
  <c r="Q31" i="2"/>
  <c r="Q30" i="2"/>
  <c r="P34" i="2"/>
  <c r="P35" i="2" s="1"/>
  <c r="O34" i="2"/>
  <c r="O35" i="2" s="1"/>
  <c r="Q35" i="2" l="1"/>
  <c r="Q34" i="2"/>
  <c r="AF49" i="1" l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J50" i="1"/>
  <c r="AJ51" i="1" s="1"/>
  <c r="AL48" i="1"/>
  <c r="AL49" i="1" s="1"/>
  <c r="AK48" i="1"/>
  <c r="AK49" i="1" s="1"/>
  <c r="AJ48" i="1"/>
  <c r="AJ49" i="1" s="1"/>
  <c r="AI48" i="1"/>
  <c r="AI49" i="1" s="1"/>
  <c r="AH49" i="1"/>
  <c r="AH48" i="1"/>
  <c r="AM48" i="1"/>
  <c r="AM46" i="1"/>
  <c r="M88" i="1" l="1"/>
  <c r="G88" i="1"/>
  <c r="AI86" i="1" l="1"/>
  <c r="AH86" i="1"/>
  <c r="AA86" i="1"/>
  <c r="S86" i="1"/>
  <c r="R86" i="1"/>
  <c r="K86" i="1"/>
  <c r="J86" i="1"/>
  <c r="C86" i="1"/>
  <c r="AJ85" i="1"/>
  <c r="AI85" i="1"/>
  <c r="AH85" i="1"/>
  <c r="AG85" i="1"/>
  <c r="AB85" i="1"/>
  <c r="AA85" i="1"/>
  <c r="Z85" i="1"/>
  <c r="Y85" i="1"/>
  <c r="T85" i="1"/>
  <c r="S85" i="1"/>
  <c r="R85" i="1"/>
  <c r="Q85" i="1"/>
  <c r="L85" i="1"/>
  <c r="K85" i="1"/>
  <c r="J85" i="1"/>
  <c r="I85" i="1"/>
  <c r="D85" i="1"/>
  <c r="C85" i="1"/>
  <c r="AN84" i="1"/>
  <c r="AI84" i="1"/>
  <c r="AH84" i="1"/>
  <c r="AG84" i="1"/>
  <c r="AF84" i="1"/>
  <c r="AA84" i="1"/>
  <c r="Z84" i="1"/>
  <c r="Y84" i="1"/>
  <c r="X84" i="1"/>
  <c r="S84" i="1"/>
  <c r="R84" i="1"/>
  <c r="Q84" i="1"/>
  <c r="P84" i="1"/>
  <c r="K84" i="1"/>
  <c r="J84" i="1"/>
  <c r="I84" i="1"/>
  <c r="H84" i="1"/>
  <c r="C84" i="1"/>
  <c r="AN83" i="1"/>
  <c r="AM83" i="1"/>
  <c r="AH83" i="1"/>
  <c r="AG83" i="1"/>
  <c r="AF83" i="1"/>
  <c r="AE83" i="1"/>
  <c r="Z83" i="1"/>
  <c r="Y83" i="1"/>
  <c r="X83" i="1"/>
  <c r="W83" i="1"/>
  <c r="R83" i="1"/>
  <c r="Q83" i="1"/>
  <c r="P83" i="1"/>
  <c r="O83" i="1"/>
  <c r="J83" i="1"/>
  <c r="I83" i="1"/>
  <c r="H83" i="1"/>
  <c r="G83" i="1"/>
  <c r="AK82" i="1"/>
  <c r="AJ82" i="1"/>
  <c r="AI82" i="1"/>
  <c r="AH82" i="1"/>
  <c r="AB82" i="1"/>
  <c r="AA82" i="1"/>
  <c r="Z82" i="1"/>
  <c r="T82" i="1"/>
  <c r="S82" i="1"/>
  <c r="R82" i="1"/>
  <c r="L82" i="1"/>
  <c r="K82" i="1"/>
  <c r="J82" i="1"/>
  <c r="D82" i="1"/>
  <c r="C82" i="1"/>
  <c r="AJ81" i="1"/>
  <c r="AI81" i="1"/>
  <c r="AH81" i="1"/>
  <c r="AG81" i="1"/>
  <c r="AB81" i="1"/>
  <c r="AA81" i="1"/>
  <c r="Z81" i="1"/>
  <c r="Y81" i="1"/>
  <c r="T81" i="1"/>
  <c r="S81" i="1"/>
  <c r="R81" i="1"/>
  <c r="Q81" i="1"/>
  <c r="L81" i="1"/>
  <c r="K81" i="1"/>
  <c r="J81" i="1"/>
  <c r="I81" i="1"/>
  <c r="D81" i="1"/>
  <c r="C81" i="1"/>
  <c r="AN80" i="1"/>
  <c r="AI80" i="1"/>
  <c r="AH80" i="1"/>
  <c r="AG80" i="1"/>
  <c r="AF80" i="1"/>
  <c r="AA80" i="1"/>
  <c r="Z80" i="1"/>
  <c r="Y80" i="1"/>
  <c r="X80" i="1"/>
  <c r="S80" i="1"/>
  <c r="R80" i="1"/>
  <c r="Q80" i="1"/>
  <c r="P80" i="1"/>
  <c r="K80" i="1"/>
  <c r="J80" i="1"/>
  <c r="I80" i="1"/>
  <c r="H80" i="1"/>
  <c r="C80" i="1"/>
  <c r="AN79" i="1"/>
  <c r="AM79" i="1"/>
  <c r="AH79" i="1"/>
  <c r="AG79" i="1"/>
  <c r="AF79" i="1"/>
  <c r="AE79" i="1"/>
  <c r="Z79" i="1"/>
  <c r="Y79" i="1"/>
  <c r="X79" i="1"/>
  <c r="W79" i="1"/>
  <c r="R79" i="1"/>
  <c r="Q79" i="1"/>
  <c r="P79" i="1"/>
  <c r="O79" i="1"/>
  <c r="J79" i="1"/>
  <c r="I79" i="1"/>
  <c r="H79" i="1"/>
  <c r="G79" i="1"/>
  <c r="B86" i="1"/>
  <c r="B85" i="1"/>
  <c r="B84" i="1"/>
  <c r="B83" i="1"/>
  <c r="B82" i="1"/>
  <c r="B81" i="1"/>
  <c r="B88" i="1" s="1"/>
  <c r="B80" i="1"/>
  <c r="AN78" i="1"/>
  <c r="AN85" i="1" s="1"/>
  <c r="AM78" i="1"/>
  <c r="AM84" i="1" s="1"/>
  <c r="AL78" i="1"/>
  <c r="AL83" i="1" s="1"/>
  <c r="AK78" i="1"/>
  <c r="AK86" i="1" s="1"/>
  <c r="AJ78" i="1"/>
  <c r="AJ86" i="1" s="1"/>
  <c r="AI78" i="1"/>
  <c r="AI83" i="1" s="1"/>
  <c r="AH78" i="1"/>
  <c r="AG78" i="1"/>
  <c r="AG86" i="1" s="1"/>
  <c r="AF78" i="1"/>
  <c r="AF85" i="1" s="1"/>
  <c r="AE78" i="1"/>
  <c r="AE84" i="1" s="1"/>
  <c r="AD78" i="1"/>
  <c r="AD83" i="1" s="1"/>
  <c r="AC78" i="1"/>
  <c r="AC86" i="1" s="1"/>
  <c r="AB78" i="1"/>
  <c r="AB86" i="1" s="1"/>
  <c r="AA78" i="1"/>
  <c r="AA83" i="1" s="1"/>
  <c r="Z78" i="1"/>
  <c r="Z86" i="1" s="1"/>
  <c r="Y78" i="1"/>
  <c r="Y86" i="1" s="1"/>
  <c r="X78" i="1"/>
  <c r="X85" i="1" s="1"/>
  <c r="W78" i="1"/>
  <c r="W84" i="1" s="1"/>
  <c r="V78" i="1"/>
  <c r="V83" i="1" s="1"/>
  <c r="U78" i="1"/>
  <c r="U86" i="1" s="1"/>
  <c r="T78" i="1"/>
  <c r="T86" i="1" s="1"/>
  <c r="S78" i="1"/>
  <c r="S83" i="1" s="1"/>
  <c r="R78" i="1"/>
  <c r="Q78" i="1"/>
  <c r="Q86" i="1" s="1"/>
  <c r="P78" i="1"/>
  <c r="P85" i="1" s="1"/>
  <c r="O78" i="1"/>
  <c r="O84" i="1" s="1"/>
  <c r="N78" i="1"/>
  <c r="N83" i="1" s="1"/>
  <c r="M78" i="1"/>
  <c r="M86" i="1" s="1"/>
  <c r="L78" i="1"/>
  <c r="L86" i="1" s="1"/>
  <c r="K78" i="1"/>
  <c r="K83" i="1" s="1"/>
  <c r="J78" i="1"/>
  <c r="I78" i="1"/>
  <c r="I86" i="1" s="1"/>
  <c r="H78" i="1"/>
  <c r="H85" i="1" s="1"/>
  <c r="G78" i="1"/>
  <c r="G84" i="1" s="1"/>
  <c r="F78" i="1"/>
  <c r="F83" i="1" s="1"/>
  <c r="E78" i="1"/>
  <c r="E86" i="1" s="1"/>
  <c r="D78" i="1"/>
  <c r="D86" i="1" s="1"/>
  <c r="C78" i="1"/>
  <c r="C83" i="1" s="1"/>
  <c r="B78" i="1"/>
  <c r="B79" i="1" s="1"/>
  <c r="E82" i="1" l="1"/>
  <c r="N82" i="1"/>
  <c r="V86" i="1"/>
  <c r="E81" i="1"/>
  <c r="AC81" i="1"/>
  <c r="G82" i="1"/>
  <c r="W82" i="1"/>
  <c r="AM82" i="1"/>
  <c r="M85" i="1"/>
  <c r="AC85" i="1"/>
  <c r="G86" i="1"/>
  <c r="O86" i="1"/>
  <c r="W86" i="1"/>
  <c r="AM86" i="1"/>
  <c r="AO78" i="1"/>
  <c r="D80" i="1"/>
  <c r="L80" i="1"/>
  <c r="T80" i="1"/>
  <c r="AB80" i="1"/>
  <c r="AJ80" i="1"/>
  <c r="F81" i="1"/>
  <c r="N81" i="1"/>
  <c r="V81" i="1"/>
  <c r="AD81" i="1"/>
  <c r="AL81" i="1"/>
  <c r="H82" i="1"/>
  <c r="P82" i="1"/>
  <c r="X82" i="1"/>
  <c r="AF82" i="1"/>
  <c r="AN82" i="1"/>
  <c r="D84" i="1"/>
  <c r="L84" i="1"/>
  <c r="T84" i="1"/>
  <c r="AB84" i="1"/>
  <c r="AJ84" i="1"/>
  <c r="F85" i="1"/>
  <c r="N85" i="1"/>
  <c r="V85" i="1"/>
  <c r="AD85" i="1"/>
  <c r="AL85" i="1"/>
  <c r="H86" i="1"/>
  <c r="P86" i="1"/>
  <c r="X86" i="1"/>
  <c r="AF86" i="1"/>
  <c r="AN86" i="1"/>
  <c r="C79" i="1"/>
  <c r="K79" i="1"/>
  <c r="S79" i="1"/>
  <c r="AA79" i="1"/>
  <c r="AI79" i="1"/>
  <c r="E80" i="1"/>
  <c r="M80" i="1"/>
  <c r="U80" i="1"/>
  <c r="AC80" i="1"/>
  <c r="AK80" i="1"/>
  <c r="G81" i="1"/>
  <c r="O81" i="1"/>
  <c r="W81" i="1"/>
  <c r="AE81" i="1"/>
  <c r="AM81" i="1"/>
  <c r="I82" i="1"/>
  <c r="Q82" i="1"/>
  <c r="Y82" i="1"/>
  <c r="AG82" i="1"/>
  <c r="E84" i="1"/>
  <c r="M84" i="1"/>
  <c r="U84" i="1"/>
  <c r="AC84" i="1"/>
  <c r="AK84" i="1"/>
  <c r="G85" i="1"/>
  <c r="O85" i="1"/>
  <c r="W85" i="1"/>
  <c r="AE85" i="1"/>
  <c r="AM85" i="1"/>
  <c r="F82" i="1"/>
  <c r="AL82" i="1"/>
  <c r="F86" i="1"/>
  <c r="N86" i="1"/>
  <c r="AL86" i="1"/>
  <c r="M81" i="1"/>
  <c r="U81" i="1"/>
  <c r="AK81" i="1"/>
  <c r="O82" i="1"/>
  <c r="AE82" i="1"/>
  <c r="E85" i="1"/>
  <c r="U85" i="1"/>
  <c r="AK85" i="1"/>
  <c r="AE86" i="1"/>
  <c r="D79" i="1"/>
  <c r="L79" i="1"/>
  <c r="T79" i="1"/>
  <c r="AB79" i="1"/>
  <c r="AJ79" i="1"/>
  <c r="F80" i="1"/>
  <c r="N80" i="1"/>
  <c r="V80" i="1"/>
  <c r="AD80" i="1"/>
  <c r="AL80" i="1"/>
  <c r="H81" i="1"/>
  <c r="P81" i="1"/>
  <c r="X81" i="1"/>
  <c r="AF81" i="1"/>
  <c r="AN81" i="1"/>
  <c r="D83" i="1"/>
  <c r="L83" i="1"/>
  <c r="T83" i="1"/>
  <c r="AB83" i="1"/>
  <c r="AJ83" i="1"/>
  <c r="F84" i="1"/>
  <c r="N84" i="1"/>
  <c r="V84" i="1"/>
  <c r="AD84" i="1"/>
  <c r="AL84" i="1"/>
  <c r="U82" i="1"/>
  <c r="V82" i="1"/>
  <c r="AD82" i="1"/>
  <c r="AD86" i="1"/>
  <c r="E79" i="1"/>
  <c r="M79" i="1"/>
  <c r="U79" i="1"/>
  <c r="AC79" i="1"/>
  <c r="AK79" i="1"/>
  <c r="G80" i="1"/>
  <c r="O80" i="1"/>
  <c r="W80" i="1"/>
  <c r="AE80" i="1"/>
  <c r="AM80" i="1"/>
  <c r="E83" i="1"/>
  <c r="M83" i="1"/>
  <c r="U83" i="1"/>
  <c r="AC83" i="1"/>
  <c r="AK83" i="1"/>
  <c r="F79" i="1"/>
  <c r="N79" i="1"/>
  <c r="V79" i="1"/>
  <c r="AD79" i="1"/>
  <c r="AL79" i="1"/>
  <c r="M82" i="1"/>
  <c r="AC82" i="1"/>
  <c r="AB88" i="1" l="1"/>
  <c r="AJ88" i="1"/>
  <c r="P88" i="1"/>
  <c r="AE88" i="1"/>
  <c r="AH46" i="1"/>
  <c r="AM43" i="1" l="1"/>
  <c r="S39" i="5" l="1"/>
  <c r="T39" i="5"/>
  <c r="U39" i="5"/>
  <c r="N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39" i="5"/>
  <c r="G39" i="5"/>
  <c r="F39" i="5"/>
  <c r="E39" i="5"/>
  <c r="D39" i="5"/>
  <c r="C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P39" i="5"/>
  <c r="O39" i="5"/>
  <c r="M39" i="5"/>
  <c r="L39" i="5"/>
  <c r="K39" i="5"/>
  <c r="Q39" i="5"/>
  <c r="E418" i="4"/>
  <c r="G418" i="4"/>
  <c r="I418" i="4"/>
  <c r="K418" i="4"/>
  <c r="M418" i="4"/>
  <c r="O418" i="4"/>
  <c r="R39" i="5" l="1"/>
  <c r="P419" i="4"/>
  <c r="N419" i="4"/>
  <c r="L419" i="4"/>
  <c r="J419" i="4"/>
  <c r="H419" i="4"/>
  <c r="F419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40" i="3" l="1"/>
  <c r="C40" i="3"/>
  <c r="F39" i="3"/>
  <c r="F38" i="3"/>
  <c r="F37" i="3"/>
  <c r="F36" i="3"/>
  <c r="F9" i="3"/>
  <c r="F8" i="3"/>
  <c r="H1" i="2"/>
  <c r="J1" i="2" s="1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M21" i="2"/>
  <c r="N21" i="2" s="1"/>
  <c r="A2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I23" i="2"/>
  <c r="F22" i="2"/>
  <c r="J23" i="2" l="1"/>
  <c r="E25" i="2"/>
  <c r="D25" i="2"/>
  <c r="P22" i="2" l="1"/>
  <c r="O21" i="2"/>
  <c r="P23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M11" i="2" l="1"/>
  <c r="N11" i="2" s="1"/>
  <c r="AK46" i="1" l="1"/>
  <c r="AJ46" i="1"/>
  <c r="AI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M42" i="1"/>
  <c r="AM41" i="1"/>
  <c r="AM40" i="1"/>
  <c r="M10" i="2" l="1"/>
  <c r="N10" i="2" s="1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7" i="3"/>
  <c r="F6" i="3"/>
  <c r="F5" i="3"/>
  <c r="F4" i="3"/>
  <c r="F3" i="3"/>
  <c r="F2" i="3"/>
  <c r="F1" i="3"/>
  <c r="M12" i="2" l="1"/>
  <c r="N12" i="2" s="1"/>
  <c r="M15" i="2" l="1"/>
  <c r="N15" i="2" s="1"/>
  <c r="M20" i="2" l="1"/>
  <c r="M9" i="2"/>
  <c r="M18" i="2"/>
  <c r="M16" i="2"/>
  <c r="M14" i="2"/>
  <c r="M13" i="2"/>
  <c r="M8" i="2"/>
  <c r="N8" i="2" s="1"/>
  <c r="M7" i="2"/>
  <c r="N7" i="2" s="1"/>
  <c r="N14" i="2" l="1"/>
  <c r="N18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AM47" i="1" l="1"/>
  <c r="M5" i="2" l="1"/>
  <c r="N5" i="2" s="1"/>
  <c r="T22" i="2" l="1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N13" i="2"/>
  <c r="N16" i="2"/>
  <c r="N9" i="2"/>
  <c r="M6" i="2"/>
  <c r="N6" i="2" s="1"/>
  <c r="M19" i="2" l="1"/>
  <c r="N19" i="2" s="1"/>
  <c r="N20" i="2"/>
  <c r="M17" i="2"/>
  <c r="N17" i="2" s="1"/>
  <c r="O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K1" i="2" l="1"/>
  <c r="D23" i="2" l="1"/>
  <c r="E23" i="2"/>
  <c r="G23" i="2"/>
  <c r="F23" i="2" l="1"/>
  <c r="K23" i="2"/>
  <c r="F25" i="2"/>
  <c r="L15" i="2"/>
  <c r="L20" i="2"/>
  <c r="L12" i="2"/>
  <c r="L19" i="2"/>
  <c r="L11" i="2"/>
  <c r="L18" i="2"/>
  <c r="L10" i="2"/>
  <c r="L17" i="2"/>
  <c r="L9" i="2"/>
  <c r="L16" i="2"/>
  <c r="L8" i="2"/>
  <c r="L7" i="2"/>
  <c r="L22" i="2"/>
  <c r="L14" i="2"/>
  <c r="L6" i="2"/>
  <c r="L21" i="2"/>
  <c r="L13" i="2"/>
  <c r="L5" i="2"/>
  <c r="O11" i="1"/>
  <c r="O13" i="1" s="1"/>
  <c r="AM39" i="1"/>
  <c r="AM38" i="1"/>
  <c r="AL46" i="1" s="1"/>
  <c r="Q11" i="1"/>
  <c r="Q13" i="1" s="1"/>
  <c r="P11" i="1"/>
  <c r="P13" i="1" s="1"/>
  <c r="Q9" i="1"/>
  <c r="Q8" i="1"/>
  <c r="Q7" i="1"/>
  <c r="Q6" i="1"/>
  <c r="Q5" i="1"/>
  <c r="P9" i="1"/>
  <c r="P8" i="1"/>
  <c r="P7" i="1"/>
  <c r="P6" i="1"/>
  <c r="P5" i="1"/>
  <c r="O9" i="1"/>
  <c r="O8" i="1"/>
  <c r="O7" i="1"/>
  <c r="O6" i="1"/>
  <c r="O5" i="1"/>
  <c r="K4" i="1"/>
  <c r="Q4" i="1" s="1"/>
  <c r="U4" i="1" s="1"/>
  <c r="J4" i="1"/>
  <c r="P4" i="1" s="1"/>
  <c r="T4" i="1" s="1"/>
  <c r="I4" i="1"/>
  <c r="O4" i="1" s="1"/>
  <c r="S4" i="1" s="1"/>
  <c r="H4" i="1"/>
  <c r="N4" i="1" s="1"/>
  <c r="R4" i="1" s="1"/>
  <c r="B6" i="1"/>
  <c r="E16" i="1"/>
  <c r="I15" i="1" s="1"/>
  <c r="F16" i="1"/>
  <c r="J15" i="1" s="1"/>
  <c r="G16" i="1"/>
  <c r="K15" i="1" s="1"/>
  <c r="B15" i="1"/>
  <c r="B12" i="1"/>
  <c r="B10" i="1"/>
  <c r="B8" i="1"/>
  <c r="B7" i="1"/>
  <c r="B5" i="1"/>
  <c r="B14" i="1"/>
  <c r="B11" i="1"/>
  <c r="B13" i="1"/>
  <c r="B9" i="1"/>
  <c r="B3" i="1"/>
  <c r="R11" i="1" l="1"/>
  <c r="P10" i="1"/>
  <c r="T8" i="1" s="1"/>
  <c r="O10" i="1"/>
  <c r="Q10" i="1"/>
  <c r="U9" i="1" s="1"/>
  <c r="K13" i="1"/>
  <c r="K5" i="1"/>
  <c r="K6" i="1"/>
  <c r="I6" i="1"/>
  <c r="J6" i="1"/>
  <c r="B16" i="1"/>
  <c r="J11" i="1"/>
  <c r="J3" i="1"/>
  <c r="J14" i="1"/>
  <c r="J8" i="1"/>
  <c r="I14" i="1"/>
  <c r="K8" i="1"/>
  <c r="K3" i="1"/>
  <c r="K14" i="1"/>
  <c r="I5" i="1"/>
  <c r="J9" i="1"/>
  <c r="J10" i="1"/>
  <c r="I7" i="1"/>
  <c r="K9" i="1"/>
  <c r="K10" i="1"/>
  <c r="I3" i="1"/>
  <c r="I8" i="1"/>
  <c r="J13" i="1"/>
  <c r="J5" i="1"/>
  <c r="J12" i="1"/>
  <c r="I10" i="1"/>
  <c r="I9" i="1"/>
  <c r="K12" i="1"/>
  <c r="I13" i="1"/>
  <c r="I12" i="1"/>
  <c r="J7" i="1"/>
  <c r="I11" i="1"/>
  <c r="K11" i="1"/>
  <c r="K7" i="1"/>
  <c r="T7" i="1" l="1"/>
  <c r="T5" i="1"/>
  <c r="Q12" i="1"/>
  <c r="P12" i="1"/>
  <c r="T6" i="1"/>
  <c r="S5" i="1"/>
  <c r="R10" i="1"/>
  <c r="R12" i="1" s="1"/>
  <c r="S7" i="1"/>
  <c r="T9" i="1"/>
  <c r="S9" i="1"/>
  <c r="S8" i="1"/>
  <c r="O12" i="1"/>
  <c r="S6" i="1"/>
  <c r="U7" i="1"/>
  <c r="U5" i="1"/>
  <c r="U8" i="1"/>
  <c r="U6" i="1"/>
  <c r="J16" i="1"/>
  <c r="I16" i="1"/>
  <c r="K16" i="1"/>
  <c r="T10" i="1" l="1"/>
  <c r="S10" i="1"/>
  <c r="U10" i="1"/>
  <c r="M22" i="2" l="1"/>
  <c r="N22" i="2" s="1"/>
  <c r="S23" i="2"/>
  <c r="O24" i="2" s="1"/>
  <c r="S24" i="2" s="1"/>
  <c r="M24" i="2" l="1"/>
  <c r="M26" i="2" l="1"/>
  <c r="M25" i="2"/>
  <c r="O25" i="2" s="1"/>
</calcChain>
</file>

<file path=xl/sharedStrings.xml><?xml version="1.0" encoding="utf-8"?>
<sst xmlns="http://schemas.openxmlformats.org/spreadsheetml/2006/main" count="1847" uniqueCount="748">
  <si>
    <t xml:space="preserve">e </t>
  </si>
  <si>
    <t xml:space="preserve">g </t>
  </si>
  <si>
    <t xml:space="preserve">C </t>
  </si>
  <si>
    <t xml:space="preserve">B </t>
  </si>
  <si>
    <t xml:space="preserve">zar,C </t>
  </si>
  <si>
    <t xml:space="preserve">f# </t>
  </si>
  <si>
    <t xml:space="preserve">rev,e </t>
  </si>
  <si>
    <t xml:space="preserve">rev,f# </t>
  </si>
  <si>
    <t xml:space="preserve">ger-rev,f# </t>
  </si>
  <si>
    <t xml:space="preserve">rev,g </t>
  </si>
  <si>
    <t xml:space="preserve">rev,B </t>
  </si>
  <si>
    <t xml:space="preserve">rev,C </t>
  </si>
  <si>
    <t>Opening</t>
  </si>
  <si>
    <t>Psalms</t>
  </si>
  <si>
    <t xml:space="preserve">Proverbs  </t>
  </si>
  <si>
    <t>Job</t>
  </si>
  <si>
    <t>Total</t>
  </si>
  <si>
    <t>The openings of verses in the Poetry</t>
  </si>
  <si>
    <t>Percentages</t>
  </si>
  <si>
    <t>Most comon verse opening</t>
  </si>
  <si>
    <t>Psalm 109:16</t>
  </si>
  <si>
    <t>~e</t>
  </si>
  <si>
    <t>~f#</t>
  </si>
  <si>
    <t>~g</t>
  </si>
  <si>
    <t>~B</t>
  </si>
  <si>
    <t>~C</t>
  </si>
  <si>
    <t xml:space="preserve">d </t>
  </si>
  <si>
    <t xml:space="preserve">c </t>
  </si>
  <si>
    <t xml:space="preserve">f </t>
  </si>
  <si>
    <t>Gen</t>
  </si>
  <si>
    <t>Ex</t>
  </si>
  <si>
    <t>Lev</t>
  </si>
  <si>
    <t>Num</t>
  </si>
  <si>
    <t>Deut</t>
  </si>
  <si>
    <t>1 SA</t>
  </si>
  <si>
    <t>2 SA</t>
  </si>
  <si>
    <t>Judges</t>
  </si>
  <si>
    <t>1 Ki</t>
  </si>
  <si>
    <t>2 Ki</t>
  </si>
  <si>
    <t>I</t>
  </si>
  <si>
    <t>J</t>
  </si>
  <si>
    <t>E</t>
  </si>
  <si>
    <t>1CH</t>
  </si>
  <si>
    <t>2CH</t>
  </si>
  <si>
    <t>Est</t>
  </si>
  <si>
    <t>Lam</t>
  </si>
  <si>
    <t>Qoh</t>
  </si>
  <si>
    <t>Rut</t>
  </si>
  <si>
    <t>H</t>
  </si>
  <si>
    <t>A</t>
  </si>
  <si>
    <t>O</t>
  </si>
  <si>
    <t>M</t>
  </si>
  <si>
    <t>N</t>
  </si>
  <si>
    <t>Z</t>
  </si>
  <si>
    <t>Song</t>
  </si>
  <si>
    <t>Prose books</t>
  </si>
  <si>
    <t>Genesis</t>
  </si>
  <si>
    <t>Exodus</t>
  </si>
  <si>
    <t>Leviticus</t>
  </si>
  <si>
    <t>Numbers</t>
  </si>
  <si>
    <t>Deuteronomy</t>
  </si>
  <si>
    <t>Joshua, Judges</t>
  </si>
  <si>
    <t>Samuel</t>
  </si>
  <si>
    <t>Kings</t>
  </si>
  <si>
    <t>Isaiah</t>
  </si>
  <si>
    <t>Jeremiah</t>
  </si>
  <si>
    <t>Ezekiel</t>
  </si>
  <si>
    <t>The Twelve</t>
  </si>
  <si>
    <t>Proverbs</t>
  </si>
  <si>
    <t>The Five Scrolls</t>
  </si>
  <si>
    <t>Daniel, Ezra, Nehemiah</t>
  </si>
  <si>
    <t>Chronicles</t>
  </si>
  <si>
    <t>Volume</t>
  </si>
  <si>
    <t>Music Sampler</t>
  </si>
  <si>
    <t>Done</t>
  </si>
  <si>
    <t>Size (MB)</t>
  </si>
  <si>
    <t>per image</t>
  </si>
  <si>
    <t>Chapters</t>
  </si>
  <si>
    <t>Verses</t>
  </si>
  <si>
    <t>remove from circulation</t>
  </si>
  <si>
    <t>v/c</t>
  </si>
  <si>
    <t>Days</t>
  </si>
  <si>
    <t>Actual Start / End</t>
  </si>
  <si>
    <t>Changes</t>
  </si>
  <si>
    <t>Music</t>
  </si>
  <si>
    <t xml:space="preserve">Measured </t>
  </si>
  <si>
    <t>completed books</t>
  </si>
  <si>
    <t>x</t>
  </si>
  <si>
    <t>Per Vs</t>
  </si>
  <si>
    <t>May 5/2025</t>
  </si>
  <si>
    <t>GENESIS</t>
  </si>
  <si>
    <t>EXODUS</t>
  </si>
  <si>
    <t>LEVITICUS</t>
  </si>
  <si>
    <t>NUMBERS</t>
  </si>
  <si>
    <t>DEUTERONOMY</t>
  </si>
  <si>
    <t>JOSHUA</t>
  </si>
  <si>
    <t>JUDGES</t>
  </si>
  <si>
    <t>1 KINGS</t>
  </si>
  <si>
    <t>2 KINGS</t>
  </si>
  <si>
    <t>ISAIAH</t>
  </si>
  <si>
    <t>JEREMIAH</t>
  </si>
  <si>
    <t>EZEKIEL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</si>
  <si>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</si>
  <si>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</si>
  <si>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</si>
  <si>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</si>
  <si>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</si>
  <si>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</si>
  <si>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</si>
  <si>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</si>
  <si>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</si>
  <si>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</si>
  <si>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</si>
  <si>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</si>
  <si>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PSALMS</t>
  </si>
  <si>
    <t>PROVERBS</t>
  </si>
  <si>
    <t>JOB</t>
  </si>
  <si>
    <t>SONG</t>
  </si>
  <si>
    <t>RUTH</t>
  </si>
  <si>
    <t>LAMENTATIONS</t>
  </si>
  <si>
    <t>QOHELET</t>
  </si>
  <si>
    <t>ESTHER</t>
  </si>
  <si>
    <t>DANIEL</t>
  </si>
  <si>
    <t>2 SAMUEL</t>
  </si>
  <si>
    <t>1 SAMUEL</t>
  </si>
  <si>
    <t>EZRA</t>
  </si>
  <si>
    <t>NEHEMIAH</t>
  </si>
  <si>
    <t>1 CHRONICLES</t>
  </si>
  <si>
    <t>2 CHRONICLES</t>
  </si>
  <si>
    <t>d</t>
  </si>
  <si>
    <t>e</t>
  </si>
  <si>
    <t>f</t>
  </si>
  <si>
    <t>g</t>
  </si>
  <si>
    <t>B</t>
  </si>
  <si>
    <t>C</t>
  </si>
  <si>
    <t>~</t>
  </si>
  <si>
    <t>Joshua</t>
  </si>
  <si>
    <t>Elapsed</t>
  </si>
  <si>
    <t>Per ch</t>
  </si>
  <si>
    <t>Per day</t>
  </si>
  <si>
    <t>Images</t>
  </si>
  <si>
    <t>images/vs</t>
  </si>
  <si>
    <t>legarmeh</t>
  </si>
  <si>
    <t xml:space="preserve">C B tsi,C e ole,f# f# ^A ger-rev,e </t>
  </si>
  <si>
    <t xml:space="preserve">C B tsi,C ole,f# f# ^A C g B e </t>
  </si>
  <si>
    <t xml:space="preserve">C B tsi,d e ole,f# B B ^A ger-rev,e f# e </t>
  </si>
  <si>
    <t xml:space="preserve">C B tsi,d ole,f# B B ^A g B e </t>
  </si>
  <si>
    <t xml:space="preserve">C B tsi,d ole,f# f# ^A ger-rev,B e </t>
  </si>
  <si>
    <t xml:space="preserve">C B tsi,e d e ole,f# B B ^A ger-rev,e </t>
  </si>
  <si>
    <t xml:space="preserve">C B tsi,f# rev,ole,f# f# ^A g B e </t>
  </si>
  <si>
    <t xml:space="preserve">C d e paz,C qad,f# tsi,d ole,f# g B ^A ger-rev,e </t>
  </si>
  <si>
    <t xml:space="preserve">C d paz,C rev,tsi,d e ole,f# paz,g qad,ill,e </t>
  </si>
  <si>
    <t xml:space="preserve">C d paz,f# rev,tsi,d ole,f# e B g f# rev,B e </t>
  </si>
  <si>
    <t xml:space="preserve">C d paz,tsi,d ole,f# B B ^A f# e </t>
  </si>
  <si>
    <t xml:space="preserve">C d paz,tsi,d ole,f# e f# ^A ger-rev,e </t>
  </si>
  <si>
    <t xml:space="preserve">C d paz,tsi,d ole,f# g B ^A f# ger-rev,f# e </t>
  </si>
  <si>
    <t xml:space="preserve">C d paz,tsi,f# rev,ole,f# g e B ^A ger-rev,e </t>
  </si>
  <si>
    <t xml:space="preserve">C e B tsi,d e ole,f# f# ^A e f# e </t>
  </si>
  <si>
    <t xml:space="preserve">C e B tsi,d ole,f# g B ^A ger-rev,e </t>
  </si>
  <si>
    <t xml:space="preserve">C e tsi,C ole,f# f# ^A g B e </t>
  </si>
  <si>
    <t xml:space="preserve">C e tsi,d e ole,f# g B ^A ger-rev,B e </t>
  </si>
  <si>
    <t xml:space="preserve">C e tsi,d ole,f# rev,B B ^A ger-rev,f# e </t>
  </si>
  <si>
    <t xml:space="preserve">C f# e tsi,d ole,f# f# ^A ger-rev,f# e </t>
  </si>
  <si>
    <t xml:space="preserve">C f# tsi,d ole,f# e g B ^A f# ger-rev,e </t>
  </si>
  <si>
    <t xml:space="preserve">C f# tsi,d ole,f# e rev,g B ^A ger-rev,e f# e </t>
  </si>
  <si>
    <t xml:space="preserve">C qad,B tsi,d ole,f# f# ^A f# ger-rev,f# e </t>
  </si>
  <si>
    <t xml:space="preserve">C qad,B tsi,d ole,f# f# ^A ger-rev,e </t>
  </si>
  <si>
    <t xml:space="preserve">C qad,B tsi,d ole,f# g B ^A g B e </t>
  </si>
  <si>
    <t xml:space="preserve">C qad,B tsi,e d ole,f# ^A ger-rev,f# e </t>
  </si>
  <si>
    <t xml:space="preserve">C qad,f# tsi,d ole,f# B B ^A g B e </t>
  </si>
  <si>
    <t xml:space="preserve">C qad,ill,qad,rev,C qad,tsi,rev,f# ole,f# f# rev,f# e </t>
  </si>
  <si>
    <t xml:space="preserve">C qad,tsi,d f# f# ^A f# e </t>
  </si>
  <si>
    <t xml:space="preserve">C qad,tsi,d ole,f# B g B ^A f# e </t>
  </si>
  <si>
    <t xml:space="preserve">C qad,tsi,d ole,f# B g B ^A f# ger-rev,e f# e </t>
  </si>
  <si>
    <t xml:space="preserve">C qad,tsi,d ole,f# g B ^A ger-rev,e </t>
  </si>
  <si>
    <t xml:space="preserve">C qad,tsi,d ole,f# g f# rev,f# e </t>
  </si>
  <si>
    <t xml:space="preserve">C qad,tsi,f# rev,ole,f# f# ^A g B e </t>
  </si>
  <si>
    <t xml:space="preserve">C tsi,d f# B B ^A f# ger-rev,B e </t>
  </si>
  <si>
    <t xml:space="preserve">C tsi,d f# f# ^A ger-rev,e </t>
  </si>
  <si>
    <t xml:space="preserve">C tsi,d ole,f# C d paz,C rev,B B ^A f# ger-rev,B e </t>
  </si>
  <si>
    <t xml:space="preserve">C tsi,d ole,f# g B ^A g B e </t>
  </si>
  <si>
    <t xml:space="preserve">C tsi,d ole,f# g B ^A ger-rev,f# e </t>
  </si>
  <si>
    <t xml:space="preserve">C tsi,d ole,f# paz,B g f# rev,f# e </t>
  </si>
  <si>
    <t xml:space="preserve">C tsi,e ole,f# f# ^A f# ger-rev,e </t>
  </si>
  <si>
    <t xml:space="preserve">e B tsi,d e ole,f# ^A f# ger-rev,e </t>
  </si>
  <si>
    <t xml:space="preserve">e B tsi,d f# f# ^A e f# e </t>
  </si>
  <si>
    <t xml:space="preserve">e B tsi,d f# g B ^A g B e </t>
  </si>
  <si>
    <t xml:space="preserve">e B tsi,d ole,f# B B ^A e ger,e </t>
  </si>
  <si>
    <t xml:space="preserve">e B tsi,d ole,f# B B ^A ger-rev,e </t>
  </si>
  <si>
    <t xml:space="preserve">e B tsi,d ole,f# B g B ^A f# ger-rev,e </t>
  </si>
  <si>
    <t xml:space="preserve">e B tsi,d ole,f# B g B ^A g B e </t>
  </si>
  <si>
    <t xml:space="preserve">e B tsi,d ole,f# B g B ^A ger-rev,B e </t>
  </si>
  <si>
    <t xml:space="preserve">e B tsi,d ole,f# B g B ^A ger-rev,e </t>
  </si>
  <si>
    <t xml:space="preserve">e B tsi,d ole,f# B g ^A ger-rev,e </t>
  </si>
  <si>
    <t xml:space="preserve">e B tsi,d ole,f# C B B ^A ger-rev,e </t>
  </si>
  <si>
    <t xml:space="preserve">e B tsi,d ole,f# C e ^A f# e </t>
  </si>
  <si>
    <t xml:space="preserve">e B tsi,d ole,f# ^A g B e </t>
  </si>
  <si>
    <t xml:space="preserve">e B tsi,d ole,f# e B B ^A ger-rev,e </t>
  </si>
  <si>
    <t xml:space="preserve">e B tsi,d ole,f# e g B ^A ger-rev,B e </t>
  </si>
  <si>
    <t xml:space="preserve">e B tsi,d ole,f# e g ^A ger-rev,e </t>
  </si>
  <si>
    <t xml:space="preserve">e B tsi,d ole,f# f# ^A e f# ger-rev,e </t>
  </si>
  <si>
    <t xml:space="preserve">e B tsi,d ole,f# f# ^A ger-rev,e </t>
  </si>
  <si>
    <t xml:space="preserve">e B tsi,e d f# B g B ^A f# e </t>
  </si>
  <si>
    <t xml:space="preserve">e B tsi,e ole,f# B B ^A ger-rev,B e </t>
  </si>
  <si>
    <t xml:space="preserve">e B tsi,e ole,f# B B ^A ger-rev,e </t>
  </si>
  <si>
    <t xml:space="preserve">e B tsi,e ole,f# f# ^A g B e </t>
  </si>
  <si>
    <t xml:space="preserve">e B tsi,e ole,f# rev,g B ^A ger-rev,e </t>
  </si>
  <si>
    <t xml:space="preserve">e B tsi,f# rev,ole,f# B g rev,e </t>
  </si>
  <si>
    <t xml:space="preserve">e B tsi,ole,f# C paz,B g f# rev,e </t>
  </si>
  <si>
    <t xml:space="preserve">e C B tsi,C f# rev,e ole,f# f# ^A g B e </t>
  </si>
  <si>
    <t xml:space="preserve">e C B tsi,d ole,f# B B ^A ger-rev,e </t>
  </si>
  <si>
    <t xml:space="preserve">e C B tsi,d ole,f# B g B ^A f# ger-rev,B e </t>
  </si>
  <si>
    <t xml:space="preserve">e C B tsi,d ole,f# B g B ^A f# ger-rev,f# e </t>
  </si>
  <si>
    <t xml:space="preserve">e C B tsi,d ole,f# e f# rev,B e </t>
  </si>
  <si>
    <t xml:space="preserve">e C B tsi,d ole,f# e g B ^A g B e </t>
  </si>
  <si>
    <t xml:space="preserve">e C B tsi,d ole,f# f# ^A f# ger-rev,f# e </t>
  </si>
  <si>
    <t xml:space="preserve">e C B tsi,e ole,f# g f# rev,B e </t>
  </si>
  <si>
    <t xml:space="preserve">e C B tsi,f# rev,f# ole,f# e ^A g B e </t>
  </si>
  <si>
    <t xml:space="preserve">e C B tsi,f# rev,ole,f# e B B ^A ger-rev,B e </t>
  </si>
  <si>
    <t xml:space="preserve">e C e B tsi,e d ole,f# f# ^A ger-rev,B e </t>
  </si>
  <si>
    <t xml:space="preserve">e C e tsi,d ole,f# g B ^A ger-rev,e </t>
  </si>
  <si>
    <t xml:space="preserve">e C e tsi,e d ole,f# f# ^A g B e </t>
  </si>
  <si>
    <t xml:space="preserve">e C f# B tsi,d ole,f# B B ^A ger-rev,C ill,e </t>
  </si>
  <si>
    <t xml:space="preserve">e C f# B tsi,d ole,f# f# ^A ger-rev,e </t>
  </si>
  <si>
    <t xml:space="preserve">e C f# B tsi,d ole,f# g B ^A ger-rev,e </t>
  </si>
  <si>
    <t xml:space="preserve">e C f# B tsi,f# rev,ole,f# f# ^A ger-rev,f# e </t>
  </si>
  <si>
    <t xml:space="preserve">e C f# tsi,C f# rev,e ole,f# f# ^A e f# e </t>
  </si>
  <si>
    <t xml:space="preserve">e C f# tsi,C ole,f# B B ^A ger-rev,B e </t>
  </si>
  <si>
    <t xml:space="preserve">e C f# tsi,d ole,f# e f# rev,B e </t>
  </si>
  <si>
    <t xml:space="preserve">e C f# tsi,d ole,f# e rev,g B ^A ger-rev,B e </t>
  </si>
  <si>
    <t xml:space="preserve">e C f# tsi,d ole,f# f# ^A g B e </t>
  </si>
  <si>
    <t xml:space="preserve">e C f# tsi,d ole,f# g B ^A e f# e </t>
  </si>
  <si>
    <t xml:space="preserve">e C f# tsi,d ole,f# g B ^A ger-rev,e </t>
  </si>
  <si>
    <t xml:space="preserve">e C f# tsi,d ole,f# g f# rev,f# e </t>
  </si>
  <si>
    <t xml:space="preserve">e C f# tsi,ole,f# f# rev,f# e </t>
  </si>
  <si>
    <t xml:space="preserve">e C ill,rev,tsi,d ole,f# f# rev,f# e </t>
  </si>
  <si>
    <t xml:space="preserve">e C qad,B B tsi,d ole,f# g B ^A e f# ger-rev,e </t>
  </si>
  <si>
    <t xml:space="preserve">e C qad,C B tsi,f# rev,ole,f# C ill,rev,f# ^A ger-rev,e </t>
  </si>
  <si>
    <t xml:space="preserve">e C qad,e rev,tsi,C ole,f# B g ^A ger-rev,e </t>
  </si>
  <si>
    <t xml:space="preserve">e C qad,e rev,tsi,d ole,f# f# ^A f# e </t>
  </si>
  <si>
    <t xml:space="preserve">e C qad,e tsi,C f# rev,f# C B B ^A g B e </t>
  </si>
  <si>
    <t xml:space="preserve">e C qad,e tsi,d ole,f# f# ^A f# ger-rev,B e </t>
  </si>
  <si>
    <t xml:space="preserve">e C qad,e tsi,d ole,f# f# ^A f# ger-rev,e </t>
  </si>
  <si>
    <t xml:space="preserve">e C qad,f# rev,e tsi,d ole,f# B B ^A ger-rev,B e </t>
  </si>
  <si>
    <t xml:space="preserve">e C qad,f# tsi,C f# rev,ole,f# f# ^A ger-rev,e </t>
  </si>
  <si>
    <t xml:space="preserve">e C qad,f# tsi,e ole,f# g B ^A e ger,e </t>
  </si>
  <si>
    <t xml:space="preserve">e C qad,ill,rev,f# tsi,d ole,f# e f# ^A ger-rev,e </t>
  </si>
  <si>
    <t xml:space="preserve">e C qad,ill,rev,tsi,C e ole,f# g B C ^A ger-rev,f# e </t>
  </si>
  <si>
    <t xml:space="preserve">e C qad,rev,f# tsi,d ole,f# e f# ^A ger-rev,f# e </t>
  </si>
  <si>
    <t xml:space="preserve">e C qad,rev,tsi,d ole,f# g B ^A g B e </t>
  </si>
  <si>
    <t xml:space="preserve">e C qad,tsi,d e ole,f# B B ^A ger-rev,e </t>
  </si>
  <si>
    <t xml:space="preserve">e C qad,tsi,d e ole,f# f# ^A ger-rev,f# e </t>
  </si>
  <si>
    <t xml:space="preserve">e C qad,tsi,d ole,f# B B ^A f# ger-rev,B e </t>
  </si>
  <si>
    <t xml:space="preserve">e C qad,tsi,d ole,f# B B ^A g B e </t>
  </si>
  <si>
    <t xml:space="preserve">e C qad,tsi,d ole,f# C qad,e g f# rev,e </t>
  </si>
  <si>
    <t xml:space="preserve">e C qad,tsi,d ole,f# e f# ^A f# e </t>
  </si>
  <si>
    <t xml:space="preserve">e C qad,tsi,d ole,f# g f# rev,e </t>
  </si>
  <si>
    <t xml:space="preserve">e C qad,tsi,e d ole,f# B B ^A g B e </t>
  </si>
  <si>
    <t xml:space="preserve">e C qad,tsi,f# rev,ole,f# g f# rev,f# e </t>
  </si>
  <si>
    <t xml:space="preserve">e e rev,f# tsi,d ole,f# e f# ^A ger-rev,e </t>
  </si>
  <si>
    <t xml:space="preserve">e f# qad,paz,e ill,rev,f# e tsi,e tsi,d ole,f# f# ^A f# ger-rev,e </t>
  </si>
  <si>
    <t xml:space="preserve">e f# qad,paz,qad,tsi,e rev,e ole,f# C B B ^A ger-rev,e </t>
  </si>
  <si>
    <t xml:space="preserve">e f# qad,tsi,d ole,f# B g ^A ger-rev,B e </t>
  </si>
  <si>
    <t xml:space="preserve">e f# tsi,C ole,f# B g B ^A ger-rev,B e </t>
  </si>
  <si>
    <t xml:space="preserve">e f# tsi,C ole,f# f# ^A g B e </t>
  </si>
  <si>
    <t xml:space="preserve">e f# tsi,C ole,f# g f# rev,f# e </t>
  </si>
  <si>
    <t xml:space="preserve">e f# tsi,d e ole,f# B g ^A ger-rev,B e </t>
  </si>
  <si>
    <t xml:space="preserve">e f# tsi,d e ole,f# e rev,e g B ^A g B e </t>
  </si>
  <si>
    <t xml:space="preserve">e f# tsi,d e ole,f# g B ^A g B e </t>
  </si>
  <si>
    <t xml:space="preserve">e f# tsi,d ole,f# B B ^A e f# ger-rev,e </t>
  </si>
  <si>
    <t xml:space="preserve">e f# tsi,d ole,f# B g B ^A f# ger-rev,f# e </t>
  </si>
  <si>
    <t xml:space="preserve">e f# tsi,d ole,f# B g B ^A ger-rev,B e </t>
  </si>
  <si>
    <t xml:space="preserve">e f# tsi,d ole,f# B g B ^A ger-rev,f# e </t>
  </si>
  <si>
    <t xml:space="preserve">e f# tsi,d ole,f# C B g B ^A g B e </t>
  </si>
  <si>
    <t xml:space="preserve">e f# tsi,d ole,f# C e ^A ger-rev,e </t>
  </si>
  <si>
    <t xml:space="preserve">e f# tsi,d ole,f# e B B ^A ger-rev,e </t>
  </si>
  <si>
    <t xml:space="preserve">e f# tsi,d ole,f# f# ^A f# e </t>
  </si>
  <si>
    <t xml:space="preserve">e f# tsi,d ole,f# g B ^A f# ger-rev,C ill,e </t>
  </si>
  <si>
    <t xml:space="preserve">e f# tsi,d ole,f# g B ^A f# ger-rev,e </t>
  </si>
  <si>
    <t xml:space="preserve">e f# tsi,d ole,f# g B ^A ger-rev,B e </t>
  </si>
  <si>
    <t xml:space="preserve">e f# tsi,e d ole,f# e g qad,ill,e </t>
  </si>
  <si>
    <t xml:space="preserve">e f# tsi,e ole,f# B g ^A e f# e </t>
  </si>
  <si>
    <t xml:space="preserve">e f# tsi,e rev,e ole,f# B g ^A ger-rev,B e </t>
  </si>
  <si>
    <t xml:space="preserve">e f# tsi,rev,ole,f# f# ^A ger-rev,f# e </t>
  </si>
  <si>
    <t xml:space="preserve">e ill,qad,f# tsi,d ole,f# B B ^A ger-rev,e </t>
  </si>
  <si>
    <t xml:space="preserve">e ill,qad,rev,tsi,d e ole,f# e f# ^A g B e </t>
  </si>
  <si>
    <t xml:space="preserve">e ill,qad,tsi,d f# f# ^A ger-rev,B e </t>
  </si>
  <si>
    <t xml:space="preserve">e ill,qad,tsi,d ole,f# B g f# rev,f# e </t>
  </si>
  <si>
    <t xml:space="preserve">e ill,qad,tsi,d ole,f# B g rev,rev,f# e </t>
  </si>
  <si>
    <t xml:space="preserve">e ill,qad,tsi,d ole,f# e f# ^A f# ger-rev,f# e </t>
  </si>
  <si>
    <t xml:space="preserve">e ill,qad,tsi,d ole,f# e g B ^A ger-rev,B e </t>
  </si>
  <si>
    <t xml:space="preserve">e ill,qad,tsi,d ole,f# f# ^A ger-rev,B e </t>
  </si>
  <si>
    <t xml:space="preserve">e ill,qad,tsi,e d ole,f# B e g B ^A f# ger-rev,e </t>
  </si>
  <si>
    <t xml:space="preserve">e ill,qad,tsi,e d ole,f# B g ^A ger-rev,B e </t>
  </si>
  <si>
    <t xml:space="preserve">e ill,qad,tsi,e rev,ole,f# f# ^A e f# ger-rev,f# e </t>
  </si>
  <si>
    <t xml:space="preserve">e ill,qad,tsi,f# rev,ole,f# f# ^A ger-rev,e </t>
  </si>
  <si>
    <t xml:space="preserve">e paz,C qad,tsi,d ole,f# C B B ^A g B e </t>
  </si>
  <si>
    <t xml:space="preserve">e paz,ill,qad,tsi,d ole,f# rev,g B ^A ger-rev,B e </t>
  </si>
  <si>
    <t xml:space="preserve">e qad,d paz,C e rev,B tsi,d ole,f# B g B ^A ger-rev,e </t>
  </si>
  <si>
    <t xml:space="preserve">e qad,d paz,C f# tsi,d ole,f# e g B ^A ger-rev,e </t>
  </si>
  <si>
    <t xml:space="preserve">e qad,d paz,qad,tsi,d e ole,f# f# ^A f# e </t>
  </si>
  <si>
    <t xml:space="preserve">e qad,e B tsi,e d e ole,f# paz,e f# f# ger-rev,e </t>
  </si>
  <si>
    <t xml:space="preserve">e qad,e rev,tsi,e d ole,f# B g ^A f# e </t>
  </si>
  <si>
    <t xml:space="preserve">e qad,f# B tsi,d ole,f# C rev,B B ^A g B e </t>
  </si>
  <si>
    <t xml:space="preserve">e qad,f# tsi,C f# B g B ^A ger-rev,f# e </t>
  </si>
  <si>
    <t xml:space="preserve">e qad,f# tsi,d ole,f# f# ^A ger-rev,B e </t>
  </si>
  <si>
    <t xml:space="preserve">e qad,paz,tsi,e d ole,f# f# ^A ger-rev,e </t>
  </si>
  <si>
    <t xml:space="preserve">e rev,e B tsi,d ole,f# f# f# ^A g B e </t>
  </si>
  <si>
    <t xml:space="preserve">e rev,e tsi,C ole,f# e g B ^A ger-rev,B e </t>
  </si>
  <si>
    <t xml:space="preserve">e rev,f# tsi,d ole,f# f# rev,f# e </t>
  </si>
  <si>
    <t xml:space="preserve">e rev,tsi,C ole,f# f# ^A ger-rev,e </t>
  </si>
  <si>
    <t xml:space="preserve">e rev,tsi,d e ole,f# C qad,ill,rev,f# e ^A g B e </t>
  </si>
  <si>
    <t xml:space="preserve">e rev,tsi,d e ole,f# f# rev,f# e </t>
  </si>
  <si>
    <t xml:space="preserve">e rev,tsi,d e ole,f# g B ^A ger,e </t>
  </si>
  <si>
    <t xml:space="preserve">e rev,tsi,d e ole,f# g B ^A ger-rev,e </t>
  </si>
  <si>
    <t xml:space="preserve">e rev,tsi,d f# g B ^A ger-rev,e </t>
  </si>
  <si>
    <t xml:space="preserve">e rev,tsi,d ole,f# B B ^A ger-rev,e </t>
  </si>
  <si>
    <t xml:space="preserve">e rev,tsi,d ole,f# C ill,rev,f# ^A f# e </t>
  </si>
  <si>
    <t xml:space="preserve">e rev,tsi,d ole,f# C qad,B g ^A ger-rev,e </t>
  </si>
  <si>
    <t xml:space="preserve">e rev,tsi,d ole,f# rev,g B ^A ger-rev,f# e </t>
  </si>
  <si>
    <t xml:space="preserve">e tsi,C ole,f# B g ^A g B e </t>
  </si>
  <si>
    <t xml:space="preserve">e tsi,C ole,f# g B ^A ger-rev,B e </t>
  </si>
  <si>
    <t xml:space="preserve">e tsi,d e ole,f# e rev,B g f# rev,B e </t>
  </si>
  <si>
    <t xml:space="preserve">e tsi,d e ole,f# ill,B g B ^A f# e </t>
  </si>
  <si>
    <t xml:space="preserve">e tsi,d ole,f# B B ^A ger-rev,e </t>
  </si>
  <si>
    <t xml:space="preserve">e tsi,d ole,f# B B ^A qad,g B e </t>
  </si>
  <si>
    <t xml:space="preserve">e tsi,d ole,f# B g B ^A g B e </t>
  </si>
  <si>
    <t xml:space="preserve">e tsi,d ole,f# B g B ^A ger-rev,f# e </t>
  </si>
  <si>
    <t xml:space="preserve">e tsi,d ole,f# B g ^A g B e </t>
  </si>
  <si>
    <t xml:space="preserve">e tsi,d ole,f# B g ^A ger-rev,e </t>
  </si>
  <si>
    <t xml:space="preserve">e tsi,d ole,f# C e shl,ill,e ill,e </t>
  </si>
  <si>
    <t xml:space="preserve">e tsi,d ole,f# C qad,rev,f# rev,e </t>
  </si>
  <si>
    <t xml:space="preserve">e tsi,d ole,f# C rev,e f# e </t>
  </si>
  <si>
    <t xml:space="preserve">e tsi,d ole,f# ^A ger-rev,f# e </t>
  </si>
  <si>
    <t xml:space="preserve">e tsi,d ole,f# e f# ^A e f# e </t>
  </si>
  <si>
    <t xml:space="preserve">e tsi,d ole,f# e f# ^A f# ger-rev,C ill,e </t>
  </si>
  <si>
    <t xml:space="preserve">e tsi,d ole,f# f# ^A f# ger-rev,f# e </t>
  </si>
  <si>
    <t xml:space="preserve">e tsi,d ole,f# f# ^A g B e </t>
  </si>
  <si>
    <t xml:space="preserve">e tsi,d ole,f# f# ^A ger-rev,e </t>
  </si>
  <si>
    <t xml:space="preserve">e tsi,d ole,f# g B ^A e f# e </t>
  </si>
  <si>
    <t xml:space="preserve">e tsi,d ole,f# g B ^A f# ger-rev,B e </t>
  </si>
  <si>
    <t xml:space="preserve">e tsi,d ole,f# g B ^A g B e </t>
  </si>
  <si>
    <t xml:space="preserve">e tsi,d ole,f# g B ^A ger-rev,B e </t>
  </si>
  <si>
    <t xml:space="preserve">e tsi,d ole,f# g B ^A ger-rev,f# e </t>
  </si>
  <si>
    <t xml:space="preserve">e tsi,d ole,f# g e f# rev,f# e </t>
  </si>
  <si>
    <t xml:space="preserve">e tsi,d ole,f# g f# rev,B e </t>
  </si>
  <si>
    <t xml:space="preserve">e tsi,d ole,f# paz,f# ger-rev,e </t>
  </si>
  <si>
    <t xml:space="preserve">e tsi,e d ole,f# f# ^A ger-rev,f# e </t>
  </si>
  <si>
    <t xml:space="preserve">e tsi,e d ole,f# g B ^A ger-rev,e </t>
  </si>
  <si>
    <t xml:space="preserve">f# B tsi,C ole,f# f# ^A ger-rev,B e </t>
  </si>
  <si>
    <t xml:space="preserve">f# B tsi,d ole,f# B g B ^A f# ger-rev,f# e </t>
  </si>
  <si>
    <t xml:space="preserve">f# B tsi,d ole,f# B g B ^A ger-rev,B e </t>
  </si>
  <si>
    <t xml:space="preserve">f# e rev,C f# tsi,d ole,f# B g f# ^A f# ger-rev,B e </t>
  </si>
  <si>
    <t xml:space="preserve">f# e tsi,d e ole,f# B g C ^A ger-rev,f# e </t>
  </si>
  <si>
    <t xml:space="preserve">f# qad,tsi,rev,f# ole,f# B g B ^A f# ger-rev,e </t>
  </si>
  <si>
    <t xml:space="preserve">f# qad,tsi,rev,f# ole,f# e f# ^A ger-rev,B e </t>
  </si>
  <si>
    <t xml:space="preserve">f# tsi,C ole,f# g B ^A ger-rev,f# e </t>
  </si>
  <si>
    <t xml:space="preserve">f# tsi,d ole,f# f# ^A ger-rev,e </t>
  </si>
  <si>
    <t xml:space="preserve">rev,C f# tsi,d f# paz,B g qad,ill,e </t>
  </si>
  <si>
    <t xml:space="preserve">zar,C B B ^A e ger-rev,e </t>
  </si>
  <si>
    <t xml:space="preserve">e zar,C B B ^A f# ger-rev,e </t>
  </si>
  <si>
    <t xml:space="preserve">zar,C B B ^A f# ger-rev,e </t>
  </si>
  <si>
    <t xml:space="preserve">f# zar,C B B ^A f# ger-rev,e </t>
  </si>
  <si>
    <t xml:space="preserve">zar,C B B ^A g B e </t>
  </si>
  <si>
    <t xml:space="preserve">e zar,C B B ^A g B e </t>
  </si>
  <si>
    <t xml:space="preserve">e zar,C B B ^A ger,f# rev,f# e </t>
  </si>
  <si>
    <t xml:space="preserve">zar,C B B ^A ger-rev,B e </t>
  </si>
  <si>
    <t xml:space="preserve">zar,C B B ^A ger-rev,f# e </t>
  </si>
  <si>
    <t xml:space="preserve">zar,C B B ^A shl,g B e </t>
  </si>
  <si>
    <t xml:space="preserve">zar,C B e g B ^A f# e g B e </t>
  </si>
  <si>
    <t xml:space="preserve">zar,C B g B ^A e f# e </t>
  </si>
  <si>
    <t xml:space="preserve">zar,C B g B ^A e ger-rev,e f# ger,B e </t>
  </si>
  <si>
    <t xml:space="preserve">e rev,ole,f# zar,C B g B ^A e rev,e f# rev,B e </t>
  </si>
  <si>
    <t xml:space="preserve">zar,C B g B ^A f# f# ger-rev,f# e </t>
  </si>
  <si>
    <t xml:space="preserve">zar,C B g B ^A f# ger-rev,e </t>
  </si>
  <si>
    <t xml:space="preserve">e zar,C B g B ^A f# ger-rev,e f# e </t>
  </si>
  <si>
    <t xml:space="preserve">e C g f# rev,ole,f# zar,C B g B ^A g f# shl,g B e </t>
  </si>
  <si>
    <t xml:space="preserve">e zar,C B g B ^A ger-rev,B e </t>
  </si>
  <si>
    <t xml:space="preserve">zar,C B g B ^A ger-rev,e </t>
  </si>
  <si>
    <t xml:space="preserve">f# qad,zar,C B g B ^A ger-rev,e f# e </t>
  </si>
  <si>
    <t xml:space="preserve">zar,C B g B ^A ger-rev,f# e </t>
  </si>
  <si>
    <t xml:space="preserve">e zar,C B g B ^A qad,g B e </t>
  </si>
  <si>
    <t xml:space="preserve">zar,C B g ^A e ger-rev,f# e </t>
  </si>
  <si>
    <t xml:space="preserve">e zar,C B g ^A f# f# ger-rev,f# e </t>
  </si>
  <si>
    <t xml:space="preserve">zar,C B g ^A g B e </t>
  </si>
  <si>
    <t xml:space="preserve">zar,C B g ^A ger-rev,B e </t>
  </si>
  <si>
    <t xml:space="preserve">zar,C B g ^A ger-rev,f# e </t>
  </si>
  <si>
    <t xml:space="preserve">e zar,C B g ^A zar,C g B e </t>
  </si>
  <si>
    <t xml:space="preserve">e qad,f# d paz,e rev,zar,C ^A f# ger-rev,f# e </t>
  </si>
  <si>
    <t xml:space="preserve">f# zar,C e B g B ^A g B e </t>
  </si>
  <si>
    <t xml:space="preserve">C B tsi,C f# rev,zar,C e ill,e </t>
  </si>
  <si>
    <t xml:space="preserve">e ill,qad,rev,e zar,C e rev,B e </t>
  </si>
  <si>
    <t xml:space="preserve">e qad,d paz,zar,C e rev,B g B ^A f# ger-rev,e </t>
  </si>
  <si>
    <t xml:space="preserve">e C C rev,e zar,C e rev,e </t>
  </si>
  <si>
    <t xml:space="preserve">C qad,zar,C e rev,g B ^A f# ger-rev,B e </t>
  </si>
  <si>
    <t xml:space="preserve">e qad,d paz,zar,C e rev,rev,C B g ^A qad,zar,C g B e </t>
  </si>
  <si>
    <t xml:space="preserve">e C qad,C rev,B g B ^A zar,C g B e </t>
  </si>
  <si>
    <t xml:space="preserve">e g B ^A zar,C g B e </t>
  </si>
  <si>
    <t xml:space="preserve">e B B ^A zar,C g B e </t>
  </si>
  <si>
    <t xml:space="preserve">e B g B ^A zar,C g B e </t>
  </si>
  <si>
    <t xml:space="preserve">e f# e ^A zar,C g B e </t>
  </si>
  <si>
    <t xml:space="preserve">zar,C g f# rev,e </t>
  </si>
  <si>
    <t xml:space="preserve">e f# ^A zar,C ger-rev,e </t>
  </si>
  <si>
    <t xml:space="preserve">e zar,C qad,B g B ^A ger-rev,f# e </t>
  </si>
  <si>
    <t xml:space="preserve">e zar,C qad,B g f# rev,B e </t>
  </si>
  <si>
    <t xml:space="preserve">e B tsi,e ole,f# zar,C qad,B g qad,ill,e </t>
  </si>
  <si>
    <t xml:space="preserve">zar,C qad,e rev,B B ^A ger-rev,f# e </t>
  </si>
  <si>
    <t xml:space="preserve">e rev,tsi,d ole,f# e zar,C qad,e rev,B g B ^A g B e </t>
  </si>
  <si>
    <t xml:space="preserve">zar,C qad,e rev,B g e ^A f# ger-rev,e </t>
  </si>
  <si>
    <t xml:space="preserve">e zar,C qad,e rev,e g B ^A f# ger-rev,e </t>
  </si>
  <si>
    <t xml:space="preserve">e zar,C qad,e rev,f# ^A f# ger-rev,e </t>
  </si>
  <si>
    <t xml:space="preserve">zar,C qad,e rev,g B ^A f# ger-rev,B e </t>
  </si>
  <si>
    <t xml:space="preserve">zar,C qad,e rev,g B ^A ger-rev,e </t>
  </si>
  <si>
    <t xml:space="preserve">zar,C qad,f# e tsi,d ole,f# f# ^A ger-rev,f# e </t>
  </si>
  <si>
    <t xml:space="preserve">e zar,C qad,ill,rev,B B ^A C g B e </t>
  </si>
  <si>
    <t xml:space="preserve">e zar,C qad,ill,rev,B g B ^A g B e </t>
  </si>
  <si>
    <t xml:space="preserve">zar,C qad,ill,rev,B g ^A ger-rev,f# e </t>
  </si>
  <si>
    <t xml:space="preserve">zar,C qad,rev,B B ^A g B e </t>
  </si>
  <si>
    <t xml:space="preserve">e qad,zar,C qad,rev,B B ^A g B e </t>
  </si>
  <si>
    <t xml:space="preserve">e zar,C qad,rev,B B ^A ger-rev,f# e </t>
  </si>
  <si>
    <t xml:space="preserve">zar,C qad,rev,B B ^A ger-rev,f# e </t>
  </si>
  <si>
    <t xml:space="preserve">zar,C qad,rev,B g B ^A f# ger-rev,e </t>
  </si>
  <si>
    <t xml:space="preserve">f# zar,C qad,rev,B g ^A f# ger-rev,f# e </t>
  </si>
  <si>
    <t xml:space="preserve">e C zar,C qad,rev,B g ^A f# ger-rev,f# e </t>
  </si>
  <si>
    <t xml:space="preserve">zar,C qad,rev,B g ^A ger-rev,f# e </t>
  </si>
  <si>
    <t xml:space="preserve">e qad,zar,C qad,rev,e B B ^A ger-rev,e </t>
  </si>
  <si>
    <t xml:space="preserve">e zar,C qad,rev,e f# ^A g B e </t>
  </si>
  <si>
    <t xml:space="preserve">zar,C qad,rev,e f# ^A ger-rev,f# e </t>
  </si>
  <si>
    <t xml:space="preserve">zar,C qad,rev,e ole,f# B g B ^A ger-rev,e </t>
  </si>
  <si>
    <t xml:space="preserve">zar,C qad,rev,f# ^A e g B e </t>
  </si>
  <si>
    <t xml:space="preserve">e zar,C qad,rev,f# ^A f# ger-rev,e </t>
  </si>
  <si>
    <t xml:space="preserve">zar,C qad,rev,f# ^A f# ger-rev,f# e </t>
  </si>
  <si>
    <t xml:space="preserve">zar,C qad,rev,f# ^A ger-rev,f# e </t>
  </si>
  <si>
    <t xml:space="preserve">e qad,d paz,zar,C qad,rev,f# e ^A ger-rev,e </t>
  </si>
  <si>
    <t xml:space="preserve">f# zar,C qad,rev,f# rev,e </t>
  </si>
  <si>
    <t xml:space="preserve">zar,C qad,rev,f# rev,e </t>
  </si>
  <si>
    <t xml:space="preserve">zar,C qad,rev,g B ^A e f# e </t>
  </si>
  <si>
    <t xml:space="preserve">zar,C qad,rev,g B ^A f# ger-rev,f# e </t>
  </si>
  <si>
    <t xml:space="preserve">zar,C qad,rev,g B ^A shl,g B e </t>
  </si>
  <si>
    <t xml:space="preserve">e zar,C qad,rev,g B e ^A ger-rev,B e </t>
  </si>
  <si>
    <t xml:space="preserve">e C f# B tsi,C ole,f# zar,C qad,rev,g f# rev,f# e </t>
  </si>
  <si>
    <t xml:space="preserve">zar,C qad,rev,ole,f# f# ^A g B e </t>
  </si>
  <si>
    <t xml:space="preserve">e zar,C qad,rev,tsi,d ole,f# B g e rev,B e </t>
  </si>
  <si>
    <t xml:space="preserve">e paz,zar,C qad,rev,tsi,e d ole,f# f# ^A ger-rev,f# e </t>
  </si>
  <si>
    <t xml:space="preserve">zar,C qad,rev,zar,C e rev,e </t>
  </si>
  <si>
    <t xml:space="preserve">zar,C qad,tsi,d ole,f# B B ^A ger-rev,f# e </t>
  </si>
  <si>
    <t xml:space="preserve">zar,C qad,tsi,d ole,f# e f# ^A e f# e </t>
  </si>
  <si>
    <t xml:space="preserve">zar,C qad,tsi,d ole,f# f# ^A ger-rev,e </t>
  </si>
  <si>
    <t xml:space="preserve">zar,C qad,tsi,d ole,f# g B ^A g B e </t>
  </si>
  <si>
    <t xml:space="preserve">e paz,e C zar,C qad,tsi,d ole,f# g B ^A ger-rev,C ill,e </t>
  </si>
  <si>
    <t xml:space="preserve">e zar,C qad,tsi,e d ole,f# rev,f# ^A ger,f# e </t>
  </si>
  <si>
    <t xml:space="preserve">e zar,C qad,tsi,f# rev,ole,f# B B ^A ger-rev,e </t>
  </si>
  <si>
    <t xml:space="preserve">zar,C qad,tsi,f# rev,ole,f# B g ^A ger-rev,e </t>
  </si>
  <si>
    <t xml:space="preserve">zar,C qad,zar,C rev,B g B ^A ger-rev,C ill,e </t>
  </si>
  <si>
    <t xml:space="preserve">zar,C qad,zar,C rev,B g ^A f# ger-rev,C ill,e </t>
  </si>
  <si>
    <t xml:space="preserve">zar,C qad,zar,C rev,e B B ^A g B e </t>
  </si>
  <si>
    <t xml:space="preserve">zar,C qad,zar,C rev,f# ^A ger-rev,e </t>
  </si>
  <si>
    <t xml:space="preserve">e zar,C qad,zar,C rev,f# e ^A g B e </t>
  </si>
  <si>
    <t xml:space="preserve">zar,C qad,zar,C rev,g f# rev,zar,f# e </t>
  </si>
  <si>
    <t xml:space="preserve">e zar,C qad,zar,C rev,rev,C B B ^A ger-rev,f# e </t>
  </si>
  <si>
    <t xml:space="preserve">e C qad,zar,C rev,B B ^A f# e f# ger-rev,f# e </t>
  </si>
  <si>
    <t xml:space="preserve">e C e zar,C rev,B B ^A f# ger-rev,B e </t>
  </si>
  <si>
    <t xml:space="preserve">e rev,e ole,f# paz,zar,C rev,B B ^A f# ger-rev,e </t>
  </si>
  <si>
    <t xml:space="preserve">e C qad,zar,C rev,B B ^A f# ger-rev,f# e </t>
  </si>
  <si>
    <t xml:space="preserve">C zar,C rev,B B ^A g B e </t>
  </si>
  <si>
    <t xml:space="preserve">e C zar,C rev,B B ^A g B e </t>
  </si>
  <si>
    <t xml:space="preserve">e C zar,C rev,B B ^A ger-rev,f# e </t>
  </si>
  <si>
    <t xml:space="preserve">e C rev,zar,C rev,B e </t>
  </si>
  <si>
    <t xml:space="preserve">e C zar,C rev,B e B ^A e f# ger-rev,f# e </t>
  </si>
  <si>
    <t xml:space="preserve">f# qad,zar,C rev,B g B ^A f# ger-rev,f# e </t>
  </si>
  <si>
    <t xml:space="preserve">C qad,zar,C rev,B g B ^A g B e </t>
  </si>
  <si>
    <t xml:space="preserve">e C zar,C rev,B g B ^A g B e </t>
  </si>
  <si>
    <t xml:space="preserve">e C qad,zar,C rev,B g B ^A ger-rev,f# e </t>
  </si>
  <si>
    <t xml:space="preserve">e C zar,C rev,B g ^A f# ger-rev,e </t>
  </si>
  <si>
    <t xml:space="preserve">e C qad,zar,C rev,B g ^A f# ger-rev,e </t>
  </si>
  <si>
    <t xml:space="preserve">e qad,zar,C rev,B g ^A ger-rev,e f# e </t>
  </si>
  <si>
    <t xml:space="preserve">C qad,zar,C rev,C B B ^A g B e </t>
  </si>
  <si>
    <t xml:space="preserve">zar,C rev,C B g B ^A ger-rev,e f# e </t>
  </si>
  <si>
    <t xml:space="preserve">e C shl,zar,C rev,e </t>
  </si>
  <si>
    <t xml:space="preserve">e C zar,C rev,e f# ^A f# ger-rev,e </t>
  </si>
  <si>
    <t xml:space="preserve">e C zar,C rev,e f# ^A g B e </t>
  </si>
  <si>
    <t xml:space="preserve">e C qad,zar,C rev,e f# ^A g B e </t>
  </si>
  <si>
    <t xml:space="preserve">e paz,C zar,C rev,e f# ^A ger,f# e </t>
  </si>
  <si>
    <t xml:space="preserve">e paz,zar,C rev,e f# ^A ger-rev,B e </t>
  </si>
  <si>
    <t xml:space="preserve">C d paz,zar,C rev,e g B ^A f# ger-rev,B e </t>
  </si>
  <si>
    <t xml:space="preserve">e C zar,C rev,e g B ^A f# ger-rev,e </t>
  </si>
  <si>
    <t xml:space="preserve">e C zar,C rev,e tsi,d ole,f# f# ^A g B e </t>
  </si>
  <si>
    <t xml:space="preserve">e qad,d paz,zar,C rev,f# ^A e f# ger-rev,e </t>
  </si>
  <si>
    <t xml:space="preserve">C e qad,d paz,zar,C rev,f# ^A f# ger-rev,B e </t>
  </si>
  <si>
    <t xml:space="preserve">e C zar,C rev,f# ^A g B e </t>
  </si>
  <si>
    <t xml:space="preserve">e C qad,zar,C rev,f# ^A g B e </t>
  </si>
  <si>
    <t xml:space="preserve">C e qad,zar,C rev,f# ^A ger-rev,f# e </t>
  </si>
  <si>
    <t xml:space="preserve">e C zar,C rev,f# e ^A f# f# ger-rev,B e </t>
  </si>
  <si>
    <t xml:space="preserve">e C zar,C rev,f# e ^A f# ger-rev,B e </t>
  </si>
  <si>
    <t xml:space="preserve">e C qad,zar,C rev,f# e ^A g B e </t>
  </si>
  <si>
    <t xml:space="preserve">e C zar,C rev,f# rev,e </t>
  </si>
  <si>
    <t xml:space="preserve">e C qad,zar,C rev,g B ^A f# ger,e </t>
  </si>
  <si>
    <t xml:space="preserve">e qad,f# d paz,C qad,zar,C rev,g B ^A f# ger-rev,e </t>
  </si>
  <si>
    <t xml:space="preserve">C qad,zar,C rev,g B ^A f# ger-rev,e </t>
  </si>
  <si>
    <t xml:space="preserve">e C zar,C rev,g B ^A g B e </t>
  </si>
  <si>
    <t xml:space="preserve">e C qad,zar,C rev,g B ^A g B e </t>
  </si>
  <si>
    <t xml:space="preserve">C zar,C rev,g B ^A g B e </t>
  </si>
  <si>
    <t xml:space="preserve">e qad,zar,C rev,g B ^A ger-rev,B e </t>
  </si>
  <si>
    <t xml:space="preserve">e C qad,zar,C rev,g B ^A ger-rev,C ill,e </t>
  </si>
  <si>
    <t xml:space="preserve">e qad,zar,C rev,g B ^A ger-rev,e </t>
  </si>
  <si>
    <t xml:space="preserve">e C zar,C rev,g B ^A ger-rev,e </t>
  </si>
  <si>
    <t xml:space="preserve">e C zar,C rev,g B ^A ger-rev,f# e </t>
  </si>
  <si>
    <t xml:space="preserve">e paz,C zar,C rev,g B ^A ger-rev,f# e </t>
  </si>
  <si>
    <t xml:space="preserve">e C zar,C rev,g ^A f# e </t>
  </si>
  <si>
    <t xml:space="preserve">e C qad,zar,C rev,g ^A g B e </t>
  </si>
  <si>
    <t xml:space="preserve">e paz,zar,C rev,g e B ^A ger-rev,f# e </t>
  </si>
  <si>
    <t xml:space="preserve">e C zar,C rev,g f# ^A ger,f# rev,e </t>
  </si>
  <si>
    <t xml:space="preserve">e C rev,zar,C rev,g f# rev,f# e </t>
  </si>
  <si>
    <t xml:space="preserve">e paz,zar,C rev,g f# rev,f# e </t>
  </si>
  <si>
    <t xml:space="preserve">e C e f# paz,zar,C rev,rev,f# e ^A qad,g B e </t>
  </si>
  <si>
    <t xml:space="preserve">e C e zar,C rev,tsi,d ole,f# f# ^A f# ger-rev,B e </t>
  </si>
  <si>
    <t xml:space="preserve">e C zar,C rev,tsi,d ole,f# rev,g f# rev,f# e </t>
  </si>
  <si>
    <t xml:space="preserve">e qad,zar,C rev,tsi,e ole,f# g B ^A ger-rev,e </t>
  </si>
  <si>
    <t xml:space="preserve">e zar,C shl,zar,C rev,f# e </t>
  </si>
  <si>
    <t xml:space="preserve">e B g zar,f# ^A f# ger-rev,zar,f# e </t>
  </si>
  <si>
    <t xml:space="preserve">C C e zar,f# ^A g B e </t>
  </si>
  <si>
    <t xml:space="preserve">e C shl,zar,f# ^A ger-rev,e </t>
  </si>
  <si>
    <t xml:space="preserve">e C e ill,shl,zar,f# ^A ger-rev,e </t>
  </si>
  <si>
    <t xml:space="preserve">e g f# ger-rev,zar,f# e </t>
  </si>
  <si>
    <t xml:space="preserve">e B B ^A ger-rev,zar,f# e </t>
  </si>
  <si>
    <t xml:space="preserve">e B g B ^A f# ger-rev,zar,f# e </t>
  </si>
  <si>
    <t xml:space="preserve">g B ^A ger-rev,zar,f# e </t>
  </si>
  <si>
    <t xml:space="preserve">g B ^A f# ger-rev,zar,f# e </t>
  </si>
  <si>
    <t xml:space="preserve">B B ^A ger-rev,zar,f# e </t>
  </si>
  <si>
    <t xml:space="preserve">e f# ^A ger-rev,zar,f# e </t>
  </si>
  <si>
    <t xml:space="preserve">e tsi,d ole,f# f# rev,zar,f# e </t>
  </si>
  <si>
    <t xml:space="preserve">e C f# rev,ole,f# B g f# rev,zar,f# e </t>
  </si>
  <si>
    <t xml:space="preserve">e rev,e ole,f# e rev,zar,f# f# ^A ger-rev,f# e </t>
  </si>
  <si>
    <t xml:space="preserve">e C f# rev,ole,f# C qad,rev,g B ^A C e zar,f# f# ger-rev,f# e </t>
  </si>
  <si>
    <t xml:space="preserve">e f# ^A f# zar,f# ger-rev,B e </t>
  </si>
  <si>
    <t xml:space="preserve">e f# ^A f# e zar,f# ger-rev,e </t>
  </si>
  <si>
    <t xml:space="preserve">e rev,e f# e ^A zar,f# ger-rev,f# e </t>
  </si>
  <si>
    <t>zar</t>
  </si>
  <si>
    <t>tsinnorit</t>
  </si>
  <si>
    <t>tsinnor</t>
  </si>
  <si>
    <t>Book</t>
  </si>
  <si>
    <t>Chap?</t>
  </si>
  <si>
    <t>Verse</t>
  </si>
  <si>
    <t>dge</t>
  </si>
  <si>
    <t>ege</t>
  </si>
  <si>
    <t>fge</t>
  </si>
  <si>
    <t>Age</t>
  </si>
  <si>
    <t>Bge</t>
  </si>
  <si>
    <t>Cge</t>
  </si>
  <si>
    <t>dfe</t>
  </si>
  <si>
    <t>efe</t>
  </si>
  <si>
    <t>Afe</t>
  </si>
  <si>
    <t>Bfe</t>
  </si>
  <si>
    <t>Sum</t>
  </si>
  <si>
    <t>e C</t>
  </si>
  <si>
    <t>f C</t>
  </si>
  <si>
    <t>gfe</t>
  </si>
  <si>
    <t>dmge</t>
  </si>
  <si>
    <t>Prose Ending notes</t>
  </si>
  <si>
    <t>fbe</t>
  </si>
  <si>
    <t>gbe</t>
  </si>
  <si>
    <t xml:space="preserve"> ^A e</t>
  </si>
  <si>
    <t>58 instances in the prose, 604 in poetry</t>
  </si>
  <si>
    <t>Ae</t>
  </si>
  <si>
    <t>Daniel</t>
  </si>
  <si>
    <t>Ezra</t>
  </si>
  <si>
    <t>Nehemiah</t>
  </si>
  <si>
    <t>These are lacking the verses that begin with an ornament even if the reciting pitch is e.</t>
  </si>
  <si>
    <t>c</t>
  </si>
  <si>
    <t>Psa</t>
  </si>
  <si>
    <t>Prov</t>
  </si>
  <si>
    <t>COUNT</t>
  </si>
  <si>
    <t>PERCENT</t>
  </si>
  <si>
    <t>To Atnah by group</t>
  </si>
  <si>
    <t xml:space="preserve">e B g B ^A </t>
  </si>
  <si>
    <t xml:space="preserve">e f g ^A </t>
  </si>
  <si>
    <t xml:space="preserve">e B g ^A </t>
  </si>
  <si>
    <t xml:space="preserve">e B f g ^A </t>
  </si>
  <si>
    <t xml:space="preserve">e g B ^A </t>
  </si>
  <si>
    <t xml:space="preserve">e g ^A </t>
  </si>
  <si>
    <t xml:space="preserve">e C g ^A </t>
  </si>
  <si>
    <t xml:space="preserve">e C B g B ^A </t>
  </si>
  <si>
    <t xml:space="preserve">e f g B ^A </t>
  </si>
  <si>
    <t xml:space="preserve">e C B g ^A </t>
  </si>
  <si>
    <t xml:space="preserve">e B f g B ^A </t>
  </si>
  <si>
    <t xml:space="preserve">e C g B ^A </t>
  </si>
  <si>
    <t xml:space="preserve">e C f g ^A </t>
  </si>
  <si>
    <t xml:space="preserve">C B g B ^A </t>
  </si>
  <si>
    <t xml:space="preserve">e d f g ^A </t>
  </si>
  <si>
    <t xml:space="preserve">f g B ^A </t>
  </si>
  <si>
    <t xml:space="preserve">e d f g B ^A </t>
  </si>
  <si>
    <t xml:space="preserve">e C B f g B ^A </t>
  </si>
  <si>
    <t xml:space="preserve">e B C B g B ^A </t>
  </si>
  <si>
    <t xml:space="preserve">e B C B g ^A </t>
  </si>
  <si>
    <t xml:space="preserve">e B d f g ^A </t>
  </si>
  <si>
    <t xml:space="preserve">e B e g ^A </t>
  </si>
  <si>
    <t xml:space="preserve">e C B f g ^A </t>
  </si>
  <si>
    <t xml:space="preserve">C B g ^A </t>
  </si>
  <si>
    <t xml:space="preserve">e B e B g ^A </t>
  </si>
  <si>
    <t xml:space="preserve">e C e g ^A </t>
  </si>
  <si>
    <t xml:space="preserve">e C f g B ^A </t>
  </si>
  <si>
    <t xml:space="preserve">e c d g B ^A </t>
  </si>
  <si>
    <t xml:space="preserve">e c d g ^A </t>
  </si>
  <si>
    <t xml:space="preserve">e B C B f g B ^A </t>
  </si>
  <si>
    <t xml:space="preserve">e B C B f g ^A </t>
  </si>
  <si>
    <t xml:space="preserve">e f d g B ^A </t>
  </si>
  <si>
    <t xml:space="preserve">C B f g ^A </t>
  </si>
  <si>
    <t xml:space="preserve">C g ^A </t>
  </si>
  <si>
    <t xml:space="preserve">d f g B ^A </t>
  </si>
  <si>
    <t xml:space="preserve">e B C f g ^A </t>
  </si>
  <si>
    <t xml:space="preserve">e B C g B ^A </t>
  </si>
  <si>
    <t xml:space="preserve">e B c d f g B ^A </t>
  </si>
  <si>
    <t xml:space="preserve">e B c d g B ^A </t>
  </si>
  <si>
    <t xml:space="preserve">e B d f g B ^A </t>
  </si>
  <si>
    <t xml:space="preserve">e B e f g ^A </t>
  </si>
  <si>
    <t xml:space="preserve">e B f d f g B ^A </t>
  </si>
  <si>
    <t xml:space="preserve">e C e B f g ^A </t>
  </si>
  <si>
    <t xml:space="preserve">e C e g B ^A </t>
  </si>
  <si>
    <t xml:space="preserve">e f d f g B ^A </t>
  </si>
  <si>
    <t xml:space="preserve">e f d g ^A </t>
  </si>
  <si>
    <t xml:space="preserve">e f e g ^A </t>
  </si>
  <si>
    <t xml:space="preserve">e g e ^A </t>
  </si>
  <si>
    <t xml:space="preserve">f g ^A </t>
  </si>
  <si>
    <t xml:space="preserve">g ^A </t>
  </si>
  <si>
    <t>Torah</t>
  </si>
  <si>
    <t xml:space="preserve">e c d f g B ^A </t>
  </si>
  <si>
    <t xml:space="preserve">e c d f g ^A </t>
  </si>
  <si>
    <t xml:space="preserve">e C e f g ^A </t>
  </si>
  <si>
    <t xml:space="preserve">e B C g ^A </t>
  </si>
  <si>
    <t xml:space="preserve">e f d f g ^A </t>
  </si>
  <si>
    <t xml:space="preserve">e C d f g ^A </t>
  </si>
  <si>
    <t xml:space="preserve">e f e g B ^A </t>
  </si>
  <si>
    <t xml:space="preserve">e B C f g B ^A </t>
  </si>
  <si>
    <t xml:space="preserve">e B c d g ^A </t>
  </si>
  <si>
    <t xml:space="preserve">e B c d f g ^A </t>
  </si>
  <si>
    <t xml:space="preserve">e B f d g B ^A </t>
  </si>
  <si>
    <t xml:space="preserve">g B ^A </t>
  </si>
  <si>
    <t xml:space="preserve">e B C e g ^A </t>
  </si>
  <si>
    <t xml:space="preserve">e B f d f g ^A </t>
  </si>
  <si>
    <t xml:space="preserve">e C B d f g ^A </t>
  </si>
  <si>
    <t xml:space="preserve">B g B ^A </t>
  </si>
  <si>
    <t xml:space="preserve">e B e C B f g ^A </t>
  </si>
  <si>
    <t xml:space="preserve">e B e f g B ^A </t>
  </si>
  <si>
    <t xml:space="preserve">e B e g B ^A </t>
  </si>
  <si>
    <t xml:space="preserve">e C e B g ^A </t>
  </si>
  <si>
    <t xml:space="preserve">B C B g B ^A </t>
  </si>
  <si>
    <t xml:space="preserve">e B e B f g B ^A </t>
  </si>
  <si>
    <t xml:space="preserve">e B e B f g ^A </t>
  </si>
  <si>
    <t xml:space="preserve">e B e B g B ^A </t>
  </si>
  <si>
    <t xml:space="preserve">e B f d g ^A </t>
  </si>
  <si>
    <t xml:space="preserve">B C g ^A </t>
  </si>
  <si>
    <t xml:space="preserve">C B f g B ^A </t>
  </si>
  <si>
    <t xml:space="preserve">e C B d f g B ^A </t>
  </si>
  <si>
    <t xml:space="preserve">e C B e f g ^A </t>
  </si>
  <si>
    <t xml:space="preserve">e C d f g B ^A </t>
  </si>
  <si>
    <t xml:space="preserve">e C e B g B ^A </t>
  </si>
  <si>
    <t xml:space="preserve">e C e f g B ^A </t>
  </si>
  <si>
    <t xml:space="preserve">e ^A </t>
  </si>
  <si>
    <t xml:space="preserve">e f B f g ^A </t>
  </si>
  <si>
    <t xml:space="preserve">e f g e ^A </t>
  </si>
  <si>
    <t xml:space="preserve">B f g B ^A </t>
  </si>
  <si>
    <t xml:space="preserve">B g ^A </t>
  </si>
  <si>
    <t xml:space="preserve">d f g ^A </t>
  </si>
  <si>
    <t xml:space="preserve">e B C e f g ^A </t>
  </si>
  <si>
    <t xml:space="preserve">e C B e g ^A </t>
  </si>
  <si>
    <t xml:space="preserve">e C e B f g B ^A </t>
  </si>
  <si>
    <t xml:space="preserve">e d f e g B ^A </t>
  </si>
  <si>
    <t xml:space="preserve">e f B g B ^A </t>
  </si>
  <si>
    <t xml:space="preserve">B C B f g ^A </t>
  </si>
  <si>
    <t xml:space="preserve">B C B g ^A </t>
  </si>
  <si>
    <t xml:space="preserve">e B e C B g B ^A </t>
  </si>
  <si>
    <t xml:space="preserve">e B f e g ^A </t>
  </si>
  <si>
    <t xml:space="preserve">e B g e ^A </t>
  </si>
  <si>
    <t xml:space="preserve">e C f d g ^A </t>
  </si>
  <si>
    <t xml:space="preserve">C f g ^A </t>
  </si>
  <si>
    <t xml:space="preserve">e B C d f g ^A </t>
  </si>
  <si>
    <t xml:space="preserve">e B C e B f g B ^A </t>
  </si>
  <si>
    <t xml:space="preserve">e B C e B f g ^A </t>
  </si>
  <si>
    <t xml:space="preserve">e B C e B g B ^A </t>
  </si>
  <si>
    <t xml:space="preserve">e B C e B g ^A </t>
  </si>
  <si>
    <t xml:space="preserve">e B C e g B ^A </t>
  </si>
  <si>
    <t xml:space="preserve">e B e d f g B ^A </t>
  </si>
  <si>
    <t xml:space="preserve">e C B f d g B ^A </t>
  </si>
  <si>
    <t xml:space="preserve">e C B f g e ^A </t>
  </si>
  <si>
    <t xml:space="preserve">e C B g B e ^A </t>
  </si>
  <si>
    <t xml:space="preserve">e C e d f g ^A </t>
  </si>
  <si>
    <t xml:space="preserve">e C g e ^A </t>
  </si>
  <si>
    <t xml:space="preserve">e c e d f g B ^A </t>
  </si>
  <si>
    <t xml:space="preserve">e c e d f g ^A </t>
  </si>
  <si>
    <t xml:space="preserve">B C f g ^A </t>
  </si>
  <si>
    <t xml:space="preserve">B C g B ^A </t>
  </si>
  <si>
    <t xml:space="preserve">B c d g B ^A </t>
  </si>
  <si>
    <t xml:space="preserve">B f g ^A </t>
  </si>
  <si>
    <t xml:space="preserve">C e B f g ^A </t>
  </si>
  <si>
    <t xml:space="preserve">C e B g ^A </t>
  </si>
  <si>
    <t xml:space="preserve">e B C B d f g ^A </t>
  </si>
  <si>
    <t xml:space="preserve">e B d f e g ^A </t>
  </si>
  <si>
    <t xml:space="preserve">e B e C B g ^A </t>
  </si>
  <si>
    <t xml:space="preserve">e C B c d g ^A </t>
  </si>
  <si>
    <t xml:space="preserve">e C B f d f g ^A </t>
  </si>
  <si>
    <t xml:space="preserve">e c d g e ^A </t>
  </si>
  <si>
    <t xml:space="preserve">e d f e g ^A </t>
  </si>
  <si>
    <t xml:space="preserve">e f B f g B ^A </t>
  </si>
  <si>
    <t xml:space="preserve">e g B e ^A </t>
  </si>
  <si>
    <t xml:space="preserve">B C B f g B ^A </t>
  </si>
  <si>
    <t xml:space="preserve">B C f g B ^A </t>
  </si>
  <si>
    <t xml:space="preserve">B c d g ^A </t>
  </si>
  <si>
    <t xml:space="preserve">B d f g ^A </t>
  </si>
  <si>
    <t xml:space="preserve">B f d f g ^A </t>
  </si>
  <si>
    <t xml:space="preserve">C e f g ^A </t>
  </si>
  <si>
    <t xml:space="preserve">C f g B ^A </t>
  </si>
  <si>
    <t xml:space="preserve">C g B ^A </t>
  </si>
  <si>
    <t xml:space="preserve">c d f g B ^A </t>
  </si>
  <si>
    <t xml:space="preserve">e B C B e B g ^A </t>
  </si>
  <si>
    <t xml:space="preserve">e B C B e g ^A </t>
  </si>
  <si>
    <t xml:space="preserve">e B C e B d f g ^A </t>
  </si>
  <si>
    <t xml:space="preserve">e B C e d f g ^A </t>
  </si>
  <si>
    <t xml:space="preserve">e B e C f g B ^A </t>
  </si>
  <si>
    <t xml:space="preserve">e B e C g B ^A </t>
  </si>
  <si>
    <t xml:space="preserve">e B e d f g ^A </t>
  </si>
  <si>
    <t xml:space="preserve">e C B C g ^A </t>
  </si>
  <si>
    <t xml:space="preserve">e C B c d f g ^A </t>
  </si>
  <si>
    <t xml:space="preserve">e C B e g B ^A </t>
  </si>
  <si>
    <t xml:space="preserve">e C B g e ^A </t>
  </si>
  <si>
    <t xml:space="preserve">e C c d f g ^A </t>
  </si>
  <si>
    <t xml:space="preserve">e d e f g ^A </t>
  </si>
  <si>
    <t xml:space="preserve">e d g B ^A </t>
  </si>
  <si>
    <t>Daniel Ezra Nehemiah</t>
  </si>
  <si>
    <t xml:space="preserve">e B e B C B g B ^A </t>
  </si>
  <si>
    <t xml:space="preserve">e B C B e g B ^A </t>
  </si>
  <si>
    <t>Poetry has several B e and C e endings -- the one prose B e ending listed here should read f e, and of C e there are none in the prose</t>
  </si>
  <si>
    <t>18758 including Job</t>
  </si>
  <si>
    <t>T</t>
  </si>
  <si>
    <t>P</t>
  </si>
  <si>
    <t>L</t>
  </si>
  <si>
    <t>Prose</t>
  </si>
  <si>
    <t>ornament</t>
  </si>
  <si>
    <t>ISAIAH-1-39</t>
  </si>
  <si>
    <t>ISAIAH 40-66</t>
  </si>
  <si>
    <t>JOB - Poetry</t>
  </si>
  <si>
    <t>JOB - Prose</t>
  </si>
  <si>
    <t>gbr</t>
  </si>
  <si>
    <t>Prophets</t>
  </si>
  <si>
    <t>Writings</t>
  </si>
  <si>
    <t>PDF PAGES at 13 pt +</t>
  </si>
  <si>
    <t>@.02/page</t>
  </si>
  <si>
    <t>Price</t>
  </si>
  <si>
    <t>Royalty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</si>
</sst>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%"/>
    <numFmt numFmtId="166" formatCode="0.0"/>
    <numFmt numFmtId="167" formatCode="0.0000"/>
    <numFmt numFmtId="168" formatCode="_-* #,##0.0_-;\-* #,##0.0_-;_-* &quot;-&quot;??_-;_-@_-"/>
    <numFmt numFmtId="169" formatCode="0.000"/>
    <numFmt numFmtId="170" formatCode="_-[$$-1009]* #,##0.00_-;\-[$$-1009]* #,##0.00_-;_-[$$-1009]* &quot;-&quot;??_-;_-@_-"/>
    <numFmt numFmtId="171" formatCode="yyyy/mm/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0" fillId="0" borderId="2" xfId="0" applyBorder="1"/>
    <xf numFmtId="165" fontId="0" fillId="0" borderId="2" xfId="1" applyNumberFormat="1" applyFont="1" applyBorder="1"/>
    <xf numFmtId="165" fontId="0" fillId="0" borderId="0" xfId="0" applyNumberFormat="1"/>
    <xf numFmtId="0" fontId="0" fillId="0" borderId="0" xfId="0" quotePrefix="1"/>
    <xf numFmtId="9" fontId="0" fillId="0" borderId="0" xfId="1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4" fontId="0" fillId="0" borderId="0" xfId="0" applyNumberFormat="1"/>
    <xf numFmtId="0" fontId="2" fillId="0" borderId="0" xfId="0" applyFont="1"/>
    <xf numFmtId="2" fontId="0" fillId="0" borderId="0" xfId="2" applyNumberFormat="1" applyFont="1"/>
    <xf numFmtId="168" fontId="0" fillId="0" borderId="0" xfId="3" applyNumberFormat="1" applyFont="1"/>
    <xf numFmtId="169" fontId="0" fillId="0" borderId="0" xfId="0" applyNumberFormat="1"/>
    <xf numFmtId="0" fontId="0" fillId="2" borderId="0" xfId="0" applyFill="1"/>
    <xf numFmtId="0" fontId="3" fillId="0" borderId="0" xfId="0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65" fontId="3" fillId="0" borderId="0" xfId="1" applyNumberFormat="1" applyFont="1"/>
    <xf numFmtId="0" fontId="0" fillId="14" borderId="0" xfId="0" applyFill="1"/>
    <xf numFmtId="0" fontId="2" fillId="0" borderId="0" xfId="0" applyFont="1" applyFill="1"/>
    <xf numFmtId="170" fontId="0" fillId="0" borderId="0" xfId="0" applyNumberFormat="1"/>
    <xf numFmtId="170" fontId="0" fillId="14" borderId="0" xfId="0" applyNumberFormat="1" applyFill="1"/>
    <xf numFmtId="170" fontId="2" fillId="0" borderId="0" xfId="0" applyNumberFormat="1" applyFont="1"/>
    <xf numFmtId="171" fontId="0" fillId="0" borderId="0" xfId="0" applyNumberFormat="1"/>
    <xf numFmtId="170" fontId="0" fillId="0" borderId="0" xfId="0" applyNumberFormat="1" applyFill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Comparing the Aleppo Code with the Leningrad Codex</a:t>
            </a:r>
          </a:p>
          <a:p>
            <a:pPr>
              <a:defRPr/>
            </a:pPr>
            <a:r>
              <a:rPr lang="en-US"/>
              <a:t>Percent of verses with cantillation changes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Percent of verses with cantillation errors</c:v>
          </c:tx>
          <c:invertIfNegative val="0"/>
          <c:cat>
            <c:strRef>
              <c:f>changes!$E$1:$E$39</c:f>
              <c:strCache>
                <c:ptCount val="39"/>
                <c:pt idx="0">
                  <c:v>GENESIS</c:v>
                </c:pt>
                <c:pt idx="1">
                  <c:v>EXODUS</c:v>
                </c:pt>
                <c:pt idx="2">
                  <c:v>LEVITICUS</c:v>
                </c:pt>
                <c:pt idx="3">
                  <c:v>NUMBERS</c:v>
                </c:pt>
                <c:pt idx="4">
                  <c:v>DEUTERONOMY</c:v>
                </c:pt>
                <c:pt idx="5">
                  <c:v>JOSHUA</c:v>
                </c:pt>
                <c:pt idx="6">
                  <c:v>JUDGES</c:v>
                </c:pt>
                <c:pt idx="7">
                  <c:v>1 SAMUEL</c:v>
                </c:pt>
                <c:pt idx="8">
                  <c:v>2 SAMUEL</c:v>
                </c:pt>
                <c:pt idx="9">
                  <c:v>1 KINGS</c:v>
                </c:pt>
                <c:pt idx="10">
                  <c:v>2 KINGS</c:v>
                </c:pt>
                <c:pt idx="11">
                  <c:v>ISAIAH</c:v>
                </c:pt>
                <c:pt idx="12">
                  <c:v>JEREMIAH</c:v>
                </c:pt>
                <c:pt idx="13">
                  <c:v>EZEKIEL</c:v>
                </c:pt>
                <c:pt idx="14">
                  <c:v>HOSEA</c:v>
                </c:pt>
                <c:pt idx="15">
                  <c:v>JOEL</c:v>
                </c:pt>
                <c:pt idx="16">
                  <c:v>AMOS</c:v>
                </c:pt>
                <c:pt idx="17">
                  <c:v>OBADIAH</c:v>
                </c:pt>
                <c:pt idx="18">
                  <c:v>JONAH</c:v>
                </c:pt>
                <c:pt idx="19">
                  <c:v>MICAH</c:v>
                </c:pt>
                <c:pt idx="20">
                  <c:v>NAHUM</c:v>
                </c:pt>
                <c:pt idx="21">
                  <c:v>HABAKKUK</c:v>
                </c:pt>
                <c:pt idx="22">
                  <c:v>ZEPHANIAH</c:v>
                </c:pt>
                <c:pt idx="23">
                  <c:v>HAGGAI</c:v>
                </c:pt>
                <c:pt idx="24">
                  <c:v>ZECHARIAH</c:v>
                </c:pt>
                <c:pt idx="25">
                  <c:v>MALACHI</c:v>
                </c:pt>
                <c:pt idx="26">
                  <c:v>PSALMS</c:v>
                </c:pt>
                <c:pt idx="27">
                  <c:v>PROVERBS</c:v>
                </c:pt>
                <c:pt idx="28">
                  <c:v>JOB</c:v>
                </c:pt>
                <c:pt idx="29">
                  <c:v>SONG</c:v>
                </c:pt>
                <c:pt idx="30">
                  <c:v>RUTH</c:v>
                </c:pt>
                <c:pt idx="31">
                  <c:v>LAMENTATIONS</c:v>
                </c:pt>
                <c:pt idx="32">
                  <c:v>QOHELET</c:v>
                </c:pt>
                <c:pt idx="33">
                  <c:v>ESTHER</c:v>
                </c:pt>
                <c:pt idx="34">
                  <c:v>DANIEL</c:v>
                </c:pt>
                <c:pt idx="35">
                  <c:v>EZRA</c:v>
                </c:pt>
                <c:pt idx="36">
                  <c:v>NEHEMIAH</c:v>
                </c:pt>
                <c:pt idx="37">
                  <c:v>1 CHRONICLES</c:v>
                </c:pt>
                <c:pt idx="38">
                  <c:v>2 CHRONICLES</c:v>
                </c:pt>
              </c:strCache>
            </c:strRef>
          </c:cat>
          <c:val>
            <c:numRef>
              <c:f>changes!$F$1:$F$39</c:f>
              <c:numCache>
                <c:formatCode>0.00</c:formatCode>
                <c:ptCount val="39"/>
                <c:pt idx="0">
                  <c:v>15.33</c:v>
                </c:pt>
                <c:pt idx="1">
                  <c:v>17.11</c:v>
                </c:pt>
                <c:pt idx="2">
                  <c:v>13.48</c:v>
                </c:pt>
                <c:pt idx="3">
                  <c:v>11.45</c:v>
                </c:pt>
                <c:pt idx="4">
                  <c:v>14.22</c:v>
                </c:pt>
                <c:pt idx="5">
                  <c:v>26.29</c:v>
                </c:pt>
                <c:pt idx="6">
                  <c:v>16.02</c:v>
                </c:pt>
                <c:pt idx="7">
                  <c:v>20.2</c:v>
                </c:pt>
                <c:pt idx="8">
                  <c:v>20.23</c:v>
                </c:pt>
                <c:pt idx="9">
                  <c:v>24.11</c:v>
                </c:pt>
                <c:pt idx="10">
                  <c:v>27.82</c:v>
                </c:pt>
                <c:pt idx="11">
                  <c:v>20.61</c:v>
                </c:pt>
                <c:pt idx="12">
                  <c:v>26.81</c:v>
                </c:pt>
                <c:pt idx="13">
                  <c:v>23.04</c:v>
                </c:pt>
                <c:pt idx="14">
                  <c:v>31.77</c:v>
                </c:pt>
                <c:pt idx="15">
                  <c:v>27.4</c:v>
                </c:pt>
                <c:pt idx="16">
                  <c:v>16.440000000000001</c:v>
                </c:pt>
                <c:pt idx="17">
                  <c:v>23.81</c:v>
                </c:pt>
                <c:pt idx="18">
                  <c:v>21.62</c:v>
                </c:pt>
                <c:pt idx="19">
                  <c:v>17.14</c:v>
                </c:pt>
                <c:pt idx="20">
                  <c:v>29.79</c:v>
                </c:pt>
                <c:pt idx="21">
                  <c:v>12.5</c:v>
                </c:pt>
                <c:pt idx="22">
                  <c:v>24.53</c:v>
                </c:pt>
                <c:pt idx="23">
                  <c:v>10.53</c:v>
                </c:pt>
                <c:pt idx="24">
                  <c:v>24.37</c:v>
                </c:pt>
                <c:pt idx="25">
                  <c:v>29.09</c:v>
                </c:pt>
                <c:pt idx="26">
                  <c:v>13.05</c:v>
                </c:pt>
                <c:pt idx="27">
                  <c:v>7.88</c:v>
                </c:pt>
                <c:pt idx="28">
                  <c:v>10.86</c:v>
                </c:pt>
                <c:pt idx="29">
                  <c:v>7.69</c:v>
                </c:pt>
                <c:pt idx="30">
                  <c:v>15.56</c:v>
                </c:pt>
                <c:pt idx="31">
                  <c:v>3.79</c:v>
                </c:pt>
                <c:pt idx="32">
                  <c:v>7.1</c:v>
                </c:pt>
                <c:pt idx="33">
                  <c:v>10.96</c:v>
                </c:pt>
                <c:pt idx="34">
                  <c:v>11.76</c:v>
                </c:pt>
                <c:pt idx="35">
                  <c:v>15</c:v>
                </c:pt>
                <c:pt idx="36">
                  <c:v>19.510000000000002</c:v>
                </c:pt>
                <c:pt idx="37">
                  <c:v>13.68</c:v>
                </c:pt>
                <c:pt idx="38">
                  <c:v>28.22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992384"/>
        <c:axId val="187342144"/>
      </c:barChart>
      <c:catAx>
        <c:axId val="222992384"/>
        <c:scaling>
          <c:orientation val="minMax"/>
        </c:scaling>
        <c:delete val="0"/>
        <c:axPos val="l"/>
        <c:majorTickMark val="out"/>
        <c:minorTickMark val="none"/>
        <c:tickLblPos val="nextTo"/>
        <c:crossAx val="187342144"/>
        <c:crosses val="autoZero"/>
        <c:auto val="1"/>
        <c:lblAlgn val="ctr"/>
        <c:lblOffset val="100"/>
        <c:noMultiLvlLbl val="0"/>
      </c:catAx>
      <c:valAx>
        <c:axId val="187342144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222992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starts!$I$4</c:f>
              <c:strCache>
                <c:ptCount val="1"/>
                <c:pt idx="0">
                  <c:v>Psalms</c:v>
                </c:pt>
              </c:strCache>
            </c:strRef>
          </c:tx>
          <c:invertIfNegative val="0"/>
          <c:cat>
            <c:strRef>
              <c:f>starts!$H$5:$H$15</c:f>
              <c:strCache>
                <c:ptCount val="11"/>
                <c:pt idx="0">
                  <c:v>rev,e </c:v>
                </c:pt>
                <c:pt idx="1">
                  <c:v>f# </c:v>
                </c:pt>
                <c:pt idx="2">
                  <c:v>rev,f# </c:v>
                </c:pt>
                <c:pt idx="3">
                  <c:v>ger-rev,f# </c:v>
                </c:pt>
                <c:pt idx="4">
                  <c:v>g </c:v>
                </c:pt>
                <c:pt idx="5">
                  <c:v>rev,g </c:v>
                </c:pt>
                <c:pt idx="6">
                  <c:v>B </c:v>
                </c:pt>
                <c:pt idx="7">
                  <c:v>rev,B </c:v>
                </c:pt>
                <c:pt idx="8">
                  <c:v>C </c:v>
                </c:pt>
                <c:pt idx="9">
                  <c:v>zar,C </c:v>
                </c:pt>
                <c:pt idx="10">
                  <c:v>rev,C </c:v>
                </c:pt>
              </c:strCache>
            </c:strRef>
          </c:cat>
          <c:val>
            <c:numRef>
              <c:f>starts!$I$5:$I$15</c:f>
              <c:numCache>
                <c:formatCode>0.0%</c:formatCode>
                <c:ptCount val="11"/>
                <c:pt idx="0">
                  <c:v>3.5615354174910962E-3</c:v>
                </c:pt>
                <c:pt idx="1">
                  <c:v>1.662049861495845E-2</c:v>
                </c:pt>
                <c:pt idx="2">
                  <c:v>1.5829046299960427E-3</c:v>
                </c:pt>
                <c:pt idx="3">
                  <c:v>1.1871784724970321E-3</c:v>
                </c:pt>
                <c:pt idx="4">
                  <c:v>0.14364859517214087</c:v>
                </c:pt>
                <c:pt idx="5">
                  <c:v>1.1871784724970321E-3</c:v>
                </c:pt>
                <c:pt idx="6">
                  <c:v>3.3240997229916899E-2</c:v>
                </c:pt>
                <c:pt idx="7">
                  <c:v>7.9145231499802137E-4</c:v>
                </c:pt>
                <c:pt idx="8">
                  <c:v>5.3027305104867431E-2</c:v>
                </c:pt>
                <c:pt idx="9">
                  <c:v>1.7411950929956468E-2</c:v>
                </c:pt>
                <c:pt idx="10">
                  <c:v>3.9572615749901069E-4</c:v>
                </c:pt>
              </c:numCache>
            </c:numRef>
          </c:val>
        </c:ser>
        <c:ser>
          <c:idx val="1"/>
          <c:order val="1"/>
          <c:tx>
            <c:strRef>
              <c:f>starts!$J$4</c:f>
              <c:strCache>
                <c:ptCount val="1"/>
                <c:pt idx="0">
                  <c:v>Proverbs  </c:v>
                </c:pt>
              </c:strCache>
            </c:strRef>
          </c:tx>
          <c:invertIfNegative val="0"/>
          <c:cat>
            <c:strRef>
              <c:f>starts!$H$5:$H$15</c:f>
              <c:strCache>
                <c:ptCount val="11"/>
                <c:pt idx="0">
                  <c:v>rev,e </c:v>
                </c:pt>
                <c:pt idx="1">
                  <c:v>f# </c:v>
                </c:pt>
                <c:pt idx="2">
                  <c:v>rev,f# </c:v>
                </c:pt>
                <c:pt idx="3">
                  <c:v>ger-rev,f# </c:v>
                </c:pt>
                <c:pt idx="4">
                  <c:v>g </c:v>
                </c:pt>
                <c:pt idx="5">
                  <c:v>rev,g </c:v>
                </c:pt>
                <c:pt idx="6">
                  <c:v>B </c:v>
                </c:pt>
                <c:pt idx="7">
                  <c:v>rev,B </c:v>
                </c:pt>
                <c:pt idx="8">
                  <c:v>C </c:v>
                </c:pt>
                <c:pt idx="9">
                  <c:v>zar,C </c:v>
                </c:pt>
                <c:pt idx="10">
                  <c:v>rev,C </c:v>
                </c:pt>
              </c:strCache>
            </c:strRef>
          </c:cat>
          <c:val>
            <c:numRef>
              <c:f>starts!$J$5:$J$15</c:f>
              <c:numCache>
                <c:formatCode>0.0%</c:formatCode>
                <c:ptCount val="11"/>
                <c:pt idx="0">
                  <c:v>0</c:v>
                </c:pt>
                <c:pt idx="1">
                  <c:v>9.8360655737704927E-3</c:v>
                </c:pt>
                <c:pt idx="2">
                  <c:v>7.6502732240437158E-3</c:v>
                </c:pt>
                <c:pt idx="3">
                  <c:v>0</c:v>
                </c:pt>
                <c:pt idx="4">
                  <c:v>0.12896174863387977</c:v>
                </c:pt>
                <c:pt idx="5">
                  <c:v>1.2021857923497269E-2</c:v>
                </c:pt>
                <c:pt idx="6">
                  <c:v>0.12568306010928962</c:v>
                </c:pt>
                <c:pt idx="7">
                  <c:v>1.092896174863388E-3</c:v>
                </c:pt>
                <c:pt idx="8">
                  <c:v>5.4644808743169397E-2</c:v>
                </c:pt>
                <c:pt idx="9">
                  <c:v>5.4644808743169399E-3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starts!$K$4</c:f>
              <c:strCache>
                <c:ptCount val="1"/>
                <c:pt idx="0">
                  <c:v>Job</c:v>
                </c:pt>
              </c:strCache>
            </c:strRef>
          </c:tx>
          <c:invertIfNegative val="0"/>
          <c:cat>
            <c:strRef>
              <c:f>starts!$H$5:$H$15</c:f>
              <c:strCache>
                <c:ptCount val="11"/>
                <c:pt idx="0">
                  <c:v>rev,e </c:v>
                </c:pt>
                <c:pt idx="1">
                  <c:v>f# </c:v>
                </c:pt>
                <c:pt idx="2">
                  <c:v>rev,f# </c:v>
                </c:pt>
                <c:pt idx="3">
                  <c:v>ger-rev,f# </c:v>
                </c:pt>
                <c:pt idx="4">
                  <c:v>g </c:v>
                </c:pt>
                <c:pt idx="5">
                  <c:v>rev,g </c:v>
                </c:pt>
                <c:pt idx="6">
                  <c:v>B </c:v>
                </c:pt>
                <c:pt idx="7">
                  <c:v>rev,B </c:v>
                </c:pt>
                <c:pt idx="8">
                  <c:v>C </c:v>
                </c:pt>
                <c:pt idx="9">
                  <c:v>zar,C </c:v>
                </c:pt>
                <c:pt idx="10">
                  <c:v>rev,C </c:v>
                </c:pt>
              </c:strCache>
            </c:strRef>
          </c:cat>
          <c:val>
            <c:numRef>
              <c:f>starts!$K$5:$K$15</c:f>
              <c:numCache>
                <c:formatCode>0.0%</c:formatCode>
                <c:ptCount val="11"/>
                <c:pt idx="0">
                  <c:v>0</c:v>
                </c:pt>
                <c:pt idx="1">
                  <c:v>6.0120240480961923E-3</c:v>
                </c:pt>
                <c:pt idx="2">
                  <c:v>1.002004008016032E-3</c:v>
                </c:pt>
                <c:pt idx="3">
                  <c:v>0</c:v>
                </c:pt>
                <c:pt idx="4">
                  <c:v>0.18036072144288579</c:v>
                </c:pt>
                <c:pt idx="5">
                  <c:v>4.0080160320641279E-3</c:v>
                </c:pt>
                <c:pt idx="6">
                  <c:v>3.2064128256513023E-2</c:v>
                </c:pt>
                <c:pt idx="7">
                  <c:v>1.002004008016032E-3</c:v>
                </c:pt>
                <c:pt idx="8">
                  <c:v>6.1122244488977955E-2</c:v>
                </c:pt>
                <c:pt idx="9">
                  <c:v>7.0140280561122245E-3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75904"/>
        <c:axId val="223224384"/>
      </c:barChart>
      <c:catAx>
        <c:axId val="223675904"/>
        <c:scaling>
          <c:orientation val="minMax"/>
        </c:scaling>
        <c:delete val="0"/>
        <c:axPos val="l"/>
        <c:majorTickMark val="out"/>
        <c:minorTickMark val="none"/>
        <c:tickLblPos val="nextTo"/>
        <c:crossAx val="223224384"/>
        <c:crosses val="autoZero"/>
        <c:auto val="1"/>
        <c:lblAlgn val="ctr"/>
        <c:lblOffset val="100"/>
        <c:noMultiLvlLbl val="0"/>
      </c:catAx>
      <c:valAx>
        <c:axId val="223224384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22367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starts!$S$4</c:f>
              <c:strCache>
                <c:ptCount val="1"/>
                <c:pt idx="0">
                  <c:v>Psalms</c:v>
                </c:pt>
              </c:strCache>
            </c:strRef>
          </c:tx>
          <c:invertIfNegative val="0"/>
          <c:cat>
            <c:strRef>
              <c:f>starts!$R$5:$R$9</c:f>
              <c:strCache>
                <c:ptCount val="5"/>
                <c:pt idx="0">
                  <c:v>~e</c:v>
                </c:pt>
                <c:pt idx="1">
                  <c:v>~f#</c:v>
                </c:pt>
                <c:pt idx="2">
                  <c:v>~g</c:v>
                </c:pt>
                <c:pt idx="3">
                  <c:v>~B</c:v>
                </c:pt>
                <c:pt idx="4">
                  <c:v>~C</c:v>
                </c:pt>
              </c:strCache>
            </c:strRef>
          </c:cat>
          <c:val>
            <c:numRef>
              <c:f>starts!$S$5:$S$9</c:f>
              <c:numCache>
                <c:formatCode>0.0%</c:formatCode>
                <c:ptCount val="5"/>
                <c:pt idx="0">
                  <c:v>0.7309062129006727</c:v>
                </c:pt>
                <c:pt idx="1">
                  <c:v>1.9390581717451522E-2</c:v>
                </c:pt>
                <c:pt idx="2">
                  <c:v>0.1448357736446379</c:v>
                </c:pt>
                <c:pt idx="3">
                  <c:v>3.4032449544914918E-2</c:v>
                </c:pt>
                <c:pt idx="4">
                  <c:v>7.0834982192322912E-2</c:v>
                </c:pt>
              </c:numCache>
            </c:numRef>
          </c:val>
        </c:ser>
        <c:ser>
          <c:idx val="1"/>
          <c:order val="1"/>
          <c:tx>
            <c:strRef>
              <c:f>starts!$T$4</c:f>
              <c:strCache>
                <c:ptCount val="1"/>
                <c:pt idx="0">
                  <c:v>Proverbs  </c:v>
                </c:pt>
              </c:strCache>
            </c:strRef>
          </c:tx>
          <c:invertIfNegative val="0"/>
          <c:cat>
            <c:strRef>
              <c:f>starts!$R$5:$R$9</c:f>
              <c:strCache>
                <c:ptCount val="5"/>
                <c:pt idx="0">
                  <c:v>~e</c:v>
                </c:pt>
                <c:pt idx="1">
                  <c:v>~f#</c:v>
                </c:pt>
                <c:pt idx="2">
                  <c:v>~g</c:v>
                </c:pt>
                <c:pt idx="3">
                  <c:v>~B</c:v>
                </c:pt>
                <c:pt idx="4">
                  <c:v>~C</c:v>
                </c:pt>
              </c:strCache>
            </c:strRef>
          </c:cat>
          <c:val>
            <c:numRef>
              <c:f>starts!$T$5:$T$9</c:f>
              <c:numCache>
                <c:formatCode>0.0%</c:formatCode>
                <c:ptCount val="5"/>
                <c:pt idx="0">
                  <c:v>0.65464480874316944</c:v>
                </c:pt>
                <c:pt idx="1">
                  <c:v>1.7486338797814208E-2</c:v>
                </c:pt>
                <c:pt idx="2">
                  <c:v>0.14098360655737704</c:v>
                </c:pt>
                <c:pt idx="3">
                  <c:v>0.126775956284153</c:v>
                </c:pt>
                <c:pt idx="4">
                  <c:v>6.0109289617486336E-2</c:v>
                </c:pt>
              </c:numCache>
            </c:numRef>
          </c:val>
        </c:ser>
        <c:ser>
          <c:idx val="2"/>
          <c:order val="2"/>
          <c:tx>
            <c:strRef>
              <c:f>starts!$U$4</c:f>
              <c:strCache>
                <c:ptCount val="1"/>
                <c:pt idx="0">
                  <c:v>Job</c:v>
                </c:pt>
              </c:strCache>
            </c:strRef>
          </c:tx>
          <c:invertIfNegative val="0"/>
          <c:cat>
            <c:strRef>
              <c:f>starts!$R$5:$R$9</c:f>
              <c:strCache>
                <c:ptCount val="5"/>
                <c:pt idx="0">
                  <c:v>~e</c:v>
                </c:pt>
                <c:pt idx="1">
                  <c:v>~f#</c:v>
                </c:pt>
                <c:pt idx="2">
                  <c:v>~g</c:v>
                </c:pt>
                <c:pt idx="3">
                  <c:v>~B</c:v>
                </c:pt>
                <c:pt idx="4">
                  <c:v>~C</c:v>
                </c:pt>
              </c:strCache>
            </c:strRef>
          </c:cat>
          <c:val>
            <c:numRef>
              <c:f>starts!$U$5:$U$9</c:f>
              <c:numCache>
                <c:formatCode>0.0%</c:formatCode>
                <c:ptCount val="5"/>
                <c:pt idx="0">
                  <c:v>0.70741482965931868</c:v>
                </c:pt>
                <c:pt idx="1">
                  <c:v>7.0140280561122245E-3</c:v>
                </c:pt>
                <c:pt idx="2">
                  <c:v>0.18436873747494989</c:v>
                </c:pt>
                <c:pt idx="3">
                  <c:v>3.3066132264529056E-2</c:v>
                </c:pt>
                <c:pt idx="4">
                  <c:v>6.8136272545090179E-2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76928"/>
        <c:axId val="223226688"/>
      </c:barChart>
      <c:catAx>
        <c:axId val="223676928"/>
        <c:scaling>
          <c:orientation val="minMax"/>
        </c:scaling>
        <c:delete val="0"/>
        <c:axPos val="l"/>
        <c:majorTickMark val="out"/>
        <c:minorTickMark val="none"/>
        <c:tickLblPos val="nextTo"/>
        <c:crossAx val="223226688"/>
        <c:crosses val="autoZero"/>
        <c:auto val="1"/>
        <c:lblAlgn val="ctr"/>
        <c:lblOffset val="100"/>
        <c:noMultiLvlLbl val="0"/>
      </c:catAx>
      <c:valAx>
        <c:axId val="223226688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223676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starts!$B$37</c:f>
              <c:strCache>
                <c:ptCount val="1"/>
                <c:pt idx="0">
                  <c:v>Gen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starts!$B$38:$B$44</c:f>
              <c:numCache>
                <c:formatCode>General</c:formatCode>
                <c:ptCount val="7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22</c:v>
                </c:pt>
                <c:pt idx="5">
                  <c:v>31</c:v>
                </c:pt>
              </c:numCache>
            </c:numRef>
          </c:val>
        </c:ser>
        <c:ser>
          <c:idx val="1"/>
          <c:order val="1"/>
          <c:tx>
            <c:strRef>
              <c:f>starts!$C$37</c:f>
              <c:strCache>
                <c:ptCount val="1"/>
                <c:pt idx="0">
                  <c:v>Ex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starts!$C$38:$C$44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17</c:v>
                </c:pt>
                <c:pt idx="3">
                  <c:v>2</c:v>
                </c:pt>
                <c:pt idx="4">
                  <c:v>35</c:v>
                </c:pt>
                <c:pt idx="5">
                  <c:v>21</c:v>
                </c:pt>
              </c:numCache>
            </c:numRef>
          </c:val>
        </c:ser>
        <c:ser>
          <c:idx val="2"/>
          <c:order val="2"/>
          <c:tx>
            <c:strRef>
              <c:f>starts!$D$37</c:f>
              <c:strCache>
                <c:ptCount val="1"/>
                <c:pt idx="0">
                  <c:v>Lev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starts!$D$38:$D$44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40</c:v>
                </c:pt>
                <c:pt idx="5">
                  <c:v>29</c:v>
                </c:pt>
              </c:numCache>
            </c:numRef>
          </c:val>
        </c:ser>
        <c:ser>
          <c:idx val="3"/>
          <c:order val="3"/>
          <c:tx>
            <c:strRef>
              <c:f>starts!$E$37</c:f>
              <c:strCache>
                <c:ptCount val="1"/>
                <c:pt idx="0">
                  <c:v>Num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starts!$E$38:$E$44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9</c:v>
                </c:pt>
                <c:pt idx="4">
                  <c:v>70</c:v>
                </c:pt>
                <c:pt idx="5">
                  <c:v>31</c:v>
                </c:pt>
              </c:numCache>
            </c:numRef>
          </c:val>
        </c:ser>
        <c:ser>
          <c:idx val="4"/>
          <c:order val="4"/>
          <c:tx>
            <c:strRef>
              <c:f>starts!$F$37</c:f>
              <c:strCache>
                <c:ptCount val="1"/>
                <c:pt idx="0">
                  <c:v>Deut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starts!$F$38:$F$44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27</c:v>
                </c:pt>
                <c:pt idx="3">
                  <c:v>7</c:v>
                </c:pt>
                <c:pt idx="4">
                  <c:v>57</c:v>
                </c:pt>
                <c:pt idx="5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850496"/>
        <c:axId val="223230144"/>
      </c:barChart>
      <c:catAx>
        <c:axId val="223850496"/>
        <c:scaling>
          <c:orientation val="minMax"/>
        </c:scaling>
        <c:delete val="0"/>
        <c:axPos val="l"/>
        <c:majorTickMark val="out"/>
        <c:minorTickMark val="none"/>
        <c:tickLblPos val="nextTo"/>
        <c:crossAx val="223230144"/>
        <c:crosses val="autoZero"/>
        <c:auto val="1"/>
        <c:lblAlgn val="ctr"/>
        <c:lblOffset val="100"/>
        <c:noMultiLvlLbl val="0"/>
      </c:catAx>
      <c:valAx>
        <c:axId val="2232301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3850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starts!$G$37</c:f>
              <c:strCache>
                <c:ptCount val="1"/>
                <c:pt idx="0">
                  <c:v>Joshua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starts!$G$38:$G$45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</c:v>
                </c:pt>
                <c:pt idx="4">
                  <c:v>18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starts!$H$37</c:f>
              <c:strCache>
                <c:ptCount val="1"/>
                <c:pt idx="0">
                  <c:v>Judges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starts!$H$38:$H$45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</c:ser>
        <c:ser>
          <c:idx val="2"/>
          <c:order val="2"/>
          <c:tx>
            <c:strRef>
              <c:f>starts!$I$37</c:f>
              <c:strCache>
                <c:ptCount val="1"/>
                <c:pt idx="0">
                  <c:v>1 SA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starts!$I$38:$I$45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starts!$J$37</c:f>
              <c:strCache>
                <c:ptCount val="1"/>
                <c:pt idx="0">
                  <c:v>2 SA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starts!$J$38:$J$45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1</c:v>
                </c:pt>
                <c:pt idx="4">
                  <c:v>7</c:v>
                </c:pt>
                <c:pt idx="5">
                  <c:v>12</c:v>
                </c:pt>
              </c:numCache>
            </c:numRef>
          </c:val>
        </c:ser>
        <c:ser>
          <c:idx val="4"/>
          <c:order val="4"/>
          <c:tx>
            <c:strRef>
              <c:f>starts!$K$37</c:f>
              <c:strCache>
                <c:ptCount val="1"/>
                <c:pt idx="0">
                  <c:v>1 Ki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starts!$K$38:$K$45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20</c:v>
                </c:pt>
                <c:pt idx="5">
                  <c:v>17</c:v>
                </c:pt>
              </c:numCache>
            </c:numRef>
          </c:val>
        </c:ser>
        <c:ser>
          <c:idx val="5"/>
          <c:order val="5"/>
          <c:tx>
            <c:strRef>
              <c:f>starts!$L$37</c:f>
              <c:strCache>
                <c:ptCount val="1"/>
                <c:pt idx="0">
                  <c:v>2 Ki</c:v>
                </c:pt>
              </c:strCache>
            </c:strRef>
          </c:tx>
          <c:invertIfNegative val="0"/>
          <c:cat>
            <c:strRef>
              <c:f>starts!$A$38:$A$44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starts!$L$38:$L$45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22</c:v>
                </c:pt>
                <c:pt idx="5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74880"/>
        <c:axId val="223231296"/>
      </c:barChart>
      <c:catAx>
        <c:axId val="223674880"/>
        <c:scaling>
          <c:orientation val="minMax"/>
        </c:scaling>
        <c:delete val="0"/>
        <c:axPos val="l"/>
        <c:majorTickMark val="out"/>
        <c:minorTickMark val="none"/>
        <c:tickLblPos val="nextTo"/>
        <c:crossAx val="223231296"/>
        <c:crosses val="autoZero"/>
        <c:auto val="1"/>
        <c:lblAlgn val="ctr"/>
        <c:lblOffset val="100"/>
        <c:noMultiLvlLbl val="0"/>
      </c:catAx>
      <c:valAx>
        <c:axId val="2232312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367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Opening Notes other than the tonic</a:t>
            </a:r>
          </a:p>
        </c:rich>
      </c:tx>
      <c:overlay val="0"/>
    </c:title>
    <c:autoTitleDeleted val="0"/>
    <c:view3D>
      <c:rotX val="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starts!$AH$37</c:f>
              <c:strCache>
                <c:ptCount val="1"/>
                <c:pt idx="0">
                  <c:v>Daniel</c:v>
                </c:pt>
              </c:strCache>
            </c:strRef>
          </c:tx>
          <c:invertIfNegative val="0"/>
          <c:cat>
            <c:strRef>
              <c:f>starts!$AG$38:$AG$43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starts!$AH$38:$AH$43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starts!$AI$37</c:f>
              <c:strCache>
                <c:ptCount val="1"/>
                <c:pt idx="0">
                  <c:v>Ezra</c:v>
                </c:pt>
              </c:strCache>
            </c:strRef>
          </c:tx>
          <c:invertIfNegative val="0"/>
          <c:cat>
            <c:strRef>
              <c:f>starts!$AG$38:$AG$43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starts!$AI$38:$AI$43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starts!$AJ$37</c:f>
              <c:strCache>
                <c:ptCount val="1"/>
                <c:pt idx="0">
                  <c:v>Nehemiah</c:v>
                </c:pt>
              </c:strCache>
            </c:strRef>
          </c:tx>
          <c:invertIfNegative val="0"/>
          <c:cat>
            <c:strRef>
              <c:f>starts!$AG$38:$AG$43</c:f>
              <c:strCache>
                <c:ptCount val="6"/>
                <c:pt idx="0">
                  <c:v>c </c:v>
                </c:pt>
                <c:pt idx="1">
                  <c:v>d </c:v>
                </c:pt>
                <c:pt idx="2">
                  <c:v>f </c:v>
                </c:pt>
                <c:pt idx="3">
                  <c:v>g </c:v>
                </c:pt>
                <c:pt idx="4">
                  <c:v>B </c:v>
                </c:pt>
                <c:pt idx="5">
                  <c:v>C </c:v>
                </c:pt>
              </c:strCache>
            </c:strRef>
          </c:cat>
          <c:val>
            <c:numRef>
              <c:f>starts!$AJ$38:$AJ$43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3853568"/>
        <c:axId val="229444416"/>
        <c:axId val="0"/>
      </c:bar3DChart>
      <c:catAx>
        <c:axId val="223853568"/>
        <c:scaling>
          <c:orientation val="minMax"/>
        </c:scaling>
        <c:delete val="0"/>
        <c:axPos val="l"/>
        <c:majorTickMark val="out"/>
        <c:minorTickMark val="none"/>
        <c:tickLblPos val="nextTo"/>
        <c:crossAx val="229444416"/>
        <c:crosses val="autoZero"/>
        <c:auto val="1"/>
        <c:lblAlgn val="ctr"/>
        <c:lblOffset val="100"/>
        <c:noMultiLvlLbl val="0"/>
      </c:catAx>
      <c:valAx>
        <c:axId val="2294444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385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2</xdr:row>
      <xdr:rowOff>123824</xdr:rowOff>
    </xdr:from>
    <xdr:to>
      <xdr:col>17</xdr:col>
      <xdr:colOff>342900</xdr:colOff>
      <xdr:row>43</xdr:row>
      <xdr:rowOff>171449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19</xdr:row>
      <xdr:rowOff>100012</xdr:rowOff>
    </xdr:from>
    <xdr:to>
      <xdr:col>13</xdr:col>
      <xdr:colOff>447675</xdr:colOff>
      <xdr:row>33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195262</xdr:colOff>
      <xdr:row>19</xdr:row>
      <xdr:rowOff>109537</xdr:rowOff>
    </xdr:from>
    <xdr:to>
      <xdr:col>21</xdr:col>
      <xdr:colOff>500062</xdr:colOff>
      <xdr:row>33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50</xdr:row>
      <xdr:rowOff>19050</xdr:rowOff>
    </xdr:from>
    <xdr:to>
      <xdr:col>7</xdr:col>
      <xdr:colOff>333375</xdr:colOff>
      <xdr:row>69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247650</xdr:colOff>
      <xdr:row>50</xdr:row>
      <xdr:rowOff>19050</xdr:rowOff>
    </xdr:from>
    <xdr:to>
      <xdr:col>14</xdr:col>
      <xdr:colOff>552450</xdr:colOff>
      <xdr:row>64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333375</xdr:colOff>
      <xdr:row>19</xdr:row>
      <xdr:rowOff>42862</xdr:rowOff>
    </xdr:from>
    <xdr:to>
      <xdr:col>33</xdr:col>
      <xdr:colOff>28575</xdr:colOff>
      <xdr:row>33</xdr:row>
      <xdr:rowOff>119062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tabSelected="1" topLeftCell="B1" workbookViewId="0">
      <selection activeCell="B49" sqref="B49:N67"/>
    </sheetView>
  </sheetViews>
  <sheetFormatPr defaultRowHeight="15" x14ac:dyDescent="0.25"/>
  <cols>
    <col min="2" max="2" width="11" customWidth="1"/>
    <col min="3" max="3" width="22" bestFit="1" customWidth="1"/>
    <col min="5" max="5" width="9.85546875" customWidth="1"/>
    <col min="6" max="6" width="9.85546875" bestFit="1" customWidth="1"/>
    <col min="7" max="7" width="10.5703125" bestFit="1" customWidth="1"/>
    <col min="8" max="8" width="10.7109375" bestFit="1" customWidth="1"/>
    <col min="9" max="12" width="10.42578125" bestFit="1" customWidth="1"/>
    <col min="13" max="13" width="10.140625" customWidth="1"/>
    <col min="16" max="16" width="10.7109375" bestFit="1" customWidth="1"/>
    <col min="17" max="17" width="12.28515625" customWidth="1"/>
    <col min="18" max="19" width="10.7109375" bestFit="1" customWidth="1"/>
    <col min="20" max="20" width="9.7109375" bestFit="1" customWidth="1"/>
  </cols>
  <sheetData>
    <row r="1" spans="1:20" x14ac:dyDescent="0.25">
      <c r="C1" t="s">
        <v>73</v>
      </c>
      <c r="D1">
        <v>9</v>
      </c>
      <c r="E1">
        <v>300</v>
      </c>
      <c r="G1">
        <v>9</v>
      </c>
      <c r="H1" s="8">
        <f>G1/D1</f>
        <v>1</v>
      </c>
      <c r="I1" s="10">
        <v>26.8</v>
      </c>
      <c r="J1" s="9">
        <f>I1/(E1*H1)</f>
        <v>8.9333333333333334E-2</v>
      </c>
      <c r="K1" s="9">
        <f>J1*E1</f>
        <v>26.8</v>
      </c>
      <c r="N1" t="s">
        <v>79</v>
      </c>
    </row>
    <row r="2" spans="1:20" x14ac:dyDescent="0.25">
      <c r="B2" t="s">
        <v>89</v>
      </c>
      <c r="Q2" t="s">
        <v>85</v>
      </c>
      <c r="R2" s="13">
        <v>45778</v>
      </c>
    </row>
    <row r="3" spans="1:20" x14ac:dyDescent="0.25">
      <c r="C3" s="14" t="s">
        <v>72</v>
      </c>
      <c r="D3" s="14" t="s">
        <v>77</v>
      </c>
      <c r="E3" s="14" t="s">
        <v>78</v>
      </c>
      <c r="F3" s="14" t="s">
        <v>80</v>
      </c>
      <c r="G3" s="14" t="s">
        <v>74</v>
      </c>
      <c r="H3" s="14"/>
      <c r="I3" s="14" t="s">
        <v>75</v>
      </c>
      <c r="J3" s="14" t="s">
        <v>76</v>
      </c>
      <c r="K3" s="14" t="s">
        <v>141</v>
      </c>
      <c r="L3" s="14"/>
      <c r="Q3" t="s">
        <v>82</v>
      </c>
    </row>
    <row r="4" spans="1:20" x14ac:dyDescent="0.25">
      <c r="A4" t="s">
        <v>140</v>
      </c>
      <c r="H4" s="8"/>
      <c r="I4" s="10"/>
      <c r="J4" s="9"/>
      <c r="K4" s="9"/>
      <c r="M4" t="s">
        <v>81</v>
      </c>
      <c r="N4" t="s">
        <v>88</v>
      </c>
      <c r="O4" t="s">
        <v>137</v>
      </c>
      <c r="P4" t="s">
        <v>83</v>
      </c>
      <c r="R4" t="s">
        <v>84</v>
      </c>
    </row>
    <row r="5" spans="1:20" x14ac:dyDescent="0.25">
      <c r="A5">
        <v>2245</v>
      </c>
      <c r="B5">
        <v>1</v>
      </c>
      <c r="C5" t="s">
        <v>56</v>
      </c>
      <c r="D5">
        <v>50</v>
      </c>
      <c r="E5">
        <v>1533</v>
      </c>
      <c r="F5" s="10">
        <f>E5/D5</f>
        <v>30.66</v>
      </c>
      <c r="G5">
        <v>50</v>
      </c>
      <c r="H5" s="8"/>
      <c r="I5" s="10">
        <v>173.3</v>
      </c>
      <c r="J5" s="17">
        <f t="shared" ref="J5:J23" si="0">I5/A5</f>
        <v>7.7193763919821828E-2</v>
      </c>
      <c r="K5" s="9">
        <f>A5/E5</f>
        <v>1.4644487932159165</v>
      </c>
      <c r="L5" s="8">
        <f>E5/$E$23</f>
        <v>6.6088980858768756E-2</v>
      </c>
      <c r="M5">
        <f>S5-P5</f>
        <v>39</v>
      </c>
      <c r="N5" s="11">
        <f t="shared" ref="N5:N11" si="1">ROUND(M5/E5,4)</f>
        <v>2.5399999999999999E-2</v>
      </c>
      <c r="O5">
        <f t="shared" ref="O5:O21" si="2">S5-P5</f>
        <v>39</v>
      </c>
      <c r="P5" s="13">
        <v>45710</v>
      </c>
      <c r="Q5" s="13">
        <v>45719</v>
      </c>
      <c r="R5" s="13">
        <v>45739</v>
      </c>
      <c r="S5" s="13">
        <v>45749</v>
      </c>
      <c r="T5" t="str">
        <f>C5</f>
        <v>Genesis</v>
      </c>
    </row>
    <row r="6" spans="1:20" x14ac:dyDescent="0.25">
      <c r="A6">
        <v>1853</v>
      </c>
      <c r="B6">
        <v>2</v>
      </c>
      <c r="C6" t="s">
        <v>57</v>
      </c>
      <c r="D6">
        <v>40</v>
      </c>
      <c r="E6">
        <v>1213</v>
      </c>
      <c r="F6" s="10">
        <f t="shared" ref="F6:F23" si="3">E6/D6</f>
        <v>30.324999999999999</v>
      </c>
      <c r="G6">
        <v>40</v>
      </c>
      <c r="H6" s="8"/>
      <c r="I6" s="10">
        <v>143.5</v>
      </c>
      <c r="J6" s="17">
        <f t="shared" si="0"/>
        <v>7.7441985968699403E-2</v>
      </c>
      <c r="K6" s="9">
        <f t="shared" ref="K6:K23" si="4">A6/E6</f>
        <v>1.5276174773289366</v>
      </c>
      <c r="L6" s="8">
        <f t="shared" ref="L6:L22" si="5">E6/$E$23</f>
        <v>5.2293498879117092E-2</v>
      </c>
      <c r="M6">
        <f>S6-P6</f>
        <v>9</v>
      </c>
      <c r="N6" s="11">
        <f t="shared" si="1"/>
        <v>7.4000000000000003E-3</v>
      </c>
      <c r="O6">
        <f t="shared" si="2"/>
        <v>9</v>
      </c>
      <c r="P6" s="13">
        <v>45721</v>
      </c>
      <c r="Q6" s="13">
        <v>45726</v>
      </c>
      <c r="R6" s="13">
        <v>45722</v>
      </c>
      <c r="S6" s="13">
        <v>45730</v>
      </c>
      <c r="T6" t="str">
        <f t="shared" ref="T6:T22" si="6">C6</f>
        <v>Exodus</v>
      </c>
    </row>
    <row r="7" spans="1:20" x14ac:dyDescent="0.25">
      <c r="A7">
        <v>1287</v>
      </c>
      <c r="B7">
        <v>3</v>
      </c>
      <c r="C7" t="s">
        <v>58</v>
      </c>
      <c r="D7">
        <v>27</v>
      </c>
      <c r="E7">
        <v>859</v>
      </c>
      <c r="F7" s="10">
        <f t="shared" si="3"/>
        <v>31.814814814814813</v>
      </c>
      <c r="G7">
        <v>27</v>
      </c>
      <c r="H7" s="8"/>
      <c r="I7" s="10">
        <v>100.7</v>
      </c>
      <c r="J7" s="17">
        <f t="shared" si="0"/>
        <v>7.8243978243978246E-2</v>
      </c>
      <c r="K7" s="9">
        <f t="shared" si="4"/>
        <v>1.4982537834691503</v>
      </c>
      <c r="L7" s="8">
        <f t="shared" si="5"/>
        <v>3.7032246939127433E-2</v>
      </c>
      <c r="M7">
        <f>S7-P7</f>
        <v>8</v>
      </c>
      <c r="N7" s="11">
        <f t="shared" si="1"/>
        <v>9.2999999999999992E-3</v>
      </c>
      <c r="O7">
        <f t="shared" si="2"/>
        <v>8</v>
      </c>
      <c r="P7" s="13">
        <v>45769</v>
      </c>
      <c r="Q7" s="13">
        <v>45776</v>
      </c>
      <c r="R7" s="13">
        <v>45768</v>
      </c>
      <c r="S7" s="13">
        <v>45777</v>
      </c>
      <c r="T7" t="str">
        <f t="shared" si="6"/>
        <v>Leviticus</v>
      </c>
    </row>
    <row r="8" spans="1:20" x14ac:dyDescent="0.25">
      <c r="A8">
        <v>1855</v>
      </c>
      <c r="B8">
        <v>4</v>
      </c>
      <c r="C8" t="s">
        <v>59</v>
      </c>
      <c r="D8">
        <v>36</v>
      </c>
      <c r="E8">
        <v>1288</v>
      </c>
      <c r="F8" s="10">
        <f t="shared" si="3"/>
        <v>35.777777777777779</v>
      </c>
      <c r="G8">
        <v>36</v>
      </c>
      <c r="H8" s="8"/>
      <c r="I8" s="10">
        <v>143.30000000000001</v>
      </c>
      <c r="J8" s="17">
        <f t="shared" si="0"/>
        <v>7.7250673854447449E-2</v>
      </c>
      <c r="K8" s="9">
        <f t="shared" si="4"/>
        <v>1.4402173913043479</v>
      </c>
      <c r="L8" s="8">
        <f t="shared" si="5"/>
        <v>5.552681496809795E-2</v>
      </c>
      <c r="M8">
        <f t="shared" ref="M8:M22" si="7">S8-P8</f>
        <v>6</v>
      </c>
      <c r="N8" s="11">
        <f t="shared" si="1"/>
        <v>4.7000000000000002E-3</v>
      </c>
      <c r="O8">
        <f t="shared" si="2"/>
        <v>6</v>
      </c>
      <c r="P8" s="13">
        <v>45778</v>
      </c>
      <c r="Q8" s="13">
        <v>45783</v>
      </c>
      <c r="R8" s="13">
        <v>45778</v>
      </c>
      <c r="S8" s="13">
        <v>45784</v>
      </c>
      <c r="T8" t="str">
        <f t="shared" si="6"/>
        <v>Numbers</v>
      </c>
    </row>
    <row r="9" spans="1:20" x14ac:dyDescent="0.25">
      <c r="A9">
        <v>1553</v>
      </c>
      <c r="B9">
        <v>5</v>
      </c>
      <c r="C9" t="s">
        <v>60</v>
      </c>
      <c r="D9">
        <v>34</v>
      </c>
      <c r="E9">
        <v>959</v>
      </c>
      <c r="F9" s="10">
        <f t="shared" si="3"/>
        <v>28.205882352941178</v>
      </c>
      <c r="G9">
        <v>34</v>
      </c>
      <c r="H9" s="8"/>
      <c r="I9" s="10">
        <v>123.1</v>
      </c>
      <c r="J9" s="17">
        <f t="shared" si="0"/>
        <v>7.9265936896329686E-2</v>
      </c>
      <c r="K9" s="9">
        <f t="shared" si="4"/>
        <v>1.6193952033368091</v>
      </c>
      <c r="L9" s="8">
        <f t="shared" si="5"/>
        <v>4.1343335057768583E-2</v>
      </c>
      <c r="M9">
        <f t="shared" si="7"/>
        <v>28</v>
      </c>
      <c r="N9" s="11">
        <f t="shared" si="1"/>
        <v>2.92E-2</v>
      </c>
      <c r="O9">
        <f t="shared" si="2"/>
        <v>28</v>
      </c>
      <c r="P9" s="13">
        <v>45659</v>
      </c>
      <c r="Q9" s="13">
        <v>45686</v>
      </c>
      <c r="R9" s="13">
        <v>45657</v>
      </c>
      <c r="S9" s="13">
        <v>45687</v>
      </c>
      <c r="T9" t="str">
        <f t="shared" si="6"/>
        <v>Deuteronomy</v>
      </c>
    </row>
    <row r="10" spans="1:20" x14ac:dyDescent="0.25">
      <c r="A10">
        <v>2148</v>
      </c>
      <c r="B10">
        <v>6</v>
      </c>
      <c r="C10" t="s">
        <v>61</v>
      </c>
      <c r="D10">
        <v>45</v>
      </c>
      <c r="E10">
        <v>1276</v>
      </c>
      <c r="F10" s="10">
        <f t="shared" si="3"/>
        <v>28.355555555555554</v>
      </c>
      <c r="G10">
        <v>45</v>
      </c>
      <c r="H10" s="8"/>
      <c r="I10" s="10">
        <v>158</v>
      </c>
      <c r="J10" s="17">
        <f t="shared" si="0"/>
        <v>7.3556797020484177E-2</v>
      </c>
      <c r="K10" s="9">
        <f t="shared" si="4"/>
        <v>1.6833855799373041</v>
      </c>
      <c r="L10" s="8">
        <f t="shared" si="5"/>
        <v>5.5009484393861011E-2</v>
      </c>
      <c r="M10">
        <f t="shared" si="7"/>
        <v>16</v>
      </c>
      <c r="N10" s="11">
        <f t="shared" si="1"/>
        <v>1.2500000000000001E-2</v>
      </c>
      <c r="O10">
        <f t="shared" si="2"/>
        <v>16</v>
      </c>
      <c r="P10" s="13">
        <v>45820</v>
      </c>
      <c r="S10" s="13">
        <v>45836</v>
      </c>
      <c r="T10" t="str">
        <f t="shared" si="6"/>
        <v>Joshua, Judges</v>
      </c>
    </row>
    <row r="11" spans="1:20" x14ac:dyDescent="0.25">
      <c r="A11">
        <v>2560</v>
      </c>
      <c r="B11">
        <v>7</v>
      </c>
      <c r="C11" t="s">
        <v>62</v>
      </c>
      <c r="D11">
        <v>55</v>
      </c>
      <c r="E11">
        <v>1505</v>
      </c>
      <c r="F11" s="10">
        <f t="shared" si="3"/>
        <v>27.363636363636363</v>
      </c>
      <c r="G11">
        <v>55</v>
      </c>
      <c r="H11" s="8"/>
      <c r="I11" s="10">
        <v>186.7</v>
      </c>
      <c r="J11" s="17">
        <f t="shared" si="0"/>
        <v>7.2929687499999993E-2</v>
      </c>
      <c r="K11" s="9">
        <f t="shared" si="4"/>
        <v>1.7009966777408638</v>
      </c>
      <c r="L11" s="8">
        <f t="shared" si="5"/>
        <v>6.4881876185549234E-2</v>
      </c>
      <c r="M11">
        <f t="shared" si="7"/>
        <v>18</v>
      </c>
      <c r="N11" s="11">
        <f t="shared" si="1"/>
        <v>1.2E-2</v>
      </c>
      <c r="O11">
        <f t="shared" si="2"/>
        <v>18</v>
      </c>
      <c r="P11" s="13">
        <v>45836</v>
      </c>
      <c r="S11" s="13">
        <v>45854</v>
      </c>
      <c r="T11" t="str">
        <f t="shared" si="6"/>
        <v>Samuel</v>
      </c>
    </row>
    <row r="12" spans="1:20" x14ac:dyDescent="0.25">
      <c r="A12">
        <v>2705</v>
      </c>
      <c r="B12">
        <v>8</v>
      </c>
      <c r="C12" t="s">
        <v>63</v>
      </c>
      <c r="D12">
        <v>47</v>
      </c>
      <c r="E12">
        <v>1536</v>
      </c>
      <c r="F12" s="10">
        <f t="shared" si="3"/>
        <v>32.680851063829785</v>
      </c>
      <c r="G12">
        <v>47</v>
      </c>
      <c r="H12" s="8"/>
      <c r="I12" s="10">
        <v>198.1</v>
      </c>
      <c r="J12" s="17">
        <f t="shared" si="0"/>
        <v>7.3234750462107201E-2</v>
      </c>
      <c r="K12" s="9">
        <f t="shared" si="4"/>
        <v>1.7610677083333333</v>
      </c>
      <c r="L12" s="8">
        <f t="shared" si="5"/>
        <v>6.6218313502327986E-2</v>
      </c>
      <c r="M12">
        <f t="shared" si="7"/>
        <v>16</v>
      </c>
      <c r="N12" s="11">
        <f t="shared" ref="N12:N20" si="8">ROUND(M12/E12,4)</f>
        <v>1.04E-2</v>
      </c>
      <c r="O12">
        <f t="shared" si="2"/>
        <v>16</v>
      </c>
      <c r="P12" s="13">
        <v>45796</v>
      </c>
      <c r="Q12" s="13">
        <v>45811</v>
      </c>
      <c r="R12" s="13">
        <v>45796</v>
      </c>
      <c r="S12" s="13">
        <v>45812</v>
      </c>
      <c r="T12" t="str">
        <f t="shared" si="6"/>
        <v>Kings</v>
      </c>
    </row>
    <row r="13" spans="1:20" x14ac:dyDescent="0.25">
      <c r="A13">
        <v>1903</v>
      </c>
      <c r="B13">
        <v>9</v>
      </c>
      <c r="C13" t="s">
        <v>64</v>
      </c>
      <c r="D13">
        <v>66</v>
      </c>
      <c r="E13">
        <v>1291</v>
      </c>
      <c r="F13" s="10">
        <f t="shared" si="3"/>
        <v>19.560606060606062</v>
      </c>
      <c r="G13">
        <v>66</v>
      </c>
      <c r="H13" s="8"/>
      <c r="I13" s="10">
        <v>135.19999999999999</v>
      </c>
      <c r="J13" s="17">
        <f t="shared" si="0"/>
        <v>7.104571728849185E-2</v>
      </c>
      <c r="K13" s="9">
        <f t="shared" si="4"/>
        <v>1.4740511231603408</v>
      </c>
      <c r="L13" s="8">
        <f t="shared" si="5"/>
        <v>5.5656147611657179E-2</v>
      </c>
      <c r="M13">
        <f t="shared" si="7"/>
        <v>23</v>
      </c>
      <c r="N13" s="11">
        <f t="shared" si="8"/>
        <v>1.78E-2</v>
      </c>
      <c r="O13">
        <f t="shared" si="2"/>
        <v>23</v>
      </c>
      <c r="P13" s="13">
        <v>45699</v>
      </c>
      <c r="Q13" s="13">
        <v>45726</v>
      </c>
      <c r="R13" s="13">
        <v>45698</v>
      </c>
      <c r="S13" s="13">
        <v>45722</v>
      </c>
      <c r="T13" t="str">
        <f t="shared" si="6"/>
        <v>Isaiah</v>
      </c>
    </row>
    <row r="14" spans="1:20" x14ac:dyDescent="0.25">
      <c r="A14">
        <v>2318</v>
      </c>
      <c r="B14">
        <v>10</v>
      </c>
      <c r="C14" t="s">
        <v>65</v>
      </c>
      <c r="D14">
        <v>52</v>
      </c>
      <c r="E14">
        <v>1364</v>
      </c>
      <c r="F14" s="10">
        <f t="shared" si="3"/>
        <v>26.23076923076923</v>
      </c>
      <c r="G14">
        <v>52</v>
      </c>
      <c r="H14" s="8"/>
      <c r="I14" s="10">
        <v>168.9</v>
      </c>
      <c r="J14" s="17">
        <f t="shared" si="0"/>
        <v>7.2864538395168252E-2</v>
      </c>
      <c r="K14" s="9">
        <f t="shared" si="4"/>
        <v>1.6994134897360704</v>
      </c>
      <c r="L14" s="8">
        <f t="shared" si="5"/>
        <v>5.8803241938265222E-2</v>
      </c>
      <c r="M14">
        <f t="shared" si="7"/>
        <v>13</v>
      </c>
      <c r="N14" s="11">
        <f t="shared" si="8"/>
        <v>9.4999999999999998E-3</v>
      </c>
      <c r="O14">
        <f t="shared" si="2"/>
        <v>13</v>
      </c>
      <c r="P14" s="13">
        <v>45751</v>
      </c>
      <c r="Q14" s="13">
        <v>45764</v>
      </c>
      <c r="R14" s="13">
        <v>45751</v>
      </c>
      <c r="S14" s="13">
        <v>45764</v>
      </c>
      <c r="T14" t="str">
        <f t="shared" si="6"/>
        <v>Jeremiah</v>
      </c>
    </row>
    <row r="15" spans="1:20" x14ac:dyDescent="0.25">
      <c r="A15">
        <v>2066</v>
      </c>
      <c r="B15">
        <v>11</v>
      </c>
      <c r="C15" t="s">
        <v>66</v>
      </c>
      <c r="D15">
        <v>48</v>
      </c>
      <c r="E15">
        <v>1273</v>
      </c>
      <c r="F15" s="10">
        <f t="shared" si="3"/>
        <v>26.520833333333332</v>
      </c>
      <c r="G15">
        <v>48</v>
      </c>
      <c r="H15" s="8"/>
      <c r="I15" s="10">
        <v>149.80000000000001</v>
      </c>
      <c r="J15" s="17">
        <f t="shared" si="0"/>
        <v>7.2507260406582771E-2</v>
      </c>
      <c r="K15" s="9">
        <f t="shared" si="4"/>
        <v>1.6229379418695993</v>
      </c>
      <c r="L15" s="8">
        <f t="shared" si="5"/>
        <v>5.4880151750301774E-2</v>
      </c>
      <c r="M15">
        <f t="shared" si="7"/>
        <v>12</v>
      </c>
      <c r="N15" s="11">
        <f t="shared" si="8"/>
        <v>9.4000000000000004E-3</v>
      </c>
      <c r="O15">
        <f t="shared" si="2"/>
        <v>12</v>
      </c>
      <c r="P15" s="13">
        <v>45784</v>
      </c>
      <c r="Q15" s="13">
        <v>45796</v>
      </c>
      <c r="R15" s="13">
        <v>45784</v>
      </c>
      <c r="S15" s="13">
        <v>45796</v>
      </c>
      <c r="T15" t="str">
        <f t="shared" si="6"/>
        <v>Ezekiel</v>
      </c>
    </row>
    <row r="16" spans="1:20" x14ac:dyDescent="0.25">
      <c r="A16">
        <v>1583</v>
      </c>
      <c r="B16">
        <v>12</v>
      </c>
      <c r="C16" t="s">
        <v>67</v>
      </c>
      <c r="D16">
        <v>67</v>
      </c>
      <c r="E16">
        <v>1050</v>
      </c>
      <c r="F16" s="10">
        <f t="shared" si="3"/>
        <v>15.671641791044776</v>
      </c>
      <c r="G16">
        <v>67</v>
      </c>
      <c r="H16" s="8"/>
      <c r="I16" s="10">
        <v>122.7</v>
      </c>
      <c r="J16" s="17">
        <f t="shared" si="0"/>
        <v>7.751105495893873E-2</v>
      </c>
      <c r="K16" s="9">
        <f t="shared" si="4"/>
        <v>1.5076190476190476</v>
      </c>
      <c r="L16" s="8">
        <f t="shared" si="5"/>
        <v>4.5266425245732024E-2</v>
      </c>
      <c r="M16">
        <f t="shared" si="7"/>
        <v>7</v>
      </c>
      <c r="N16" s="11">
        <f t="shared" si="8"/>
        <v>6.7000000000000002E-3</v>
      </c>
      <c r="O16">
        <f t="shared" si="2"/>
        <v>7</v>
      </c>
      <c r="P16" s="13">
        <v>45731</v>
      </c>
      <c r="Q16" s="13">
        <v>45738</v>
      </c>
      <c r="R16" s="13">
        <v>45731</v>
      </c>
      <c r="S16" s="13">
        <v>45738</v>
      </c>
      <c r="T16" t="str">
        <f t="shared" si="6"/>
        <v>The Twelve</v>
      </c>
    </row>
    <row r="17" spans="1:20" x14ac:dyDescent="0.25">
      <c r="A17">
        <v>2604</v>
      </c>
      <c r="B17">
        <v>13</v>
      </c>
      <c r="C17" t="s">
        <v>13</v>
      </c>
      <c r="D17">
        <v>150</v>
      </c>
      <c r="E17">
        <v>2527</v>
      </c>
      <c r="F17" s="10">
        <f t="shared" si="3"/>
        <v>16.846666666666668</v>
      </c>
      <c r="G17">
        <v>150</v>
      </c>
      <c r="H17" s="8"/>
      <c r="I17" s="10">
        <v>227</v>
      </c>
      <c r="J17" s="17">
        <f t="shared" si="0"/>
        <v>8.7173579109062982E-2</v>
      </c>
      <c r="K17" s="9">
        <f t="shared" si="4"/>
        <v>1.0304709141274238</v>
      </c>
      <c r="L17" s="8">
        <f t="shared" si="5"/>
        <v>0.10894119675806173</v>
      </c>
      <c r="M17">
        <f t="shared" si="7"/>
        <v>15</v>
      </c>
      <c r="N17" s="11">
        <f t="shared" si="8"/>
        <v>5.8999999999999999E-3</v>
      </c>
      <c r="O17">
        <f t="shared" si="2"/>
        <v>15</v>
      </c>
      <c r="P17" s="13">
        <v>45682</v>
      </c>
      <c r="Q17" s="13">
        <v>45695</v>
      </c>
      <c r="R17" s="13">
        <v>45668</v>
      </c>
      <c r="S17" s="13">
        <v>45697</v>
      </c>
      <c r="T17" t="str">
        <f t="shared" si="6"/>
        <v>Psalms</v>
      </c>
    </row>
    <row r="18" spans="1:20" x14ac:dyDescent="0.25">
      <c r="A18">
        <v>920</v>
      </c>
      <c r="B18">
        <v>14</v>
      </c>
      <c r="C18" t="s">
        <v>68</v>
      </c>
      <c r="D18">
        <v>31</v>
      </c>
      <c r="E18">
        <v>915</v>
      </c>
      <c r="F18" s="10">
        <f t="shared" si="3"/>
        <v>29.516129032258064</v>
      </c>
      <c r="G18">
        <v>31</v>
      </c>
      <c r="H18" s="8"/>
      <c r="I18" s="10">
        <v>58</v>
      </c>
      <c r="J18" s="17">
        <f t="shared" si="0"/>
        <v>6.3043478260869562E-2</v>
      </c>
      <c r="K18" s="9">
        <f t="shared" si="4"/>
        <v>1.0054644808743169</v>
      </c>
      <c r="L18" s="8">
        <f t="shared" si="5"/>
        <v>3.9446456285566478E-2</v>
      </c>
      <c r="M18">
        <f t="shared" si="7"/>
        <v>5</v>
      </c>
      <c r="N18" s="11">
        <f t="shared" si="8"/>
        <v>5.4999999999999997E-3</v>
      </c>
      <c r="O18">
        <f t="shared" si="2"/>
        <v>5</v>
      </c>
      <c r="P18" s="13">
        <v>45764</v>
      </c>
      <c r="Q18" s="13">
        <v>45767</v>
      </c>
      <c r="R18" s="13">
        <v>45766</v>
      </c>
      <c r="S18" s="13">
        <v>45769</v>
      </c>
      <c r="T18" t="str">
        <f t="shared" si="6"/>
        <v>Proverbs</v>
      </c>
    </row>
    <row r="19" spans="1:20" x14ac:dyDescent="0.25">
      <c r="A19">
        <v>1279</v>
      </c>
      <c r="B19">
        <v>15</v>
      </c>
      <c r="C19" t="s">
        <v>15</v>
      </c>
      <c r="D19">
        <v>42</v>
      </c>
      <c r="E19">
        <v>1070</v>
      </c>
      <c r="F19" s="10">
        <f t="shared" si="3"/>
        <v>25.476190476190474</v>
      </c>
      <c r="G19">
        <v>42</v>
      </c>
      <c r="H19" s="8"/>
      <c r="I19" s="10">
        <v>105.4</v>
      </c>
      <c r="J19" s="17">
        <f t="shared" si="0"/>
        <v>8.2408131352619235E-2</v>
      </c>
      <c r="K19" s="9">
        <f t="shared" si="4"/>
        <v>1.1953271028037382</v>
      </c>
      <c r="L19" s="8">
        <f t="shared" si="5"/>
        <v>4.6128642869460251E-2</v>
      </c>
      <c r="M19">
        <f t="shared" si="7"/>
        <v>33</v>
      </c>
      <c r="N19" s="11">
        <f t="shared" si="8"/>
        <v>3.0800000000000001E-2</v>
      </c>
      <c r="O19">
        <f t="shared" si="2"/>
        <v>33</v>
      </c>
      <c r="P19" s="13">
        <v>45657</v>
      </c>
      <c r="Q19" s="13">
        <v>45689</v>
      </c>
      <c r="R19" s="13">
        <v>45663</v>
      </c>
      <c r="S19" s="13">
        <v>45690</v>
      </c>
      <c r="T19" t="str">
        <f t="shared" si="6"/>
        <v>Job</v>
      </c>
    </row>
    <row r="20" spans="1:20" x14ac:dyDescent="0.25">
      <c r="A20">
        <v>1117</v>
      </c>
      <c r="B20">
        <v>16</v>
      </c>
      <c r="C20" t="s">
        <v>69</v>
      </c>
      <c r="D20">
        <v>39</v>
      </c>
      <c r="E20">
        <v>745</v>
      </c>
      <c r="F20" s="10">
        <f t="shared" si="3"/>
        <v>19.102564102564102</v>
      </c>
      <c r="G20">
        <v>39</v>
      </c>
      <c r="H20" s="8"/>
      <c r="I20" s="10">
        <v>87.5</v>
      </c>
      <c r="J20" s="17">
        <f t="shared" si="0"/>
        <v>7.8334825425246196E-2</v>
      </c>
      <c r="K20" s="9">
        <f t="shared" si="4"/>
        <v>1.4993288590604026</v>
      </c>
      <c r="L20" s="8">
        <f t="shared" si="5"/>
        <v>3.2117606483876529E-2</v>
      </c>
      <c r="M20">
        <f>S20-P20</f>
        <v>52</v>
      </c>
      <c r="N20" s="11">
        <f t="shared" si="8"/>
        <v>6.9800000000000001E-2</v>
      </c>
      <c r="O20">
        <f t="shared" si="2"/>
        <v>52</v>
      </c>
      <c r="P20" s="13">
        <v>45667</v>
      </c>
      <c r="Q20" s="13">
        <v>45672</v>
      </c>
      <c r="R20" s="13">
        <v>45669</v>
      </c>
      <c r="S20" s="13">
        <v>45719</v>
      </c>
      <c r="T20" t="str">
        <f t="shared" si="6"/>
        <v>The Five Scrolls</v>
      </c>
    </row>
    <row r="21" spans="1:20" x14ac:dyDescent="0.25">
      <c r="A21">
        <v>1721</v>
      </c>
      <c r="B21">
        <v>17</v>
      </c>
      <c r="C21" t="s">
        <v>70</v>
      </c>
      <c r="D21">
        <v>35</v>
      </c>
      <c r="E21">
        <v>1042</v>
      </c>
      <c r="F21" s="10">
        <f t="shared" si="3"/>
        <v>29.771428571428572</v>
      </c>
      <c r="G21">
        <v>35</v>
      </c>
      <c r="H21" s="8"/>
      <c r="I21" s="10">
        <v>125.9</v>
      </c>
      <c r="J21" s="17">
        <f t="shared" si="0"/>
        <v>7.3155142359093553E-2</v>
      </c>
      <c r="K21" s="9">
        <f t="shared" si="4"/>
        <v>1.6516314779270633</v>
      </c>
      <c r="L21" s="8">
        <f t="shared" si="5"/>
        <v>4.4921538196240729E-2</v>
      </c>
      <c r="M21">
        <f>S21-P21</f>
        <v>42</v>
      </c>
      <c r="N21" s="11">
        <f>ROUND(M21/E21,4)</f>
        <v>4.0300000000000002E-2</v>
      </c>
      <c r="O21">
        <f t="shared" si="2"/>
        <v>42</v>
      </c>
      <c r="P21" s="13">
        <v>45816</v>
      </c>
      <c r="S21" s="13">
        <v>45858</v>
      </c>
      <c r="T21" t="str">
        <f t="shared" si="6"/>
        <v>Daniel, Ezra, Nehemiah</v>
      </c>
    </row>
    <row r="22" spans="1:20" x14ac:dyDescent="0.25">
      <c r="A22">
        <v>2725</v>
      </c>
      <c r="B22">
        <v>18</v>
      </c>
      <c r="C22" t="s">
        <v>71</v>
      </c>
      <c r="D22">
        <v>65</v>
      </c>
      <c r="E22">
        <v>1750</v>
      </c>
      <c r="F22" s="10">
        <f t="shared" si="3"/>
        <v>26.923076923076923</v>
      </c>
      <c r="G22">
        <v>65</v>
      </c>
      <c r="H22" s="8"/>
      <c r="I22" s="10">
        <v>195</v>
      </c>
      <c r="J22" s="17">
        <f t="shared" si="0"/>
        <v>7.155963302752294E-2</v>
      </c>
      <c r="K22" s="9">
        <f t="shared" si="4"/>
        <v>1.5571428571428572</v>
      </c>
      <c r="L22" s="8">
        <f t="shared" si="5"/>
        <v>7.5444042076220033E-2</v>
      </c>
      <c r="M22">
        <f t="shared" si="7"/>
        <v>26</v>
      </c>
      <c r="N22" s="11">
        <f>ROUND(M22/E22,4)</f>
        <v>1.49E-2</v>
      </c>
      <c r="O22">
        <f>ROUND(($N$6+$N$16)/2*E22,0)</f>
        <v>12</v>
      </c>
      <c r="P22" s="13">
        <f>S21</f>
        <v>45858</v>
      </c>
      <c r="R22" s="13">
        <v>45869</v>
      </c>
      <c r="S22" s="13">
        <v>45884</v>
      </c>
      <c r="T22" t="str">
        <f t="shared" si="6"/>
        <v>Chronicles</v>
      </c>
    </row>
    <row r="23" spans="1:20" x14ac:dyDescent="0.25">
      <c r="A23">
        <f>SUM(A5:A22)</f>
        <v>34442</v>
      </c>
      <c r="D23">
        <f>SUM(D4:D22)</f>
        <v>929</v>
      </c>
      <c r="E23">
        <f>SUM(E4:E22)</f>
        <v>23196</v>
      </c>
      <c r="F23" s="10">
        <f t="shared" si="3"/>
        <v>24.968783638320776</v>
      </c>
      <c r="G23">
        <f>SUM(G4:G22)</f>
        <v>929</v>
      </c>
      <c r="H23" s="8"/>
      <c r="I23" s="16">
        <f>SUM(I5:I22)</f>
        <v>2602.1000000000004</v>
      </c>
      <c r="J23" s="17">
        <f t="shared" si="0"/>
        <v>7.5550200336798101E-2</v>
      </c>
      <c r="K23" s="9">
        <f t="shared" si="4"/>
        <v>1.4848249698223832</v>
      </c>
      <c r="P23" s="13">
        <f>MIN(P5:P22)</f>
        <v>45657</v>
      </c>
      <c r="S23" s="13">
        <f>MAX(S5:S22)</f>
        <v>45884</v>
      </c>
    </row>
    <row r="24" spans="1:20" x14ac:dyDescent="0.25">
      <c r="M24">
        <f>S23-P23</f>
        <v>227</v>
      </c>
      <c r="O24" s="12">
        <f>S23-P23</f>
        <v>227</v>
      </c>
      <c r="S24" s="13">
        <f>R2+O24</f>
        <v>46005</v>
      </c>
    </row>
    <row r="25" spans="1:20" x14ac:dyDescent="0.25">
      <c r="C25" t="s">
        <v>86</v>
      </c>
      <c r="D25">
        <f>SUM(D4:D22)</f>
        <v>929</v>
      </c>
      <c r="E25">
        <f>SUM(E4:E22)</f>
        <v>23196</v>
      </c>
      <c r="F25" s="8">
        <f>E25/E23</f>
        <v>1</v>
      </c>
      <c r="L25" t="s">
        <v>138</v>
      </c>
      <c r="M25" s="9">
        <f>M24/G23</f>
        <v>0.24434876210979548</v>
      </c>
      <c r="O25" s="9">
        <f>M25*G24</f>
        <v>0</v>
      </c>
    </row>
    <row r="26" spans="1:20" x14ac:dyDescent="0.25">
      <c r="F26" s="8"/>
      <c r="I26" s="7" t="s">
        <v>745</v>
      </c>
      <c r="J26" t="s">
        <v>746</v>
      </c>
      <c r="K26" t="s">
        <v>747</v>
      </c>
      <c r="L26" t="s">
        <v>139</v>
      </c>
      <c r="M26" s="10">
        <f>G23/M24</f>
        <v>4.0925110132158586</v>
      </c>
    </row>
    <row r="27" spans="1:20" x14ac:dyDescent="0.25">
      <c r="A27" t="s">
        <v>142</v>
      </c>
      <c r="B27" t="s">
        <v>72</v>
      </c>
      <c r="D27" t="s">
        <v>77</v>
      </c>
      <c r="E27" t="s">
        <v>78</v>
      </c>
      <c r="F27" t="s">
        <v>744</v>
      </c>
      <c r="I27">
        <f>0.02</f>
        <v>0.02</v>
      </c>
      <c r="J27">
        <v>8.9590000000000003E-2</v>
      </c>
      <c r="K27">
        <v>0.4</v>
      </c>
    </row>
    <row r="28" spans="1:20" x14ac:dyDescent="0.25">
      <c r="A28" s="20" t="s">
        <v>87</v>
      </c>
      <c r="B28" s="20">
        <f t="shared" ref="B28:D45" si="9">B5</f>
        <v>1</v>
      </c>
      <c r="C28" s="20" t="str">
        <f t="shared" si="9"/>
        <v>Genesis</v>
      </c>
      <c r="D28">
        <f>D5</f>
        <v>50</v>
      </c>
      <c r="E28">
        <f>E5</f>
        <v>1533</v>
      </c>
      <c r="F28" s="20">
        <v>424</v>
      </c>
      <c r="G28" s="20"/>
      <c r="H28" s="20"/>
      <c r="I28" s="35">
        <f>$I$27*F28</f>
        <v>8.48</v>
      </c>
      <c r="J28" s="35">
        <f>$J$27*F28</f>
        <v>37.986159999999998</v>
      </c>
      <c r="K28" s="35">
        <f>J28*$K$27</f>
        <v>15.194464</v>
      </c>
    </row>
    <row r="29" spans="1:20" x14ac:dyDescent="0.25">
      <c r="A29" s="20" t="s">
        <v>87</v>
      </c>
      <c r="B29" s="20">
        <f t="shared" si="9"/>
        <v>2</v>
      </c>
      <c r="C29" s="20" t="str">
        <f t="shared" si="9"/>
        <v>Exodus</v>
      </c>
      <c r="D29">
        <f t="shared" si="9"/>
        <v>40</v>
      </c>
      <c r="E29">
        <f t="shared" ref="E29:E45" si="10">E6</f>
        <v>1213</v>
      </c>
      <c r="F29" s="20">
        <v>356</v>
      </c>
      <c r="G29" s="20"/>
      <c r="H29" s="20"/>
      <c r="I29" s="35">
        <f t="shared" ref="I29:I45" si="11">$I$27*F29</f>
        <v>7.12</v>
      </c>
      <c r="J29" s="35">
        <f t="shared" ref="J29:J45" si="12">$J$27*F29</f>
        <v>31.89404</v>
      </c>
      <c r="K29" s="35">
        <f t="shared" ref="K29:K46" si="13">J29*$K$27</f>
        <v>12.757616000000001</v>
      </c>
    </row>
    <row r="30" spans="1:20" x14ac:dyDescent="0.25">
      <c r="A30" s="20" t="s">
        <v>87</v>
      </c>
      <c r="B30" s="20">
        <f t="shared" si="9"/>
        <v>3</v>
      </c>
      <c r="C30" s="20" t="str">
        <f t="shared" si="9"/>
        <v>Leviticus</v>
      </c>
      <c r="D30">
        <f t="shared" si="9"/>
        <v>27</v>
      </c>
      <c r="E30">
        <f t="shared" si="10"/>
        <v>859</v>
      </c>
      <c r="F30" s="20">
        <v>242</v>
      </c>
      <c r="G30" s="20"/>
      <c r="H30" s="20"/>
      <c r="I30" s="35">
        <f t="shared" si="11"/>
        <v>4.84</v>
      </c>
      <c r="J30" s="35">
        <f t="shared" si="12"/>
        <v>21.680780000000002</v>
      </c>
      <c r="K30" s="35">
        <f t="shared" si="13"/>
        <v>8.6723120000000016</v>
      </c>
      <c r="L30" s="20"/>
      <c r="M30" s="20"/>
      <c r="N30" t="s">
        <v>734</v>
      </c>
      <c r="O30">
        <v>3735</v>
      </c>
      <c r="P30">
        <v>341</v>
      </c>
      <c r="Q30" s="1">
        <f t="shared" ref="Q30:Q35" si="14">P30/O30</f>
        <v>9.1298527443105751E-2</v>
      </c>
    </row>
    <row r="31" spans="1:20" x14ac:dyDescent="0.25">
      <c r="A31" s="20" t="s">
        <v>87</v>
      </c>
      <c r="B31" s="20">
        <f t="shared" si="9"/>
        <v>4</v>
      </c>
      <c r="C31" s="20" t="str">
        <f t="shared" si="9"/>
        <v>Numbers</v>
      </c>
      <c r="D31">
        <f t="shared" si="9"/>
        <v>36</v>
      </c>
      <c r="E31">
        <f t="shared" si="10"/>
        <v>1288</v>
      </c>
      <c r="F31" s="20">
        <v>345</v>
      </c>
      <c r="G31" s="20"/>
      <c r="H31" s="20"/>
      <c r="I31" s="35">
        <f t="shared" si="11"/>
        <v>6.9</v>
      </c>
      <c r="J31" s="35">
        <f t="shared" si="12"/>
        <v>30.908550000000002</v>
      </c>
      <c r="K31" s="35">
        <f t="shared" si="13"/>
        <v>12.363420000000001</v>
      </c>
      <c r="L31" s="20"/>
      <c r="M31" s="20"/>
      <c r="N31" t="s">
        <v>733</v>
      </c>
      <c r="O31">
        <v>4440</v>
      </c>
      <c r="P31">
        <v>1297</v>
      </c>
      <c r="Q31" s="1">
        <f t="shared" si="14"/>
        <v>0.29211711711711713</v>
      </c>
    </row>
    <row r="32" spans="1:20" x14ac:dyDescent="0.25">
      <c r="A32" s="20" t="s">
        <v>87</v>
      </c>
      <c r="B32" s="20">
        <f t="shared" si="9"/>
        <v>5</v>
      </c>
      <c r="C32" s="20" t="str">
        <f t="shared" si="9"/>
        <v>Deuteronomy</v>
      </c>
      <c r="D32">
        <f t="shared" si="9"/>
        <v>34</v>
      </c>
      <c r="E32">
        <f t="shared" si="10"/>
        <v>959</v>
      </c>
      <c r="F32" s="20">
        <v>293</v>
      </c>
      <c r="G32" s="20" t="s">
        <v>624</v>
      </c>
      <c r="H32" s="20">
        <f>L32</f>
        <v>1660</v>
      </c>
      <c r="I32" s="35">
        <f t="shared" si="11"/>
        <v>5.86</v>
      </c>
      <c r="J32" s="35">
        <f t="shared" si="12"/>
        <v>26.249870000000001</v>
      </c>
      <c r="K32" s="35">
        <f t="shared" si="13"/>
        <v>10.499948000000002</v>
      </c>
      <c r="L32" s="20">
        <f>SUM(F28:F32)</f>
        <v>1660</v>
      </c>
      <c r="M32" s="20"/>
      <c r="N32" t="s">
        <v>41</v>
      </c>
      <c r="O32">
        <v>12925</v>
      </c>
      <c r="P32">
        <v>1239</v>
      </c>
      <c r="Q32" s="1">
        <f t="shared" si="14"/>
        <v>9.5860735009671183E-2</v>
      </c>
    </row>
    <row r="33" spans="1:18" x14ac:dyDescent="0.25">
      <c r="A33" s="20" t="s">
        <v>87</v>
      </c>
      <c r="B33" s="20">
        <f t="shared" si="9"/>
        <v>6</v>
      </c>
      <c r="C33" s="20" t="str">
        <f t="shared" si="9"/>
        <v>Joshua, Judges</v>
      </c>
      <c r="D33">
        <f t="shared" si="9"/>
        <v>45</v>
      </c>
      <c r="E33">
        <f t="shared" si="10"/>
        <v>1276</v>
      </c>
      <c r="F33" s="20">
        <v>393</v>
      </c>
      <c r="G33" s="20"/>
      <c r="H33" s="20"/>
      <c r="I33" s="35">
        <f t="shared" si="11"/>
        <v>7.86</v>
      </c>
      <c r="J33" s="35">
        <f t="shared" si="12"/>
        <v>35.208870000000005</v>
      </c>
      <c r="K33" s="35">
        <f t="shared" si="13"/>
        <v>14.083548000000002</v>
      </c>
      <c r="L33" s="20"/>
      <c r="M33" s="20"/>
      <c r="N33" t="s">
        <v>732</v>
      </c>
      <c r="O33">
        <v>2097</v>
      </c>
      <c r="P33">
        <v>255</v>
      </c>
      <c r="Q33" s="1">
        <f t="shared" si="14"/>
        <v>0.12160228898426323</v>
      </c>
    </row>
    <row r="34" spans="1:18" x14ac:dyDescent="0.25">
      <c r="A34" s="20" t="s">
        <v>87</v>
      </c>
      <c r="B34" s="20">
        <f t="shared" si="9"/>
        <v>7</v>
      </c>
      <c r="C34" s="20" t="str">
        <f t="shared" si="9"/>
        <v>Samuel</v>
      </c>
      <c r="D34">
        <f t="shared" si="9"/>
        <v>55</v>
      </c>
      <c r="E34">
        <f t="shared" si="10"/>
        <v>1505</v>
      </c>
      <c r="F34" s="20">
        <v>467</v>
      </c>
      <c r="G34" s="20"/>
      <c r="H34" s="20"/>
      <c r="I34" s="35">
        <f t="shared" si="11"/>
        <v>9.34</v>
      </c>
      <c r="J34" s="35">
        <f t="shared" si="12"/>
        <v>41.838529999999999</v>
      </c>
      <c r="K34" s="35">
        <f t="shared" si="13"/>
        <v>16.735412</v>
      </c>
      <c r="L34" s="20"/>
      <c r="M34" s="20"/>
      <c r="O34">
        <f>SUM(O30:O33)</f>
        <v>23197</v>
      </c>
      <c r="P34">
        <f>SUM(P30:P33)</f>
        <v>3132</v>
      </c>
      <c r="Q34" s="1">
        <f t="shared" si="14"/>
        <v>0.13501745915420096</v>
      </c>
    </row>
    <row r="35" spans="1:18" x14ac:dyDescent="0.25">
      <c r="A35" s="20" t="s">
        <v>87</v>
      </c>
      <c r="B35" s="20">
        <f t="shared" si="9"/>
        <v>8</v>
      </c>
      <c r="C35" s="20" t="str">
        <f t="shared" si="9"/>
        <v>Kings</v>
      </c>
      <c r="D35">
        <f t="shared" si="9"/>
        <v>47</v>
      </c>
      <c r="E35">
        <f t="shared" si="10"/>
        <v>1536</v>
      </c>
      <c r="F35" s="20">
        <v>485</v>
      </c>
      <c r="G35" s="20"/>
      <c r="H35" s="20"/>
      <c r="I35" s="35">
        <f t="shared" si="11"/>
        <v>9.7000000000000011</v>
      </c>
      <c r="J35" s="35">
        <f t="shared" si="12"/>
        <v>43.451149999999998</v>
      </c>
      <c r="K35" s="35">
        <f t="shared" si="13"/>
        <v>17.380459999999999</v>
      </c>
      <c r="L35" s="20">
        <f>SUM(F33:F35)</f>
        <v>1345</v>
      </c>
      <c r="M35" s="20"/>
      <c r="N35" t="s">
        <v>735</v>
      </c>
      <c r="O35">
        <f>O34-O30</f>
        <v>19462</v>
      </c>
      <c r="P35">
        <f>P34-P30</f>
        <v>2791</v>
      </c>
      <c r="Q35" s="1">
        <f t="shared" si="14"/>
        <v>0.14340766622135442</v>
      </c>
    </row>
    <row r="36" spans="1:18" x14ac:dyDescent="0.25">
      <c r="A36" s="20" t="s">
        <v>87</v>
      </c>
      <c r="B36" s="20">
        <f t="shared" si="9"/>
        <v>9</v>
      </c>
      <c r="C36" s="20" t="str">
        <f t="shared" si="9"/>
        <v>Isaiah</v>
      </c>
      <c r="D36">
        <f t="shared" si="9"/>
        <v>66</v>
      </c>
      <c r="E36">
        <f t="shared" si="10"/>
        <v>1291</v>
      </c>
      <c r="F36" s="20">
        <v>377</v>
      </c>
      <c r="G36" s="20"/>
      <c r="H36" s="20"/>
      <c r="I36" s="35">
        <f t="shared" si="11"/>
        <v>7.54</v>
      </c>
      <c r="J36" s="35">
        <f t="shared" si="12"/>
        <v>33.77543</v>
      </c>
      <c r="K36" s="35">
        <f t="shared" si="13"/>
        <v>13.510172000000001</v>
      </c>
      <c r="L36" s="20"/>
      <c r="M36" s="20"/>
    </row>
    <row r="37" spans="1:18" x14ac:dyDescent="0.25">
      <c r="A37" s="20" t="s">
        <v>87</v>
      </c>
      <c r="B37" s="20">
        <f t="shared" si="9"/>
        <v>10</v>
      </c>
      <c r="C37" s="20" t="str">
        <f t="shared" si="9"/>
        <v>Jeremiah</v>
      </c>
      <c r="D37">
        <f t="shared" si="9"/>
        <v>52</v>
      </c>
      <c r="E37">
        <f t="shared" si="10"/>
        <v>1364</v>
      </c>
      <c r="F37" s="20">
        <v>426</v>
      </c>
      <c r="G37" s="20"/>
      <c r="H37" s="20"/>
      <c r="I37" s="35">
        <f t="shared" si="11"/>
        <v>8.52</v>
      </c>
      <c r="J37" s="35">
        <f t="shared" si="12"/>
        <v>38.16534</v>
      </c>
      <c r="K37" s="35">
        <f t="shared" si="13"/>
        <v>15.266136000000001</v>
      </c>
      <c r="L37" s="20"/>
      <c r="M37" s="20"/>
      <c r="N37" t="s">
        <v>733</v>
      </c>
      <c r="O37">
        <v>4440</v>
      </c>
      <c r="P37">
        <v>1309</v>
      </c>
    </row>
    <row r="38" spans="1:18" x14ac:dyDescent="0.25">
      <c r="A38" s="20" t="s">
        <v>87</v>
      </c>
      <c r="B38" s="20">
        <f t="shared" si="9"/>
        <v>11</v>
      </c>
      <c r="C38" s="20" t="str">
        <f t="shared" si="9"/>
        <v>Ezekiel</v>
      </c>
      <c r="D38">
        <f t="shared" si="9"/>
        <v>48</v>
      </c>
      <c r="E38">
        <f t="shared" si="10"/>
        <v>1273</v>
      </c>
      <c r="F38" s="20">
        <v>389</v>
      </c>
      <c r="G38" s="20"/>
      <c r="H38" s="20"/>
      <c r="I38" s="35">
        <f t="shared" si="11"/>
        <v>7.78</v>
      </c>
      <c r="J38" s="35">
        <f t="shared" si="12"/>
        <v>34.85051</v>
      </c>
      <c r="K38" s="35">
        <f t="shared" si="13"/>
        <v>13.940204000000001</v>
      </c>
      <c r="N38" t="s">
        <v>732</v>
      </c>
      <c r="O38">
        <v>72</v>
      </c>
      <c r="P38">
        <v>304</v>
      </c>
    </row>
    <row r="39" spans="1:18" x14ac:dyDescent="0.25">
      <c r="A39" s="20" t="s">
        <v>87</v>
      </c>
      <c r="B39" s="20">
        <f t="shared" si="9"/>
        <v>12</v>
      </c>
      <c r="C39" s="20" t="str">
        <f t="shared" si="9"/>
        <v>The Twelve</v>
      </c>
      <c r="D39">
        <f t="shared" si="9"/>
        <v>67</v>
      </c>
      <c r="E39">
        <f t="shared" si="10"/>
        <v>1050</v>
      </c>
      <c r="F39" s="20">
        <v>327</v>
      </c>
      <c r="G39" s="20" t="s">
        <v>742</v>
      </c>
      <c r="H39" s="20">
        <f>L35+L39</f>
        <v>2864</v>
      </c>
      <c r="I39" s="35">
        <f t="shared" si="11"/>
        <v>6.54</v>
      </c>
      <c r="J39" s="35">
        <f t="shared" si="12"/>
        <v>29.295930000000002</v>
      </c>
      <c r="K39" s="35">
        <f t="shared" si="13"/>
        <v>11.718372000000002</v>
      </c>
      <c r="L39" s="20">
        <f>SUM(F36:F39)</f>
        <v>1519</v>
      </c>
      <c r="M39" s="20"/>
    </row>
    <row r="40" spans="1:18" x14ac:dyDescent="0.25">
      <c r="A40" s="20" t="s">
        <v>87</v>
      </c>
      <c r="B40" s="20">
        <f t="shared" si="9"/>
        <v>13</v>
      </c>
      <c r="C40" s="20" t="str">
        <f t="shared" si="9"/>
        <v>Psalms</v>
      </c>
      <c r="D40">
        <f t="shared" si="9"/>
        <v>150</v>
      </c>
      <c r="E40">
        <f t="shared" si="10"/>
        <v>2527</v>
      </c>
      <c r="F40" s="20">
        <v>585</v>
      </c>
      <c r="G40" s="20"/>
      <c r="H40" s="20"/>
      <c r="I40" s="35">
        <f t="shared" si="11"/>
        <v>11.700000000000001</v>
      </c>
      <c r="J40" s="35">
        <f t="shared" si="12"/>
        <v>52.410150000000002</v>
      </c>
      <c r="K40" s="35">
        <f t="shared" si="13"/>
        <v>20.964060000000003</v>
      </c>
      <c r="L40" s="20"/>
      <c r="M40" s="20"/>
      <c r="N40" t="s">
        <v>115</v>
      </c>
      <c r="O40" t="s">
        <v>733</v>
      </c>
      <c r="P40">
        <v>915</v>
      </c>
      <c r="Q40">
        <v>316</v>
      </c>
      <c r="R40" s="1">
        <f>Q40/P40</f>
        <v>0.34535519125683062</v>
      </c>
    </row>
    <row r="41" spans="1:18" x14ac:dyDescent="0.25">
      <c r="A41" s="20" t="s">
        <v>87</v>
      </c>
      <c r="B41" s="20">
        <f t="shared" si="9"/>
        <v>14</v>
      </c>
      <c r="C41" s="20" t="str">
        <f t="shared" si="9"/>
        <v>Proverbs</v>
      </c>
      <c r="D41">
        <f t="shared" si="9"/>
        <v>31</v>
      </c>
      <c r="E41">
        <f t="shared" si="10"/>
        <v>915</v>
      </c>
      <c r="F41" s="20">
        <v>200</v>
      </c>
      <c r="G41" s="20"/>
      <c r="H41" s="20"/>
      <c r="I41" s="35">
        <f t="shared" si="11"/>
        <v>4</v>
      </c>
      <c r="J41" s="35">
        <f t="shared" si="12"/>
        <v>17.917999999999999</v>
      </c>
      <c r="K41" s="35">
        <f t="shared" si="13"/>
        <v>7.1672000000000002</v>
      </c>
      <c r="L41" s="20"/>
      <c r="M41" s="20"/>
      <c r="N41" t="s">
        <v>114</v>
      </c>
      <c r="O41" t="s">
        <v>733</v>
      </c>
      <c r="P41">
        <v>2527</v>
      </c>
      <c r="Q41">
        <v>689</v>
      </c>
      <c r="R41" s="1">
        <f>Q41/P41</f>
        <v>0.27265532251681834</v>
      </c>
    </row>
    <row r="42" spans="1:18" x14ac:dyDescent="0.25">
      <c r="A42" s="20" t="s">
        <v>87</v>
      </c>
      <c r="B42" s="34">
        <f t="shared" si="9"/>
        <v>15</v>
      </c>
      <c r="C42" s="34" t="str">
        <f t="shared" si="9"/>
        <v>Job</v>
      </c>
      <c r="D42" s="14">
        <f t="shared" si="9"/>
        <v>42</v>
      </c>
      <c r="E42" s="14">
        <f t="shared" si="10"/>
        <v>1070</v>
      </c>
      <c r="F42" s="34">
        <v>279</v>
      </c>
      <c r="G42" s="20"/>
      <c r="H42" s="20"/>
      <c r="I42" s="37">
        <f t="shared" si="11"/>
        <v>5.58</v>
      </c>
      <c r="J42" s="37">
        <f t="shared" si="12"/>
        <v>24.995609999999999</v>
      </c>
      <c r="K42" s="37">
        <f t="shared" si="13"/>
        <v>9.9982439999999997</v>
      </c>
      <c r="L42" s="20">
        <f>SUM(F40:F42)</f>
        <v>1064</v>
      </c>
      <c r="M42" s="20"/>
      <c r="N42" t="s">
        <v>116</v>
      </c>
      <c r="O42" t="s">
        <v>732</v>
      </c>
      <c r="P42">
        <v>72</v>
      </c>
      <c r="Q42">
        <v>12</v>
      </c>
      <c r="R42" s="1">
        <f>Q42/P42</f>
        <v>0.16666666666666666</v>
      </c>
    </row>
    <row r="43" spans="1:18" s="20" customFormat="1" x14ac:dyDescent="0.25">
      <c r="A43" s="20" t="s">
        <v>87</v>
      </c>
      <c r="B43" s="20">
        <f t="shared" si="9"/>
        <v>16</v>
      </c>
      <c r="C43" s="20" t="str">
        <f t="shared" si="9"/>
        <v>The Five Scrolls</v>
      </c>
      <c r="D43">
        <f t="shared" si="9"/>
        <v>39</v>
      </c>
      <c r="E43">
        <f t="shared" si="10"/>
        <v>745</v>
      </c>
      <c r="F43" s="20">
        <v>226</v>
      </c>
      <c r="I43" s="35">
        <f t="shared" si="11"/>
        <v>4.5200000000000005</v>
      </c>
      <c r="J43" s="35">
        <f t="shared" si="12"/>
        <v>20.247340000000001</v>
      </c>
      <c r="K43" s="35">
        <f t="shared" si="13"/>
        <v>8.0989360000000001</v>
      </c>
      <c r="N43" s="20" t="s">
        <v>116</v>
      </c>
      <c r="O43" s="20" t="s">
        <v>733</v>
      </c>
      <c r="P43" s="20">
        <v>998</v>
      </c>
      <c r="Q43" s="20">
        <v>292</v>
      </c>
      <c r="R43" s="1">
        <f>Q43/P43</f>
        <v>0.29258517034068138</v>
      </c>
    </row>
    <row r="44" spans="1:18" x14ac:dyDescent="0.25">
      <c r="A44" s="20" t="s">
        <v>87</v>
      </c>
      <c r="B44" s="20">
        <f t="shared" si="9"/>
        <v>17</v>
      </c>
      <c r="C44" s="20" t="str">
        <f t="shared" si="9"/>
        <v>Daniel, Ezra, Nehemiah</v>
      </c>
      <c r="D44">
        <f t="shared" si="9"/>
        <v>35</v>
      </c>
      <c r="E44">
        <f t="shared" si="10"/>
        <v>1042</v>
      </c>
      <c r="F44" s="20">
        <v>319</v>
      </c>
      <c r="G44" s="20"/>
      <c r="H44" s="20"/>
      <c r="I44" s="35">
        <f t="shared" si="11"/>
        <v>6.38</v>
      </c>
      <c r="J44" s="35">
        <f t="shared" si="12"/>
        <v>28.57921</v>
      </c>
      <c r="K44" s="35">
        <f t="shared" si="13"/>
        <v>11.431684000000001</v>
      </c>
      <c r="L44" s="20"/>
      <c r="M44" s="20"/>
    </row>
    <row r="45" spans="1:18" x14ac:dyDescent="0.25">
      <c r="A45" s="20" t="s">
        <v>87</v>
      </c>
      <c r="B45" s="20">
        <f t="shared" si="9"/>
        <v>18</v>
      </c>
      <c r="C45" s="20" t="str">
        <f t="shared" si="9"/>
        <v>Chronicles</v>
      </c>
      <c r="D45">
        <f t="shared" si="9"/>
        <v>65</v>
      </c>
      <c r="E45">
        <f t="shared" si="10"/>
        <v>1750</v>
      </c>
      <c r="F45" s="20">
        <v>502</v>
      </c>
      <c r="G45" s="20" t="s">
        <v>743</v>
      </c>
      <c r="H45" s="20">
        <f>L42+L45</f>
        <v>2111</v>
      </c>
      <c r="I45" s="35">
        <f t="shared" si="11"/>
        <v>10.040000000000001</v>
      </c>
      <c r="J45" s="35">
        <f t="shared" si="12"/>
        <v>44.974180000000004</v>
      </c>
      <c r="K45" s="35">
        <f t="shared" si="13"/>
        <v>17.989672000000002</v>
      </c>
      <c r="L45" s="20">
        <f>SUM(F43:F45)</f>
        <v>1047</v>
      </c>
      <c r="M45" s="20"/>
      <c r="N45" t="s">
        <v>122</v>
      </c>
      <c r="O45" t="s">
        <v>734</v>
      </c>
      <c r="P45">
        <v>357</v>
      </c>
      <c r="Q45">
        <v>28</v>
      </c>
      <c r="R45" s="1">
        <f>Q45/P45</f>
        <v>7.8431372549019607E-2</v>
      </c>
    </row>
    <row r="46" spans="1:18" x14ac:dyDescent="0.25">
      <c r="F46" s="33">
        <f>SUM(F28:F45)</f>
        <v>6635</v>
      </c>
      <c r="G46" s="33"/>
      <c r="H46" s="33">
        <f>H32+H39+H45</f>
        <v>6635</v>
      </c>
      <c r="I46" s="33"/>
      <c r="J46" s="36">
        <f>SUM(J28:J45)</f>
        <v>594.42965000000004</v>
      </c>
      <c r="K46" s="33">
        <f t="shared" si="13"/>
        <v>237.77186000000003</v>
      </c>
      <c r="L46" s="33">
        <f>SUM(G46:H46)</f>
        <v>6635</v>
      </c>
      <c r="M46" s="33"/>
      <c r="N46" t="s">
        <v>125</v>
      </c>
      <c r="O46" t="s">
        <v>734</v>
      </c>
      <c r="P46">
        <v>280</v>
      </c>
      <c r="Q46">
        <v>19</v>
      </c>
      <c r="R46" s="1">
        <f>Q46/P46</f>
        <v>6.7857142857142852E-2</v>
      </c>
    </row>
    <row r="47" spans="1:18" x14ac:dyDescent="0.25">
      <c r="F47" s="20"/>
      <c r="G47" s="20"/>
      <c r="H47" s="20"/>
      <c r="I47" s="20"/>
      <c r="J47" s="39"/>
      <c r="K47" s="20"/>
      <c r="L47" s="20"/>
      <c r="N47" t="s">
        <v>126</v>
      </c>
      <c r="O47" t="s">
        <v>734</v>
      </c>
      <c r="P47">
        <v>405</v>
      </c>
      <c r="Q47">
        <v>18</v>
      </c>
      <c r="R47" s="1">
        <f>Q47/P47</f>
        <v>4.4444444444444446E-2</v>
      </c>
    </row>
    <row r="48" spans="1:18" x14ac:dyDescent="0.25">
      <c r="F48" s="20"/>
      <c r="G48" s="20"/>
      <c r="H48" s="20"/>
      <c r="I48" s="20"/>
      <c r="J48" s="39"/>
      <c r="K48" s="20"/>
      <c r="L48" s="20"/>
    </row>
    <row r="50" spans="9:12" x14ac:dyDescent="0.25">
      <c r="I50" s="38"/>
      <c r="J50" s="38"/>
      <c r="K50" s="38"/>
      <c r="L50" s="13"/>
    </row>
    <row r="51" spans="9:12" x14ac:dyDescent="0.25">
      <c r="I51" s="38"/>
      <c r="J51" s="38"/>
      <c r="K51" s="38"/>
    </row>
    <row r="52" spans="9:12" x14ac:dyDescent="0.25">
      <c r="I52" s="38"/>
      <c r="J52" s="38"/>
      <c r="K52" s="38"/>
    </row>
    <row r="53" spans="9:12" x14ac:dyDescent="0.25">
      <c r="I53" s="38"/>
      <c r="J53" s="38"/>
      <c r="K53" s="38"/>
    </row>
    <row r="54" spans="9:12" x14ac:dyDescent="0.25">
      <c r="J54" s="13"/>
    </row>
    <row r="55" spans="9:12" x14ac:dyDescent="0.25">
      <c r="I55" s="38"/>
      <c r="J55" s="13"/>
      <c r="K55" s="38"/>
    </row>
    <row r="56" spans="9:12" x14ac:dyDescent="0.25">
      <c r="I56" s="38"/>
      <c r="J56" s="38"/>
      <c r="K56" s="38"/>
    </row>
    <row r="57" spans="9:12" x14ac:dyDescent="0.25">
      <c r="I57" s="38"/>
      <c r="J57" s="38"/>
      <c r="K57" s="38"/>
    </row>
    <row r="58" spans="9:12" x14ac:dyDescent="0.25">
      <c r="I58" s="38"/>
      <c r="J58" s="38"/>
      <c r="K58" s="38"/>
    </row>
    <row r="59" spans="9:12" x14ac:dyDescent="0.25">
      <c r="I59" s="38"/>
      <c r="J59" s="38"/>
      <c r="K59" s="38"/>
    </row>
    <row r="60" spans="9:12" x14ac:dyDescent="0.25">
      <c r="I60" s="38"/>
      <c r="J60" s="38"/>
      <c r="K60" s="38"/>
    </row>
    <row r="61" spans="9:12" x14ac:dyDescent="0.25">
      <c r="I61" s="38"/>
      <c r="J61" s="38"/>
      <c r="K61" s="38"/>
    </row>
    <row r="62" spans="9:12" x14ac:dyDescent="0.25">
      <c r="I62" s="38"/>
      <c r="J62" s="38"/>
      <c r="K62" s="38"/>
    </row>
    <row r="63" spans="9:12" x14ac:dyDescent="0.25">
      <c r="I63" s="38"/>
      <c r="J63" s="38"/>
      <c r="K63" s="38"/>
    </row>
    <row r="64" spans="9:12" x14ac:dyDescent="0.25">
      <c r="I64" s="38"/>
      <c r="J64" s="38"/>
      <c r="K64" s="38"/>
    </row>
    <row r="65" spans="9:11" x14ac:dyDescent="0.25">
      <c r="I65" s="38"/>
      <c r="J65" s="38"/>
      <c r="K65" s="38"/>
    </row>
    <row r="66" spans="9:11" x14ac:dyDescent="0.25">
      <c r="I66" s="38"/>
      <c r="J66" s="38"/>
      <c r="K66" s="38"/>
    </row>
    <row r="67" spans="9:11" x14ac:dyDescent="0.25">
      <c r="I67" s="38"/>
      <c r="J67" s="38"/>
      <c r="K67" s="38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opLeftCell="A4" workbookViewId="0">
      <selection activeCell="F41" sqref="F41"/>
    </sheetView>
  </sheetViews>
  <sheetFormatPr defaultRowHeight="15" x14ac:dyDescent="0.25"/>
  <cols>
    <col min="5" max="5" width="15.140625" bestFit="1" customWidth="1"/>
    <col min="6" max="6" width="9.140625" style="15"/>
    <col min="20" max="20" width="9.140625" customWidth="1"/>
  </cols>
  <sheetData>
    <row r="1" spans="1:21" x14ac:dyDescent="0.25">
      <c r="A1">
        <v>1</v>
      </c>
      <c r="B1">
        <v>235</v>
      </c>
      <c r="C1">
        <v>1533</v>
      </c>
      <c r="D1">
        <v>15.33</v>
      </c>
      <c r="E1" t="s">
        <v>90</v>
      </c>
      <c r="F1" s="15">
        <f>D1</f>
        <v>15.33</v>
      </c>
      <c r="G1" s="15"/>
      <c r="T1" t="s">
        <v>136</v>
      </c>
      <c r="U1" t="s">
        <v>36</v>
      </c>
    </row>
    <row r="2" spans="1:21" x14ac:dyDescent="0.25">
      <c r="A2">
        <v>2</v>
      </c>
      <c r="B2">
        <v>198</v>
      </c>
      <c r="C2">
        <v>1157</v>
      </c>
      <c r="D2">
        <v>17.11</v>
      </c>
      <c r="E2" t="s">
        <v>91</v>
      </c>
      <c r="F2" s="15">
        <f t="shared" ref="F2:F39" si="0">D2</f>
        <v>17.11</v>
      </c>
      <c r="G2" s="15"/>
      <c r="S2" t="s">
        <v>129</v>
      </c>
      <c r="T2">
        <v>4</v>
      </c>
      <c r="U2">
        <v>0</v>
      </c>
    </row>
    <row r="3" spans="1:21" x14ac:dyDescent="0.25">
      <c r="A3">
        <v>3</v>
      </c>
      <c r="B3">
        <v>103</v>
      </c>
      <c r="C3">
        <v>764</v>
      </c>
      <c r="D3">
        <v>13.48</v>
      </c>
      <c r="E3" t="s">
        <v>92</v>
      </c>
      <c r="F3" s="15">
        <f t="shared" si="0"/>
        <v>13.48</v>
      </c>
      <c r="G3" s="15"/>
      <c r="S3" t="s">
        <v>130</v>
      </c>
      <c r="T3">
        <v>591</v>
      </c>
      <c r="U3">
        <v>598</v>
      </c>
    </row>
    <row r="4" spans="1:21" x14ac:dyDescent="0.25">
      <c r="A4">
        <v>4</v>
      </c>
      <c r="B4">
        <v>137</v>
      </c>
      <c r="C4">
        <v>1197</v>
      </c>
      <c r="D4">
        <v>11.45</v>
      </c>
      <c r="E4" t="s">
        <v>93</v>
      </c>
      <c r="F4" s="15">
        <f t="shared" si="0"/>
        <v>11.45</v>
      </c>
      <c r="G4" s="15"/>
      <c r="S4" t="s">
        <v>131</v>
      </c>
      <c r="T4">
        <v>6</v>
      </c>
      <c r="U4">
        <v>4</v>
      </c>
    </row>
    <row r="5" spans="1:21" x14ac:dyDescent="0.25">
      <c r="A5">
        <v>5</v>
      </c>
      <c r="B5">
        <v>129</v>
      </c>
      <c r="C5">
        <v>907</v>
      </c>
      <c r="D5">
        <v>14.22</v>
      </c>
      <c r="E5" t="s">
        <v>94</v>
      </c>
      <c r="F5" s="15">
        <f t="shared" si="0"/>
        <v>14.22</v>
      </c>
      <c r="G5" s="15"/>
      <c r="S5" t="s">
        <v>132</v>
      </c>
      <c r="T5">
        <v>1</v>
      </c>
      <c r="U5">
        <v>1</v>
      </c>
    </row>
    <row r="6" spans="1:21" x14ac:dyDescent="0.25">
      <c r="A6">
        <v>6</v>
      </c>
      <c r="B6">
        <v>173</v>
      </c>
      <c r="C6">
        <v>658</v>
      </c>
      <c r="D6">
        <v>26.29</v>
      </c>
      <c r="E6" t="s">
        <v>95</v>
      </c>
      <c r="F6" s="15">
        <f t="shared" si="0"/>
        <v>26.29</v>
      </c>
      <c r="G6" s="15"/>
      <c r="S6" t="s">
        <v>133</v>
      </c>
      <c r="T6">
        <v>18</v>
      </c>
      <c r="U6">
        <v>4</v>
      </c>
    </row>
    <row r="7" spans="1:21" x14ac:dyDescent="0.25">
      <c r="A7">
        <v>7</v>
      </c>
      <c r="B7">
        <v>99</v>
      </c>
      <c r="C7">
        <v>618</v>
      </c>
      <c r="D7">
        <v>16.02</v>
      </c>
      <c r="E7" t="s">
        <v>96</v>
      </c>
      <c r="F7" s="15">
        <f t="shared" si="0"/>
        <v>16.02</v>
      </c>
      <c r="G7" s="15"/>
      <c r="S7" t="s">
        <v>134</v>
      </c>
      <c r="T7">
        <v>19</v>
      </c>
      <c r="U7">
        <v>4</v>
      </c>
    </row>
    <row r="8" spans="1:21" x14ac:dyDescent="0.25">
      <c r="A8">
        <v>8</v>
      </c>
      <c r="B8">
        <v>159</v>
      </c>
      <c r="C8">
        <v>787</v>
      </c>
      <c r="D8">
        <v>20.2</v>
      </c>
      <c r="E8" t="s">
        <v>124</v>
      </c>
      <c r="F8" s="15">
        <f t="shared" si="0"/>
        <v>20.2</v>
      </c>
      <c r="G8" s="15"/>
      <c r="S8" t="s">
        <v>135</v>
      </c>
      <c r="T8">
        <v>19</v>
      </c>
      <c r="U8">
        <v>7</v>
      </c>
    </row>
    <row r="9" spans="1:21" x14ac:dyDescent="0.25">
      <c r="A9">
        <v>9</v>
      </c>
      <c r="B9">
        <v>138</v>
      </c>
      <c r="C9">
        <v>682</v>
      </c>
      <c r="D9">
        <v>20.23</v>
      </c>
      <c r="E9" t="s">
        <v>123</v>
      </c>
      <c r="F9" s="15">
        <f t="shared" si="0"/>
        <v>20.23</v>
      </c>
      <c r="G9" s="15"/>
    </row>
    <row r="10" spans="1:21" x14ac:dyDescent="0.25">
      <c r="A10">
        <v>10</v>
      </c>
      <c r="B10">
        <v>197</v>
      </c>
      <c r="C10">
        <v>817</v>
      </c>
      <c r="D10">
        <v>24.11</v>
      </c>
      <c r="E10" t="s">
        <v>97</v>
      </c>
      <c r="F10" s="15">
        <f t="shared" si="0"/>
        <v>24.11</v>
      </c>
      <c r="G10" s="15"/>
    </row>
    <row r="11" spans="1:21" x14ac:dyDescent="0.25">
      <c r="A11">
        <v>11</v>
      </c>
      <c r="B11">
        <v>200</v>
      </c>
      <c r="C11">
        <v>719</v>
      </c>
      <c r="D11">
        <v>27.82</v>
      </c>
      <c r="E11" t="s">
        <v>98</v>
      </c>
      <c r="F11" s="15">
        <f t="shared" si="0"/>
        <v>27.82</v>
      </c>
      <c r="G11" s="15"/>
    </row>
    <row r="12" spans="1:21" x14ac:dyDescent="0.25">
      <c r="A12">
        <v>12</v>
      </c>
      <c r="B12">
        <v>251</v>
      </c>
      <c r="C12">
        <v>1218</v>
      </c>
      <c r="D12">
        <v>20.61</v>
      </c>
      <c r="E12" t="s">
        <v>99</v>
      </c>
      <c r="F12" s="15">
        <f t="shared" si="0"/>
        <v>20.61</v>
      </c>
      <c r="G12" s="15"/>
    </row>
    <row r="13" spans="1:21" x14ac:dyDescent="0.25">
      <c r="A13">
        <v>13</v>
      </c>
      <c r="B13">
        <v>360</v>
      </c>
      <c r="C13">
        <v>1343</v>
      </c>
      <c r="D13">
        <v>26.81</v>
      </c>
      <c r="E13" t="s">
        <v>100</v>
      </c>
      <c r="F13" s="15">
        <f t="shared" si="0"/>
        <v>26.81</v>
      </c>
      <c r="G13" s="15"/>
    </row>
    <row r="14" spans="1:21" x14ac:dyDescent="0.25">
      <c r="A14">
        <v>14</v>
      </c>
      <c r="B14">
        <v>291</v>
      </c>
      <c r="C14">
        <v>1263</v>
      </c>
      <c r="D14">
        <v>23.04</v>
      </c>
      <c r="E14" t="s">
        <v>101</v>
      </c>
      <c r="F14" s="15">
        <f t="shared" si="0"/>
        <v>23.04</v>
      </c>
      <c r="G14" s="15"/>
    </row>
    <row r="15" spans="1:21" x14ac:dyDescent="0.25">
      <c r="A15">
        <v>15</v>
      </c>
      <c r="B15">
        <v>61</v>
      </c>
      <c r="C15">
        <v>192</v>
      </c>
      <c r="D15">
        <v>31.77</v>
      </c>
      <c r="E15" t="s">
        <v>102</v>
      </c>
      <c r="F15" s="15">
        <f t="shared" si="0"/>
        <v>31.77</v>
      </c>
      <c r="G15" s="15"/>
    </row>
    <row r="16" spans="1:21" x14ac:dyDescent="0.25">
      <c r="A16">
        <v>16</v>
      </c>
      <c r="B16">
        <v>20</v>
      </c>
      <c r="C16">
        <v>73</v>
      </c>
      <c r="D16">
        <v>27.4</v>
      </c>
      <c r="E16" t="s">
        <v>103</v>
      </c>
      <c r="F16" s="15">
        <f t="shared" si="0"/>
        <v>27.4</v>
      </c>
      <c r="G16" s="15"/>
    </row>
    <row r="17" spans="1:7" x14ac:dyDescent="0.25">
      <c r="A17">
        <v>17</v>
      </c>
      <c r="B17">
        <v>24</v>
      </c>
      <c r="C17">
        <v>146</v>
      </c>
      <c r="D17">
        <v>16.440000000000001</v>
      </c>
      <c r="E17" t="s">
        <v>104</v>
      </c>
      <c r="F17" s="15">
        <f t="shared" si="0"/>
        <v>16.440000000000001</v>
      </c>
      <c r="G17" s="15"/>
    </row>
    <row r="18" spans="1:7" x14ac:dyDescent="0.25">
      <c r="A18">
        <v>18</v>
      </c>
      <c r="B18">
        <v>5</v>
      </c>
      <c r="C18">
        <v>21</v>
      </c>
      <c r="D18">
        <v>23.81</v>
      </c>
      <c r="E18" t="s">
        <v>105</v>
      </c>
      <c r="F18" s="15">
        <f t="shared" si="0"/>
        <v>23.81</v>
      </c>
      <c r="G18" s="15"/>
    </row>
    <row r="19" spans="1:7" x14ac:dyDescent="0.25">
      <c r="A19">
        <v>19</v>
      </c>
      <c r="B19">
        <v>8</v>
      </c>
      <c r="C19">
        <v>37</v>
      </c>
      <c r="D19">
        <v>21.62</v>
      </c>
      <c r="E19" t="s">
        <v>106</v>
      </c>
      <c r="F19" s="15">
        <f t="shared" si="0"/>
        <v>21.62</v>
      </c>
      <c r="G19" s="15"/>
    </row>
    <row r="20" spans="1:7" x14ac:dyDescent="0.25">
      <c r="A20">
        <v>20</v>
      </c>
      <c r="B20">
        <v>18</v>
      </c>
      <c r="C20">
        <v>105</v>
      </c>
      <c r="D20">
        <v>17.14</v>
      </c>
      <c r="E20" t="s">
        <v>107</v>
      </c>
      <c r="F20" s="15">
        <f t="shared" si="0"/>
        <v>17.14</v>
      </c>
      <c r="G20" s="15"/>
    </row>
    <row r="21" spans="1:7" x14ac:dyDescent="0.25">
      <c r="A21">
        <v>21</v>
      </c>
      <c r="B21">
        <v>14</v>
      </c>
      <c r="C21">
        <v>47</v>
      </c>
      <c r="D21">
        <v>29.79</v>
      </c>
      <c r="E21" t="s">
        <v>108</v>
      </c>
      <c r="F21" s="15">
        <f t="shared" si="0"/>
        <v>29.79</v>
      </c>
      <c r="G21" s="15"/>
    </row>
    <row r="22" spans="1:7" x14ac:dyDescent="0.25">
      <c r="A22">
        <v>22</v>
      </c>
      <c r="B22">
        <v>7</v>
      </c>
      <c r="C22">
        <v>56</v>
      </c>
      <c r="D22">
        <v>12.5</v>
      </c>
      <c r="E22" t="s">
        <v>109</v>
      </c>
      <c r="F22" s="15">
        <f t="shared" si="0"/>
        <v>12.5</v>
      </c>
      <c r="G22" s="15"/>
    </row>
    <row r="23" spans="1:7" x14ac:dyDescent="0.25">
      <c r="A23">
        <v>23</v>
      </c>
      <c r="B23">
        <v>13</v>
      </c>
      <c r="C23">
        <v>53</v>
      </c>
      <c r="D23">
        <v>24.53</v>
      </c>
      <c r="E23" t="s">
        <v>110</v>
      </c>
      <c r="F23" s="15">
        <f t="shared" si="0"/>
        <v>24.53</v>
      </c>
      <c r="G23" s="15"/>
    </row>
    <row r="24" spans="1:7" x14ac:dyDescent="0.25">
      <c r="A24">
        <v>24</v>
      </c>
      <c r="B24">
        <v>4</v>
      </c>
      <c r="C24">
        <v>38</v>
      </c>
      <c r="D24">
        <v>10.53</v>
      </c>
      <c r="E24" t="s">
        <v>111</v>
      </c>
      <c r="F24" s="15">
        <f t="shared" si="0"/>
        <v>10.53</v>
      </c>
      <c r="G24" s="15"/>
    </row>
    <row r="25" spans="1:7" x14ac:dyDescent="0.25">
      <c r="A25">
        <v>25</v>
      </c>
      <c r="B25">
        <v>48</v>
      </c>
      <c r="C25">
        <v>197</v>
      </c>
      <c r="D25">
        <v>24.37</v>
      </c>
      <c r="E25" t="s">
        <v>112</v>
      </c>
      <c r="F25" s="15">
        <f t="shared" si="0"/>
        <v>24.37</v>
      </c>
      <c r="G25" s="15"/>
    </row>
    <row r="26" spans="1:7" x14ac:dyDescent="0.25">
      <c r="A26">
        <v>26</v>
      </c>
      <c r="B26">
        <v>16</v>
      </c>
      <c r="C26">
        <v>55</v>
      </c>
      <c r="D26">
        <v>29.09</v>
      </c>
      <c r="E26" t="s">
        <v>113</v>
      </c>
      <c r="F26" s="15">
        <f t="shared" si="0"/>
        <v>29.09</v>
      </c>
      <c r="G26" s="15"/>
    </row>
    <row r="27" spans="1:7" x14ac:dyDescent="0.25">
      <c r="A27">
        <v>27</v>
      </c>
      <c r="B27">
        <v>260</v>
      </c>
      <c r="C27">
        <v>1992</v>
      </c>
      <c r="D27">
        <v>13.05</v>
      </c>
      <c r="E27" t="s">
        <v>114</v>
      </c>
      <c r="F27" s="15">
        <f t="shared" si="0"/>
        <v>13.05</v>
      </c>
      <c r="G27" s="15"/>
    </row>
    <row r="28" spans="1:7" x14ac:dyDescent="0.25">
      <c r="A28">
        <v>28</v>
      </c>
      <c r="B28">
        <v>59</v>
      </c>
      <c r="C28">
        <v>749</v>
      </c>
      <c r="D28">
        <v>7.88</v>
      </c>
      <c r="E28" t="s">
        <v>115</v>
      </c>
      <c r="F28" s="15">
        <f t="shared" si="0"/>
        <v>7.88</v>
      </c>
      <c r="G28" s="15"/>
    </row>
    <row r="29" spans="1:7" x14ac:dyDescent="0.25">
      <c r="A29">
        <v>29</v>
      </c>
      <c r="B29">
        <v>95</v>
      </c>
      <c r="C29">
        <v>875</v>
      </c>
      <c r="D29">
        <v>10.86</v>
      </c>
      <c r="E29" t="s">
        <v>116</v>
      </c>
      <c r="F29" s="15">
        <f t="shared" si="0"/>
        <v>10.86</v>
      </c>
      <c r="G29" s="15"/>
    </row>
    <row r="30" spans="1:7" x14ac:dyDescent="0.25">
      <c r="A30">
        <v>30</v>
      </c>
      <c r="B30">
        <v>3</v>
      </c>
      <c r="C30">
        <v>39</v>
      </c>
      <c r="D30">
        <v>7.69</v>
      </c>
      <c r="E30" t="s">
        <v>117</v>
      </c>
      <c r="F30" s="15">
        <f t="shared" si="0"/>
        <v>7.69</v>
      </c>
      <c r="G30" s="15"/>
    </row>
    <row r="31" spans="1:7" x14ac:dyDescent="0.25">
      <c r="A31">
        <v>31</v>
      </c>
      <c r="B31">
        <v>7</v>
      </c>
      <c r="C31">
        <v>45</v>
      </c>
      <c r="D31">
        <v>15.56</v>
      </c>
      <c r="E31" t="s">
        <v>118</v>
      </c>
      <c r="F31" s="15">
        <f t="shared" si="0"/>
        <v>15.56</v>
      </c>
      <c r="G31" s="15"/>
    </row>
    <row r="32" spans="1:7" x14ac:dyDescent="0.25">
      <c r="A32">
        <v>32</v>
      </c>
      <c r="B32">
        <v>5</v>
      </c>
      <c r="C32">
        <v>132</v>
      </c>
      <c r="D32">
        <v>3.79</v>
      </c>
      <c r="E32" t="s">
        <v>119</v>
      </c>
      <c r="F32" s="15">
        <f t="shared" si="0"/>
        <v>3.79</v>
      </c>
      <c r="G32" s="15"/>
    </row>
    <row r="33" spans="1:7" x14ac:dyDescent="0.25">
      <c r="A33">
        <v>33</v>
      </c>
      <c r="B33">
        <v>12</v>
      </c>
      <c r="C33">
        <v>169</v>
      </c>
      <c r="D33">
        <v>7.1</v>
      </c>
      <c r="E33" t="s">
        <v>120</v>
      </c>
      <c r="F33" s="15">
        <f t="shared" si="0"/>
        <v>7.1</v>
      </c>
      <c r="G33" s="15"/>
    </row>
    <row r="34" spans="1:7" x14ac:dyDescent="0.25">
      <c r="A34">
        <v>34</v>
      </c>
      <c r="B34">
        <v>8</v>
      </c>
      <c r="C34">
        <v>73</v>
      </c>
      <c r="D34">
        <v>10.96</v>
      </c>
      <c r="E34" t="s">
        <v>121</v>
      </c>
      <c r="F34" s="15">
        <f t="shared" si="0"/>
        <v>10.96</v>
      </c>
      <c r="G34" s="15"/>
    </row>
    <row r="35" spans="1:7" x14ac:dyDescent="0.25">
      <c r="A35">
        <v>35</v>
      </c>
      <c r="B35">
        <v>42</v>
      </c>
      <c r="C35">
        <v>357</v>
      </c>
      <c r="D35">
        <v>11.76</v>
      </c>
      <c r="E35" t="s">
        <v>122</v>
      </c>
      <c r="F35" s="15">
        <f>D35</f>
        <v>11.76</v>
      </c>
      <c r="G35" s="15"/>
    </row>
    <row r="36" spans="1:7" x14ac:dyDescent="0.25">
      <c r="A36">
        <v>36</v>
      </c>
      <c r="B36">
        <v>42</v>
      </c>
      <c r="C36">
        <v>280</v>
      </c>
      <c r="D36">
        <v>15</v>
      </c>
      <c r="E36" t="s">
        <v>125</v>
      </c>
      <c r="F36" s="15">
        <f t="shared" si="0"/>
        <v>15</v>
      </c>
      <c r="G36" s="15"/>
    </row>
    <row r="37" spans="1:7" x14ac:dyDescent="0.25">
      <c r="A37">
        <v>37</v>
      </c>
      <c r="B37">
        <v>79</v>
      </c>
      <c r="C37">
        <v>405</v>
      </c>
      <c r="D37">
        <v>19.510000000000002</v>
      </c>
      <c r="E37" t="s">
        <v>126</v>
      </c>
      <c r="F37" s="15">
        <f t="shared" si="0"/>
        <v>19.510000000000002</v>
      </c>
      <c r="G37" s="15"/>
    </row>
    <row r="38" spans="1:7" x14ac:dyDescent="0.25">
      <c r="A38">
        <v>38</v>
      </c>
      <c r="B38">
        <v>125</v>
      </c>
      <c r="C38">
        <v>914</v>
      </c>
      <c r="D38">
        <v>13.68</v>
      </c>
      <c r="E38" t="s">
        <v>127</v>
      </c>
      <c r="F38" s="15">
        <f t="shared" si="0"/>
        <v>13.68</v>
      </c>
      <c r="G38" s="15"/>
    </row>
    <row r="39" spans="1:7" x14ac:dyDescent="0.25">
      <c r="A39">
        <v>39</v>
      </c>
      <c r="B39">
        <v>232</v>
      </c>
      <c r="C39">
        <v>822</v>
      </c>
      <c r="D39">
        <v>28.22</v>
      </c>
      <c r="E39" t="s">
        <v>128</v>
      </c>
      <c r="F39" s="15">
        <f t="shared" si="0"/>
        <v>28.22</v>
      </c>
      <c r="G39" s="15"/>
    </row>
    <row r="40" spans="1:7" x14ac:dyDescent="0.25">
      <c r="B40">
        <f>SUM(B1:B39)</f>
        <v>3877</v>
      </c>
      <c r="C40">
        <f>SUM(C1:C39)</f>
        <v>21535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1"/>
  <sheetViews>
    <sheetView workbookViewId="0">
      <selection activeCell="L42" sqref="L42"/>
    </sheetView>
  </sheetViews>
  <sheetFormatPr defaultRowHeight="15" x14ac:dyDescent="0.25"/>
  <cols>
    <col min="1" max="1" width="10.28515625" bestFit="1" customWidth="1"/>
    <col min="4" max="4" width="54.28515625" bestFit="1" customWidth="1"/>
  </cols>
  <sheetData>
    <row r="1" spans="1:16" x14ac:dyDescent="0.25">
      <c r="A1" t="s">
        <v>540</v>
      </c>
      <c r="B1" t="s">
        <v>541</v>
      </c>
      <c r="C1" t="s">
        <v>542</v>
      </c>
      <c r="D1" t="s">
        <v>84</v>
      </c>
      <c r="E1" s="19" t="s">
        <v>131</v>
      </c>
      <c r="F1" t="s">
        <v>538</v>
      </c>
      <c r="G1" s="19" t="s">
        <v>134</v>
      </c>
      <c r="H1" t="s">
        <v>538</v>
      </c>
      <c r="I1" s="18" t="s">
        <v>129</v>
      </c>
      <c r="J1" t="s">
        <v>539</v>
      </c>
      <c r="K1" s="18" t="s">
        <v>130</v>
      </c>
      <c r="L1" t="s">
        <v>539</v>
      </c>
      <c r="M1" s="18" t="s">
        <v>131</v>
      </c>
      <c r="N1" t="s">
        <v>539</v>
      </c>
      <c r="O1" s="18" t="s">
        <v>134</v>
      </c>
      <c r="P1" t="s">
        <v>539</v>
      </c>
    </row>
    <row r="2" spans="1:16" x14ac:dyDescent="0.25">
      <c r="A2" t="s">
        <v>114</v>
      </c>
      <c r="B2">
        <v>68</v>
      </c>
      <c r="C2">
        <v>21</v>
      </c>
      <c r="D2" t="s">
        <v>143</v>
      </c>
      <c r="E2">
        <v>0</v>
      </c>
      <c r="F2">
        <f>IF(E2=0,0,1)</f>
        <v>0</v>
      </c>
      <c r="G2">
        <v>0</v>
      </c>
      <c r="H2">
        <f>IF(G2=0,0,1)</f>
        <v>0</v>
      </c>
      <c r="I2">
        <v>0</v>
      </c>
      <c r="J2">
        <f t="shared" ref="J2:J65" si="0">IF(I2=0,0,1)</f>
        <v>0</v>
      </c>
      <c r="K2">
        <v>0</v>
      </c>
      <c r="L2">
        <f t="shared" ref="L2:L65" si="1">IF(K2=0,0,1)</f>
        <v>0</v>
      </c>
      <c r="M2">
        <v>0</v>
      </c>
      <c r="N2">
        <f t="shared" ref="N2:N65" si="2">IF(M2=0,0,1)</f>
        <v>0</v>
      </c>
      <c r="O2">
        <v>5</v>
      </c>
      <c r="P2">
        <f t="shared" ref="P2:P65" si="3">IF(O2=0,0,1)</f>
        <v>1</v>
      </c>
    </row>
    <row r="3" spans="1:16" x14ac:dyDescent="0.25">
      <c r="A3" t="s">
        <v>114</v>
      </c>
      <c r="B3">
        <v>24</v>
      </c>
      <c r="C3">
        <v>10</v>
      </c>
      <c r="D3" t="s">
        <v>144</v>
      </c>
      <c r="E3">
        <v>0</v>
      </c>
      <c r="F3">
        <f t="shared" ref="F3:H66" si="4">IF(E3=0,0,1)</f>
        <v>0</v>
      </c>
      <c r="G3">
        <v>0</v>
      </c>
      <c r="H3">
        <f t="shared" si="4"/>
        <v>0</v>
      </c>
      <c r="I3">
        <v>0</v>
      </c>
      <c r="J3">
        <f t="shared" si="0"/>
        <v>0</v>
      </c>
      <c r="K3">
        <v>0</v>
      </c>
      <c r="L3">
        <f t="shared" si="1"/>
        <v>0</v>
      </c>
      <c r="M3">
        <v>0</v>
      </c>
      <c r="N3">
        <f t="shared" si="2"/>
        <v>0</v>
      </c>
      <c r="O3">
        <v>5</v>
      </c>
      <c r="P3">
        <f t="shared" si="3"/>
        <v>1</v>
      </c>
    </row>
    <row r="4" spans="1:16" x14ac:dyDescent="0.25">
      <c r="A4" t="s">
        <v>114</v>
      </c>
      <c r="B4">
        <v>79</v>
      </c>
      <c r="C4">
        <v>10</v>
      </c>
      <c r="D4" t="s">
        <v>145</v>
      </c>
      <c r="E4">
        <v>0</v>
      </c>
      <c r="F4">
        <f t="shared" si="4"/>
        <v>0</v>
      </c>
      <c r="G4">
        <v>0</v>
      </c>
      <c r="H4">
        <f t="shared" si="4"/>
        <v>0</v>
      </c>
      <c r="I4">
        <v>5</v>
      </c>
      <c r="J4">
        <f t="shared" si="0"/>
        <v>1</v>
      </c>
      <c r="K4">
        <v>0</v>
      </c>
      <c r="L4">
        <f t="shared" si="1"/>
        <v>0</v>
      </c>
      <c r="M4">
        <v>0</v>
      </c>
      <c r="N4">
        <f t="shared" si="2"/>
        <v>0</v>
      </c>
      <c r="O4">
        <v>0</v>
      </c>
      <c r="P4">
        <f t="shared" si="3"/>
        <v>0</v>
      </c>
    </row>
    <row r="5" spans="1:16" x14ac:dyDescent="0.25">
      <c r="A5" t="s">
        <v>114</v>
      </c>
      <c r="B5">
        <v>57</v>
      </c>
      <c r="C5">
        <v>7</v>
      </c>
      <c r="D5" t="s">
        <v>146</v>
      </c>
      <c r="E5">
        <v>0</v>
      </c>
      <c r="F5">
        <f t="shared" si="4"/>
        <v>0</v>
      </c>
      <c r="G5">
        <v>0</v>
      </c>
      <c r="H5">
        <f t="shared" si="4"/>
        <v>0</v>
      </c>
      <c r="I5">
        <v>5</v>
      </c>
      <c r="J5">
        <f t="shared" si="0"/>
        <v>1</v>
      </c>
      <c r="K5">
        <v>0</v>
      </c>
      <c r="L5">
        <f t="shared" si="1"/>
        <v>0</v>
      </c>
      <c r="M5">
        <v>0</v>
      </c>
      <c r="N5">
        <f t="shared" si="2"/>
        <v>0</v>
      </c>
      <c r="O5">
        <v>0</v>
      </c>
      <c r="P5">
        <f t="shared" si="3"/>
        <v>0</v>
      </c>
    </row>
    <row r="6" spans="1:16" x14ac:dyDescent="0.25">
      <c r="A6" t="s">
        <v>114</v>
      </c>
      <c r="B6">
        <v>79</v>
      </c>
      <c r="C6">
        <v>11</v>
      </c>
      <c r="D6" t="s">
        <v>147</v>
      </c>
      <c r="E6">
        <v>0</v>
      </c>
      <c r="F6">
        <f t="shared" si="4"/>
        <v>0</v>
      </c>
      <c r="G6">
        <v>0</v>
      </c>
      <c r="H6">
        <f t="shared" si="4"/>
        <v>0</v>
      </c>
      <c r="I6">
        <v>5</v>
      </c>
      <c r="J6">
        <f t="shared" si="0"/>
        <v>1</v>
      </c>
      <c r="K6">
        <v>0</v>
      </c>
      <c r="L6">
        <f t="shared" si="1"/>
        <v>0</v>
      </c>
      <c r="M6">
        <v>0</v>
      </c>
      <c r="N6">
        <f t="shared" si="2"/>
        <v>0</v>
      </c>
      <c r="O6">
        <v>0</v>
      </c>
      <c r="P6">
        <f t="shared" si="3"/>
        <v>0</v>
      </c>
    </row>
    <row r="7" spans="1:16" x14ac:dyDescent="0.25">
      <c r="A7" t="s">
        <v>115</v>
      </c>
      <c r="B7">
        <v>30</v>
      </c>
      <c r="C7">
        <v>14</v>
      </c>
      <c r="D7" t="s">
        <v>148</v>
      </c>
      <c r="E7">
        <v>0</v>
      </c>
      <c r="F7">
        <f t="shared" si="4"/>
        <v>0</v>
      </c>
      <c r="G7">
        <v>0</v>
      </c>
      <c r="H7">
        <f t="shared" si="4"/>
        <v>0</v>
      </c>
      <c r="I7">
        <v>0</v>
      </c>
      <c r="J7">
        <f t="shared" si="0"/>
        <v>0</v>
      </c>
      <c r="K7">
        <v>5</v>
      </c>
      <c r="L7">
        <f t="shared" si="1"/>
        <v>1</v>
      </c>
      <c r="M7">
        <v>0</v>
      </c>
      <c r="N7">
        <f t="shared" si="2"/>
        <v>0</v>
      </c>
      <c r="O7">
        <v>0</v>
      </c>
      <c r="P7">
        <f t="shared" si="3"/>
        <v>0</v>
      </c>
    </row>
    <row r="8" spans="1:16" x14ac:dyDescent="0.25">
      <c r="A8" t="s">
        <v>114</v>
      </c>
      <c r="B8">
        <v>32</v>
      </c>
      <c r="C8">
        <v>4</v>
      </c>
      <c r="D8" t="s">
        <v>149</v>
      </c>
      <c r="E8">
        <v>0</v>
      </c>
      <c r="F8">
        <f t="shared" si="4"/>
        <v>0</v>
      </c>
      <c r="G8">
        <v>0</v>
      </c>
      <c r="H8">
        <f t="shared" si="4"/>
        <v>0</v>
      </c>
      <c r="I8">
        <v>0</v>
      </c>
      <c r="J8">
        <f t="shared" si="0"/>
        <v>0</v>
      </c>
      <c r="K8">
        <v>0</v>
      </c>
      <c r="L8">
        <f t="shared" si="1"/>
        <v>0</v>
      </c>
      <c r="M8">
        <v>5</v>
      </c>
      <c r="N8">
        <f t="shared" si="2"/>
        <v>1</v>
      </c>
      <c r="O8">
        <v>0</v>
      </c>
      <c r="P8">
        <f t="shared" si="3"/>
        <v>0</v>
      </c>
    </row>
    <row r="9" spans="1:16" x14ac:dyDescent="0.25">
      <c r="A9" t="s">
        <v>114</v>
      </c>
      <c r="B9">
        <v>75</v>
      </c>
      <c r="C9">
        <v>9</v>
      </c>
      <c r="D9" t="s">
        <v>150</v>
      </c>
      <c r="E9">
        <v>0</v>
      </c>
      <c r="F9">
        <f t="shared" si="4"/>
        <v>0</v>
      </c>
      <c r="G9">
        <v>0</v>
      </c>
      <c r="H9">
        <f t="shared" si="4"/>
        <v>0</v>
      </c>
      <c r="I9">
        <v>20</v>
      </c>
      <c r="J9">
        <f t="shared" si="0"/>
        <v>1</v>
      </c>
      <c r="K9">
        <v>0</v>
      </c>
      <c r="L9">
        <f t="shared" si="1"/>
        <v>0</v>
      </c>
      <c r="M9">
        <v>0</v>
      </c>
      <c r="N9">
        <f t="shared" si="2"/>
        <v>0</v>
      </c>
      <c r="O9">
        <v>0</v>
      </c>
      <c r="P9">
        <f t="shared" si="3"/>
        <v>0</v>
      </c>
    </row>
    <row r="10" spans="1:16" x14ac:dyDescent="0.25">
      <c r="A10" t="s">
        <v>114</v>
      </c>
      <c r="B10">
        <v>125</v>
      </c>
      <c r="C10">
        <v>3</v>
      </c>
      <c r="D10" t="s">
        <v>151</v>
      </c>
      <c r="E10">
        <v>0</v>
      </c>
      <c r="F10">
        <f t="shared" si="4"/>
        <v>0</v>
      </c>
      <c r="G10">
        <v>0</v>
      </c>
      <c r="H10">
        <f t="shared" si="4"/>
        <v>0</v>
      </c>
      <c r="I10">
        <v>15</v>
      </c>
      <c r="J10">
        <f t="shared" si="0"/>
        <v>1</v>
      </c>
      <c r="K10">
        <v>0</v>
      </c>
      <c r="L10">
        <f t="shared" si="1"/>
        <v>0</v>
      </c>
      <c r="M10">
        <v>0</v>
      </c>
      <c r="N10">
        <f t="shared" si="2"/>
        <v>0</v>
      </c>
      <c r="O10">
        <v>0</v>
      </c>
      <c r="P10">
        <f t="shared" si="3"/>
        <v>0</v>
      </c>
    </row>
    <row r="11" spans="1:16" x14ac:dyDescent="0.25">
      <c r="A11" t="s">
        <v>114</v>
      </c>
      <c r="B11">
        <v>44</v>
      </c>
      <c r="C11">
        <v>4</v>
      </c>
      <c r="D11" t="s">
        <v>152</v>
      </c>
      <c r="E11">
        <v>0</v>
      </c>
      <c r="F11">
        <f t="shared" si="4"/>
        <v>0</v>
      </c>
      <c r="G11">
        <v>0</v>
      </c>
      <c r="H11">
        <f t="shared" si="4"/>
        <v>0</v>
      </c>
      <c r="I11">
        <v>16</v>
      </c>
      <c r="J11">
        <f t="shared" si="0"/>
        <v>1</v>
      </c>
      <c r="K11">
        <v>0</v>
      </c>
      <c r="L11">
        <f t="shared" si="1"/>
        <v>0</v>
      </c>
      <c r="M11">
        <v>0</v>
      </c>
      <c r="N11">
        <f t="shared" si="2"/>
        <v>0</v>
      </c>
      <c r="O11">
        <v>0</v>
      </c>
      <c r="P11">
        <f t="shared" si="3"/>
        <v>0</v>
      </c>
    </row>
    <row r="12" spans="1:16" x14ac:dyDescent="0.25">
      <c r="A12" t="s">
        <v>114</v>
      </c>
      <c r="B12">
        <v>31</v>
      </c>
      <c r="C12">
        <v>11</v>
      </c>
      <c r="D12" t="s">
        <v>153</v>
      </c>
      <c r="E12">
        <v>0</v>
      </c>
      <c r="F12">
        <f t="shared" si="4"/>
        <v>0</v>
      </c>
      <c r="G12">
        <v>0</v>
      </c>
      <c r="H12">
        <f t="shared" si="4"/>
        <v>0</v>
      </c>
      <c r="I12">
        <v>9</v>
      </c>
      <c r="J12">
        <f t="shared" si="0"/>
        <v>1</v>
      </c>
      <c r="K12">
        <v>0</v>
      </c>
      <c r="L12">
        <f t="shared" si="1"/>
        <v>0</v>
      </c>
      <c r="M12">
        <v>0</v>
      </c>
      <c r="N12">
        <f t="shared" si="2"/>
        <v>0</v>
      </c>
      <c r="O12">
        <v>0</v>
      </c>
      <c r="P12">
        <f t="shared" si="3"/>
        <v>0</v>
      </c>
    </row>
    <row r="13" spans="1:16" x14ac:dyDescent="0.25">
      <c r="A13" t="s">
        <v>114</v>
      </c>
      <c r="B13">
        <v>5</v>
      </c>
      <c r="C13">
        <v>10</v>
      </c>
      <c r="D13" t="s">
        <v>154</v>
      </c>
      <c r="E13">
        <v>0</v>
      </c>
      <c r="F13">
        <f t="shared" si="4"/>
        <v>0</v>
      </c>
      <c r="G13">
        <v>0</v>
      </c>
      <c r="H13">
        <f t="shared" si="4"/>
        <v>0</v>
      </c>
      <c r="I13">
        <v>9</v>
      </c>
      <c r="J13">
        <f t="shared" si="0"/>
        <v>1</v>
      </c>
      <c r="K13">
        <v>0</v>
      </c>
      <c r="L13">
        <f t="shared" si="1"/>
        <v>0</v>
      </c>
      <c r="M13">
        <v>0</v>
      </c>
      <c r="N13">
        <f t="shared" si="2"/>
        <v>0</v>
      </c>
      <c r="O13">
        <v>0</v>
      </c>
      <c r="P13">
        <f t="shared" si="3"/>
        <v>0</v>
      </c>
    </row>
    <row r="14" spans="1:16" x14ac:dyDescent="0.25">
      <c r="A14" t="s">
        <v>114</v>
      </c>
      <c r="B14">
        <v>126</v>
      </c>
      <c r="C14">
        <v>2</v>
      </c>
      <c r="D14" t="s">
        <v>155</v>
      </c>
      <c r="E14">
        <v>0</v>
      </c>
      <c r="F14">
        <f t="shared" si="4"/>
        <v>0</v>
      </c>
      <c r="G14">
        <v>0</v>
      </c>
      <c r="H14">
        <f t="shared" si="4"/>
        <v>0</v>
      </c>
      <c r="I14">
        <v>9</v>
      </c>
      <c r="J14">
        <f t="shared" si="0"/>
        <v>1</v>
      </c>
      <c r="K14">
        <v>0</v>
      </c>
      <c r="L14">
        <f t="shared" si="1"/>
        <v>0</v>
      </c>
      <c r="M14">
        <v>0</v>
      </c>
      <c r="N14">
        <f t="shared" si="2"/>
        <v>0</v>
      </c>
      <c r="O14">
        <v>0</v>
      </c>
      <c r="P14">
        <f t="shared" si="3"/>
        <v>0</v>
      </c>
    </row>
    <row r="15" spans="1:16" x14ac:dyDescent="0.25">
      <c r="A15" t="s">
        <v>114</v>
      </c>
      <c r="B15">
        <v>56</v>
      </c>
      <c r="C15">
        <v>14</v>
      </c>
      <c r="D15" t="s">
        <v>156</v>
      </c>
      <c r="E15">
        <v>0</v>
      </c>
      <c r="F15">
        <f t="shared" si="4"/>
        <v>0</v>
      </c>
      <c r="G15">
        <v>0</v>
      </c>
      <c r="H15">
        <f t="shared" si="4"/>
        <v>0</v>
      </c>
      <c r="I15">
        <v>0</v>
      </c>
      <c r="J15">
        <f t="shared" si="0"/>
        <v>0</v>
      </c>
      <c r="K15">
        <v>0</v>
      </c>
      <c r="L15">
        <f t="shared" si="1"/>
        <v>0</v>
      </c>
      <c r="M15">
        <v>9</v>
      </c>
      <c r="N15">
        <f t="shared" si="2"/>
        <v>1</v>
      </c>
      <c r="O15">
        <v>0</v>
      </c>
      <c r="P15">
        <f t="shared" si="3"/>
        <v>0</v>
      </c>
    </row>
    <row r="16" spans="1:16" x14ac:dyDescent="0.25">
      <c r="A16" t="s">
        <v>115</v>
      </c>
      <c r="B16">
        <v>30</v>
      </c>
      <c r="C16">
        <v>17</v>
      </c>
      <c r="D16" t="s">
        <v>157</v>
      </c>
      <c r="E16">
        <v>0</v>
      </c>
      <c r="F16">
        <f t="shared" si="4"/>
        <v>0</v>
      </c>
      <c r="G16">
        <v>0</v>
      </c>
      <c r="H16">
        <f t="shared" si="4"/>
        <v>0</v>
      </c>
      <c r="I16">
        <v>7</v>
      </c>
      <c r="J16">
        <f t="shared" si="0"/>
        <v>1</v>
      </c>
      <c r="K16">
        <v>0</v>
      </c>
      <c r="L16">
        <f t="shared" si="1"/>
        <v>0</v>
      </c>
      <c r="M16">
        <v>0</v>
      </c>
      <c r="N16">
        <f t="shared" si="2"/>
        <v>0</v>
      </c>
      <c r="O16">
        <v>0</v>
      </c>
      <c r="P16">
        <f t="shared" si="3"/>
        <v>0</v>
      </c>
    </row>
    <row r="17" spans="1:16" x14ac:dyDescent="0.25">
      <c r="A17" t="s">
        <v>114</v>
      </c>
      <c r="B17">
        <v>37</v>
      </c>
      <c r="C17">
        <v>14</v>
      </c>
      <c r="D17" t="s">
        <v>158</v>
      </c>
      <c r="E17">
        <v>0</v>
      </c>
      <c r="F17">
        <f t="shared" si="4"/>
        <v>0</v>
      </c>
      <c r="G17">
        <v>0</v>
      </c>
      <c r="H17">
        <f t="shared" si="4"/>
        <v>0</v>
      </c>
      <c r="I17">
        <v>7</v>
      </c>
      <c r="J17">
        <f t="shared" si="0"/>
        <v>1</v>
      </c>
      <c r="K17">
        <v>0</v>
      </c>
      <c r="L17">
        <f t="shared" si="1"/>
        <v>0</v>
      </c>
      <c r="M17">
        <v>0</v>
      </c>
      <c r="N17">
        <f t="shared" si="2"/>
        <v>0</v>
      </c>
      <c r="O17">
        <v>0</v>
      </c>
      <c r="P17">
        <f t="shared" si="3"/>
        <v>0</v>
      </c>
    </row>
    <row r="18" spans="1:16" x14ac:dyDescent="0.25">
      <c r="A18" t="s">
        <v>114</v>
      </c>
      <c r="B18">
        <v>12</v>
      </c>
      <c r="C18">
        <v>3</v>
      </c>
      <c r="D18" t="s">
        <v>159</v>
      </c>
      <c r="E18">
        <v>0</v>
      </c>
      <c r="F18">
        <f t="shared" si="4"/>
        <v>0</v>
      </c>
      <c r="G18">
        <v>0</v>
      </c>
      <c r="H18">
        <f t="shared" si="4"/>
        <v>0</v>
      </c>
      <c r="I18">
        <v>0</v>
      </c>
      <c r="J18">
        <f t="shared" si="0"/>
        <v>0</v>
      </c>
      <c r="K18">
        <v>0</v>
      </c>
      <c r="L18">
        <f t="shared" si="1"/>
        <v>0</v>
      </c>
      <c r="M18">
        <v>0</v>
      </c>
      <c r="N18">
        <f t="shared" si="2"/>
        <v>0</v>
      </c>
      <c r="O18">
        <v>5</v>
      </c>
      <c r="P18">
        <f t="shared" si="3"/>
        <v>1</v>
      </c>
    </row>
    <row r="19" spans="1:16" x14ac:dyDescent="0.25">
      <c r="A19" t="s">
        <v>114</v>
      </c>
      <c r="B19">
        <v>31</v>
      </c>
      <c r="C19">
        <v>20</v>
      </c>
      <c r="D19" t="s">
        <v>160</v>
      </c>
      <c r="E19">
        <v>0</v>
      </c>
      <c r="F19">
        <f t="shared" si="4"/>
        <v>0</v>
      </c>
      <c r="G19">
        <v>0</v>
      </c>
      <c r="H19">
        <f t="shared" si="4"/>
        <v>0</v>
      </c>
      <c r="I19">
        <v>5</v>
      </c>
      <c r="J19">
        <f t="shared" si="0"/>
        <v>1</v>
      </c>
      <c r="K19">
        <v>0</v>
      </c>
      <c r="L19">
        <f t="shared" si="1"/>
        <v>0</v>
      </c>
      <c r="M19">
        <v>0</v>
      </c>
      <c r="N19">
        <f t="shared" si="2"/>
        <v>0</v>
      </c>
      <c r="O19">
        <v>0</v>
      </c>
      <c r="P19">
        <f t="shared" si="3"/>
        <v>0</v>
      </c>
    </row>
    <row r="20" spans="1:16" x14ac:dyDescent="0.25">
      <c r="A20" t="s">
        <v>114</v>
      </c>
      <c r="B20">
        <v>68</v>
      </c>
      <c r="C20">
        <v>17</v>
      </c>
      <c r="D20" t="s">
        <v>161</v>
      </c>
      <c r="E20">
        <v>0</v>
      </c>
      <c r="F20">
        <f t="shared" si="4"/>
        <v>0</v>
      </c>
      <c r="G20">
        <v>0</v>
      </c>
      <c r="H20">
        <f t="shared" si="4"/>
        <v>0</v>
      </c>
      <c r="I20">
        <v>5</v>
      </c>
      <c r="J20">
        <f t="shared" si="0"/>
        <v>1</v>
      </c>
      <c r="K20">
        <v>0</v>
      </c>
      <c r="L20">
        <f t="shared" si="1"/>
        <v>0</v>
      </c>
      <c r="M20">
        <v>0</v>
      </c>
      <c r="N20">
        <f t="shared" si="2"/>
        <v>0</v>
      </c>
      <c r="O20">
        <v>0</v>
      </c>
      <c r="P20">
        <f t="shared" si="3"/>
        <v>0</v>
      </c>
    </row>
    <row r="21" spans="1:16" x14ac:dyDescent="0.25">
      <c r="A21" t="s">
        <v>114</v>
      </c>
      <c r="B21">
        <v>62</v>
      </c>
      <c r="C21">
        <v>10</v>
      </c>
      <c r="D21" t="s">
        <v>162</v>
      </c>
      <c r="E21">
        <v>0</v>
      </c>
      <c r="F21">
        <f t="shared" si="4"/>
        <v>0</v>
      </c>
      <c r="G21">
        <v>0</v>
      </c>
      <c r="H21">
        <f t="shared" si="4"/>
        <v>0</v>
      </c>
      <c r="I21">
        <v>8</v>
      </c>
      <c r="J21">
        <f t="shared" si="0"/>
        <v>1</v>
      </c>
      <c r="K21">
        <v>0</v>
      </c>
      <c r="L21">
        <f t="shared" si="1"/>
        <v>0</v>
      </c>
      <c r="M21">
        <v>0</v>
      </c>
      <c r="N21">
        <f t="shared" si="2"/>
        <v>0</v>
      </c>
      <c r="O21">
        <v>0</v>
      </c>
      <c r="P21">
        <f t="shared" si="3"/>
        <v>0</v>
      </c>
    </row>
    <row r="22" spans="1:16" x14ac:dyDescent="0.25">
      <c r="A22" t="s">
        <v>114</v>
      </c>
      <c r="B22">
        <v>104</v>
      </c>
      <c r="C22">
        <v>25</v>
      </c>
      <c r="D22" t="s">
        <v>163</v>
      </c>
      <c r="E22">
        <v>0</v>
      </c>
      <c r="F22">
        <f t="shared" si="4"/>
        <v>0</v>
      </c>
      <c r="G22">
        <v>0</v>
      </c>
      <c r="H22">
        <f t="shared" si="4"/>
        <v>0</v>
      </c>
      <c r="I22">
        <v>6</v>
      </c>
      <c r="J22">
        <f t="shared" si="0"/>
        <v>1</v>
      </c>
      <c r="K22">
        <v>0</v>
      </c>
      <c r="L22">
        <f t="shared" si="1"/>
        <v>0</v>
      </c>
      <c r="M22">
        <v>0</v>
      </c>
      <c r="N22">
        <f t="shared" si="2"/>
        <v>0</v>
      </c>
      <c r="O22">
        <v>0</v>
      </c>
      <c r="P22">
        <f t="shared" si="3"/>
        <v>0</v>
      </c>
    </row>
    <row r="23" spans="1:16" x14ac:dyDescent="0.25">
      <c r="A23" t="s">
        <v>114</v>
      </c>
      <c r="B23">
        <v>53</v>
      </c>
      <c r="C23">
        <v>6</v>
      </c>
      <c r="D23" t="s">
        <v>164</v>
      </c>
      <c r="E23">
        <v>0</v>
      </c>
      <c r="F23">
        <f t="shared" si="4"/>
        <v>0</v>
      </c>
      <c r="G23">
        <v>0</v>
      </c>
      <c r="H23">
        <f t="shared" si="4"/>
        <v>0</v>
      </c>
      <c r="I23">
        <v>6</v>
      </c>
      <c r="J23">
        <f t="shared" si="0"/>
        <v>1</v>
      </c>
      <c r="K23">
        <v>0</v>
      </c>
      <c r="L23">
        <f t="shared" si="1"/>
        <v>0</v>
      </c>
      <c r="M23">
        <v>0</v>
      </c>
      <c r="N23">
        <f t="shared" si="2"/>
        <v>0</v>
      </c>
      <c r="O23">
        <v>0</v>
      </c>
      <c r="P23">
        <f t="shared" si="3"/>
        <v>0</v>
      </c>
    </row>
    <row r="24" spans="1:16" x14ac:dyDescent="0.25">
      <c r="A24" t="s">
        <v>114</v>
      </c>
      <c r="B24">
        <v>68</v>
      </c>
      <c r="C24">
        <v>9</v>
      </c>
      <c r="D24" t="s">
        <v>165</v>
      </c>
      <c r="E24">
        <v>0</v>
      </c>
      <c r="F24">
        <f t="shared" si="4"/>
        <v>0</v>
      </c>
      <c r="G24">
        <v>0</v>
      </c>
      <c r="H24">
        <f t="shared" si="4"/>
        <v>0</v>
      </c>
      <c r="I24">
        <v>9</v>
      </c>
      <c r="J24">
        <f t="shared" si="0"/>
        <v>1</v>
      </c>
      <c r="K24">
        <v>0</v>
      </c>
      <c r="L24">
        <f t="shared" si="1"/>
        <v>0</v>
      </c>
      <c r="M24">
        <v>0</v>
      </c>
      <c r="N24">
        <f t="shared" si="2"/>
        <v>0</v>
      </c>
      <c r="O24">
        <v>0</v>
      </c>
      <c r="P24">
        <f t="shared" si="3"/>
        <v>0</v>
      </c>
    </row>
    <row r="25" spans="1:16" x14ac:dyDescent="0.25">
      <c r="A25" t="s">
        <v>114</v>
      </c>
      <c r="B25">
        <v>62</v>
      </c>
      <c r="C25">
        <v>5</v>
      </c>
      <c r="D25" t="s">
        <v>166</v>
      </c>
      <c r="E25">
        <v>0</v>
      </c>
      <c r="F25">
        <f t="shared" si="4"/>
        <v>0</v>
      </c>
      <c r="G25">
        <v>0</v>
      </c>
      <c r="H25">
        <f t="shared" si="4"/>
        <v>0</v>
      </c>
      <c r="I25">
        <v>9</v>
      </c>
      <c r="J25">
        <f t="shared" si="0"/>
        <v>1</v>
      </c>
      <c r="K25">
        <v>0</v>
      </c>
      <c r="L25">
        <f t="shared" si="1"/>
        <v>0</v>
      </c>
      <c r="M25">
        <v>0</v>
      </c>
      <c r="N25">
        <f t="shared" si="2"/>
        <v>0</v>
      </c>
      <c r="O25">
        <v>0</v>
      </c>
      <c r="P25">
        <f t="shared" si="3"/>
        <v>0</v>
      </c>
    </row>
    <row r="26" spans="1:16" x14ac:dyDescent="0.25">
      <c r="A26" t="s">
        <v>114</v>
      </c>
      <c r="B26">
        <v>78</v>
      </c>
      <c r="C26">
        <v>20</v>
      </c>
      <c r="D26" t="s">
        <v>167</v>
      </c>
      <c r="E26">
        <v>0</v>
      </c>
      <c r="F26">
        <f t="shared" si="4"/>
        <v>0</v>
      </c>
      <c r="G26">
        <v>0</v>
      </c>
      <c r="H26">
        <f t="shared" si="4"/>
        <v>0</v>
      </c>
      <c r="I26">
        <v>9</v>
      </c>
      <c r="J26">
        <f t="shared" si="0"/>
        <v>1</v>
      </c>
      <c r="K26">
        <v>0</v>
      </c>
      <c r="L26">
        <f t="shared" si="1"/>
        <v>0</v>
      </c>
      <c r="M26">
        <v>0</v>
      </c>
      <c r="N26">
        <f t="shared" si="2"/>
        <v>0</v>
      </c>
      <c r="O26">
        <v>0</v>
      </c>
      <c r="P26">
        <f t="shared" si="3"/>
        <v>0</v>
      </c>
    </row>
    <row r="27" spans="1:16" x14ac:dyDescent="0.25">
      <c r="A27" t="s">
        <v>114</v>
      </c>
      <c r="B27">
        <v>29</v>
      </c>
      <c r="C27">
        <v>9</v>
      </c>
      <c r="D27" t="s">
        <v>168</v>
      </c>
      <c r="E27">
        <v>0</v>
      </c>
      <c r="F27">
        <f t="shared" si="4"/>
        <v>0</v>
      </c>
      <c r="G27">
        <v>0</v>
      </c>
      <c r="H27">
        <f t="shared" si="4"/>
        <v>0</v>
      </c>
      <c r="I27">
        <v>0</v>
      </c>
      <c r="J27">
        <f t="shared" si="0"/>
        <v>0</v>
      </c>
      <c r="K27">
        <v>9</v>
      </c>
      <c r="L27">
        <f t="shared" si="1"/>
        <v>1</v>
      </c>
      <c r="M27">
        <v>0</v>
      </c>
      <c r="N27">
        <f t="shared" si="2"/>
        <v>0</v>
      </c>
      <c r="O27">
        <v>0</v>
      </c>
      <c r="P27">
        <f t="shared" si="3"/>
        <v>0</v>
      </c>
    </row>
    <row r="28" spans="1:16" x14ac:dyDescent="0.25">
      <c r="A28" t="s">
        <v>114</v>
      </c>
      <c r="B28">
        <v>31</v>
      </c>
      <c r="C28">
        <v>14</v>
      </c>
      <c r="D28" t="s">
        <v>169</v>
      </c>
      <c r="E28">
        <v>0</v>
      </c>
      <c r="F28">
        <f t="shared" si="4"/>
        <v>0</v>
      </c>
      <c r="G28">
        <v>0</v>
      </c>
      <c r="H28">
        <f t="shared" si="4"/>
        <v>0</v>
      </c>
      <c r="I28">
        <v>10</v>
      </c>
      <c r="J28">
        <f t="shared" si="0"/>
        <v>1</v>
      </c>
      <c r="K28">
        <v>0</v>
      </c>
      <c r="L28">
        <f t="shared" si="1"/>
        <v>0</v>
      </c>
      <c r="M28">
        <v>0</v>
      </c>
      <c r="N28">
        <f t="shared" si="2"/>
        <v>0</v>
      </c>
      <c r="O28">
        <v>0</v>
      </c>
      <c r="P28">
        <f t="shared" si="3"/>
        <v>0</v>
      </c>
    </row>
    <row r="29" spans="1:16" x14ac:dyDescent="0.25">
      <c r="A29" t="s">
        <v>114</v>
      </c>
      <c r="B29">
        <v>42</v>
      </c>
      <c r="C29">
        <v>5</v>
      </c>
      <c r="D29" t="s">
        <v>170</v>
      </c>
      <c r="E29">
        <v>0</v>
      </c>
      <c r="F29">
        <f t="shared" si="4"/>
        <v>0</v>
      </c>
      <c r="G29">
        <v>0</v>
      </c>
      <c r="H29">
        <f t="shared" si="4"/>
        <v>0</v>
      </c>
      <c r="I29">
        <v>0</v>
      </c>
      <c r="J29">
        <f t="shared" si="0"/>
        <v>0</v>
      </c>
      <c r="K29">
        <v>0</v>
      </c>
      <c r="L29">
        <f t="shared" si="1"/>
        <v>0</v>
      </c>
      <c r="M29">
        <v>0</v>
      </c>
      <c r="N29">
        <f t="shared" si="2"/>
        <v>0</v>
      </c>
      <c r="O29">
        <v>0</v>
      </c>
      <c r="P29">
        <f t="shared" si="3"/>
        <v>0</v>
      </c>
    </row>
    <row r="30" spans="1:16" x14ac:dyDescent="0.25">
      <c r="A30" t="s">
        <v>115</v>
      </c>
      <c r="B30">
        <v>24</v>
      </c>
      <c r="C30">
        <v>24</v>
      </c>
      <c r="D30" t="s">
        <v>171</v>
      </c>
      <c r="E30">
        <v>0</v>
      </c>
      <c r="F30">
        <f t="shared" si="4"/>
        <v>0</v>
      </c>
      <c r="G30">
        <v>0</v>
      </c>
      <c r="H30">
        <f t="shared" si="4"/>
        <v>0</v>
      </c>
      <c r="I30">
        <v>7</v>
      </c>
      <c r="J30">
        <f t="shared" si="0"/>
        <v>1</v>
      </c>
      <c r="K30">
        <v>0</v>
      </c>
      <c r="L30">
        <f t="shared" si="1"/>
        <v>0</v>
      </c>
      <c r="M30">
        <v>0</v>
      </c>
      <c r="N30">
        <f t="shared" si="2"/>
        <v>0</v>
      </c>
      <c r="O30">
        <v>0</v>
      </c>
      <c r="P30">
        <f t="shared" si="3"/>
        <v>0</v>
      </c>
    </row>
    <row r="31" spans="1:16" x14ac:dyDescent="0.25">
      <c r="A31" t="s">
        <v>114</v>
      </c>
      <c r="B31">
        <v>9</v>
      </c>
      <c r="C31">
        <v>17</v>
      </c>
      <c r="D31" t="s">
        <v>172</v>
      </c>
      <c r="E31">
        <v>0</v>
      </c>
      <c r="F31">
        <f t="shared" si="4"/>
        <v>0</v>
      </c>
      <c r="G31">
        <v>0</v>
      </c>
      <c r="H31">
        <f t="shared" si="4"/>
        <v>0</v>
      </c>
      <c r="I31">
        <v>7</v>
      </c>
      <c r="J31">
        <f t="shared" si="0"/>
        <v>1</v>
      </c>
      <c r="K31">
        <v>0</v>
      </c>
      <c r="L31">
        <f t="shared" si="1"/>
        <v>0</v>
      </c>
      <c r="M31">
        <v>0</v>
      </c>
      <c r="N31">
        <f t="shared" si="2"/>
        <v>0</v>
      </c>
      <c r="O31">
        <v>0</v>
      </c>
      <c r="P31">
        <f t="shared" si="3"/>
        <v>0</v>
      </c>
    </row>
    <row r="32" spans="1:16" x14ac:dyDescent="0.25">
      <c r="A32" t="s">
        <v>114</v>
      </c>
      <c r="B32">
        <v>84</v>
      </c>
      <c r="C32">
        <v>12</v>
      </c>
      <c r="D32" t="s">
        <v>173</v>
      </c>
      <c r="E32">
        <v>0</v>
      </c>
      <c r="F32">
        <f t="shared" si="4"/>
        <v>0</v>
      </c>
      <c r="G32">
        <v>0</v>
      </c>
      <c r="H32">
        <f t="shared" si="4"/>
        <v>0</v>
      </c>
      <c r="I32">
        <v>7</v>
      </c>
      <c r="J32">
        <f t="shared" si="0"/>
        <v>1</v>
      </c>
      <c r="K32">
        <v>0</v>
      </c>
      <c r="L32">
        <f t="shared" si="1"/>
        <v>0</v>
      </c>
      <c r="M32">
        <v>0</v>
      </c>
      <c r="N32">
        <f t="shared" si="2"/>
        <v>0</v>
      </c>
      <c r="O32">
        <v>0</v>
      </c>
      <c r="P32">
        <f t="shared" si="3"/>
        <v>0</v>
      </c>
    </row>
    <row r="33" spans="1:16" x14ac:dyDescent="0.25">
      <c r="A33" t="s">
        <v>114</v>
      </c>
      <c r="B33">
        <v>27</v>
      </c>
      <c r="C33">
        <v>5</v>
      </c>
      <c r="D33" t="s">
        <v>174</v>
      </c>
      <c r="E33">
        <v>0</v>
      </c>
      <c r="F33">
        <f t="shared" si="4"/>
        <v>0</v>
      </c>
      <c r="G33">
        <v>0</v>
      </c>
      <c r="H33">
        <f t="shared" si="4"/>
        <v>0</v>
      </c>
      <c r="I33">
        <v>7</v>
      </c>
      <c r="J33">
        <f t="shared" si="0"/>
        <v>1</v>
      </c>
      <c r="K33">
        <v>0</v>
      </c>
      <c r="L33">
        <f t="shared" si="1"/>
        <v>0</v>
      </c>
      <c r="M33">
        <v>0</v>
      </c>
      <c r="N33">
        <f t="shared" si="2"/>
        <v>0</v>
      </c>
      <c r="O33">
        <v>0</v>
      </c>
      <c r="P33">
        <f t="shared" si="3"/>
        <v>0</v>
      </c>
    </row>
    <row r="34" spans="1:16" x14ac:dyDescent="0.25">
      <c r="A34" t="s">
        <v>114</v>
      </c>
      <c r="B34">
        <v>30</v>
      </c>
      <c r="C34">
        <v>6</v>
      </c>
      <c r="D34" t="s">
        <v>175</v>
      </c>
      <c r="E34">
        <v>0</v>
      </c>
      <c r="F34">
        <f t="shared" si="4"/>
        <v>0</v>
      </c>
      <c r="G34">
        <v>0</v>
      </c>
      <c r="H34">
        <f t="shared" si="4"/>
        <v>0</v>
      </c>
      <c r="I34">
        <v>7</v>
      </c>
      <c r="J34">
        <f t="shared" si="0"/>
        <v>1</v>
      </c>
      <c r="K34">
        <v>0</v>
      </c>
      <c r="L34">
        <f t="shared" si="1"/>
        <v>0</v>
      </c>
      <c r="M34">
        <v>0</v>
      </c>
      <c r="N34">
        <f t="shared" si="2"/>
        <v>0</v>
      </c>
      <c r="O34">
        <v>0</v>
      </c>
      <c r="P34">
        <f t="shared" si="3"/>
        <v>0</v>
      </c>
    </row>
    <row r="35" spans="1:16" x14ac:dyDescent="0.25">
      <c r="A35" t="s">
        <v>115</v>
      </c>
      <c r="B35">
        <v>30</v>
      </c>
      <c r="C35">
        <v>19</v>
      </c>
      <c r="D35" t="s">
        <v>176</v>
      </c>
      <c r="E35">
        <v>0</v>
      </c>
      <c r="F35">
        <f t="shared" si="4"/>
        <v>0</v>
      </c>
      <c r="G35">
        <v>0</v>
      </c>
      <c r="H35">
        <f t="shared" si="4"/>
        <v>0</v>
      </c>
      <c r="I35">
        <v>0</v>
      </c>
      <c r="J35">
        <f t="shared" si="0"/>
        <v>0</v>
      </c>
      <c r="K35">
        <v>0</v>
      </c>
      <c r="L35">
        <f t="shared" si="1"/>
        <v>0</v>
      </c>
      <c r="M35">
        <v>7</v>
      </c>
      <c r="N35">
        <f t="shared" si="2"/>
        <v>1</v>
      </c>
      <c r="O35">
        <v>0</v>
      </c>
      <c r="P35">
        <f t="shared" si="3"/>
        <v>0</v>
      </c>
    </row>
    <row r="36" spans="1:16" x14ac:dyDescent="0.25">
      <c r="A36" t="s">
        <v>116</v>
      </c>
      <c r="B36">
        <v>34</v>
      </c>
      <c r="C36">
        <v>20</v>
      </c>
      <c r="D36" t="s">
        <v>177</v>
      </c>
      <c r="E36">
        <v>0</v>
      </c>
      <c r="F36">
        <f t="shared" si="4"/>
        <v>0</v>
      </c>
      <c r="G36">
        <v>0</v>
      </c>
      <c r="H36">
        <f t="shared" si="4"/>
        <v>0</v>
      </c>
      <c r="I36">
        <v>3</v>
      </c>
      <c r="J36">
        <f t="shared" si="0"/>
        <v>1</v>
      </c>
      <c r="K36">
        <v>0</v>
      </c>
      <c r="L36">
        <f t="shared" si="1"/>
        <v>0</v>
      </c>
      <c r="M36">
        <v>0</v>
      </c>
      <c r="N36">
        <f t="shared" si="2"/>
        <v>0</v>
      </c>
      <c r="O36">
        <v>0</v>
      </c>
      <c r="P36">
        <f t="shared" si="3"/>
        <v>0</v>
      </c>
    </row>
    <row r="37" spans="1:16" x14ac:dyDescent="0.25">
      <c r="A37" t="s">
        <v>114</v>
      </c>
      <c r="B37">
        <v>118</v>
      </c>
      <c r="C37">
        <v>27</v>
      </c>
      <c r="D37" t="s">
        <v>178</v>
      </c>
      <c r="E37">
        <v>0</v>
      </c>
      <c r="F37">
        <f t="shared" si="4"/>
        <v>0</v>
      </c>
      <c r="G37">
        <v>0</v>
      </c>
      <c r="H37">
        <f t="shared" si="4"/>
        <v>0</v>
      </c>
      <c r="I37">
        <v>3</v>
      </c>
      <c r="J37">
        <f t="shared" si="0"/>
        <v>1</v>
      </c>
      <c r="K37">
        <v>0</v>
      </c>
      <c r="L37">
        <f t="shared" si="1"/>
        <v>0</v>
      </c>
      <c r="M37">
        <v>0</v>
      </c>
      <c r="N37">
        <f t="shared" si="2"/>
        <v>0</v>
      </c>
      <c r="O37">
        <v>0</v>
      </c>
      <c r="P37">
        <f t="shared" si="3"/>
        <v>0</v>
      </c>
    </row>
    <row r="38" spans="1:16" x14ac:dyDescent="0.25">
      <c r="A38" t="s">
        <v>116</v>
      </c>
      <c r="B38">
        <v>16</v>
      </c>
      <c r="C38">
        <v>4</v>
      </c>
      <c r="D38" t="s">
        <v>179</v>
      </c>
      <c r="E38">
        <v>0</v>
      </c>
      <c r="F38">
        <f t="shared" si="4"/>
        <v>0</v>
      </c>
      <c r="G38">
        <v>0</v>
      </c>
      <c r="H38">
        <f t="shared" si="4"/>
        <v>0</v>
      </c>
      <c r="I38">
        <v>3</v>
      </c>
      <c r="J38">
        <f t="shared" si="0"/>
        <v>1</v>
      </c>
      <c r="K38">
        <v>0</v>
      </c>
      <c r="L38">
        <f t="shared" si="1"/>
        <v>0</v>
      </c>
      <c r="M38">
        <v>0</v>
      </c>
      <c r="N38">
        <f t="shared" si="2"/>
        <v>0</v>
      </c>
      <c r="O38">
        <v>0</v>
      </c>
      <c r="P38">
        <f t="shared" si="3"/>
        <v>0</v>
      </c>
    </row>
    <row r="39" spans="1:16" x14ac:dyDescent="0.25">
      <c r="A39" t="s">
        <v>114</v>
      </c>
      <c r="B39">
        <v>102</v>
      </c>
      <c r="C39">
        <v>27</v>
      </c>
      <c r="D39" t="s">
        <v>180</v>
      </c>
      <c r="E39">
        <v>0</v>
      </c>
      <c r="F39">
        <f t="shared" si="4"/>
        <v>0</v>
      </c>
      <c r="G39">
        <v>0</v>
      </c>
      <c r="H39">
        <f t="shared" si="4"/>
        <v>0</v>
      </c>
      <c r="I39">
        <v>3</v>
      </c>
      <c r="J39">
        <f t="shared" si="0"/>
        <v>1</v>
      </c>
      <c r="K39">
        <v>0</v>
      </c>
      <c r="L39">
        <f t="shared" si="1"/>
        <v>0</v>
      </c>
      <c r="M39">
        <v>0</v>
      </c>
      <c r="N39">
        <f t="shared" si="2"/>
        <v>0</v>
      </c>
      <c r="O39">
        <v>0</v>
      </c>
      <c r="P39">
        <f t="shared" si="3"/>
        <v>0</v>
      </c>
    </row>
    <row r="40" spans="1:16" x14ac:dyDescent="0.25">
      <c r="A40" t="s">
        <v>114</v>
      </c>
      <c r="B40">
        <v>37</v>
      </c>
      <c r="C40">
        <v>7</v>
      </c>
      <c r="D40" t="s">
        <v>181</v>
      </c>
      <c r="E40">
        <v>0</v>
      </c>
      <c r="F40">
        <f t="shared" si="4"/>
        <v>0</v>
      </c>
      <c r="G40">
        <v>0</v>
      </c>
      <c r="H40">
        <f t="shared" si="4"/>
        <v>0</v>
      </c>
      <c r="I40">
        <v>3</v>
      </c>
      <c r="J40">
        <f t="shared" si="0"/>
        <v>1</v>
      </c>
      <c r="K40">
        <v>0</v>
      </c>
      <c r="L40">
        <f t="shared" si="1"/>
        <v>0</v>
      </c>
      <c r="M40">
        <v>0</v>
      </c>
      <c r="N40">
        <f t="shared" si="2"/>
        <v>0</v>
      </c>
      <c r="O40">
        <v>0</v>
      </c>
      <c r="P40">
        <f t="shared" si="3"/>
        <v>0</v>
      </c>
    </row>
    <row r="41" spans="1:16" x14ac:dyDescent="0.25">
      <c r="A41" t="s">
        <v>114</v>
      </c>
      <c r="B41">
        <v>68</v>
      </c>
      <c r="C41">
        <v>5</v>
      </c>
      <c r="D41" t="s">
        <v>182</v>
      </c>
      <c r="E41">
        <v>0</v>
      </c>
      <c r="F41">
        <f t="shared" si="4"/>
        <v>0</v>
      </c>
      <c r="G41">
        <v>0</v>
      </c>
      <c r="H41">
        <f t="shared" si="4"/>
        <v>0</v>
      </c>
      <c r="I41">
        <v>3</v>
      </c>
      <c r="J41">
        <f t="shared" si="0"/>
        <v>1</v>
      </c>
      <c r="K41">
        <v>0</v>
      </c>
      <c r="L41">
        <f t="shared" si="1"/>
        <v>0</v>
      </c>
      <c r="M41">
        <v>0</v>
      </c>
      <c r="N41">
        <f t="shared" si="2"/>
        <v>0</v>
      </c>
      <c r="O41">
        <v>0</v>
      </c>
      <c r="P41">
        <f t="shared" si="3"/>
        <v>0</v>
      </c>
    </row>
    <row r="42" spans="1:16" x14ac:dyDescent="0.25">
      <c r="A42" t="s">
        <v>116</v>
      </c>
      <c r="B42">
        <v>24</v>
      </c>
      <c r="C42">
        <v>13</v>
      </c>
      <c r="D42" t="s">
        <v>183</v>
      </c>
      <c r="E42">
        <v>0</v>
      </c>
      <c r="F42">
        <f t="shared" si="4"/>
        <v>0</v>
      </c>
      <c r="G42">
        <v>0</v>
      </c>
      <c r="H42">
        <f t="shared" si="4"/>
        <v>0</v>
      </c>
      <c r="I42">
        <v>0</v>
      </c>
      <c r="J42">
        <f t="shared" si="0"/>
        <v>0</v>
      </c>
      <c r="K42">
        <v>3</v>
      </c>
      <c r="L42">
        <f t="shared" si="1"/>
        <v>1</v>
      </c>
      <c r="M42">
        <v>0</v>
      </c>
      <c r="N42">
        <f t="shared" si="2"/>
        <v>0</v>
      </c>
      <c r="O42">
        <v>0</v>
      </c>
      <c r="P42">
        <f t="shared" si="3"/>
        <v>0</v>
      </c>
    </row>
    <row r="43" spans="1:16" x14ac:dyDescent="0.25">
      <c r="A43" t="s">
        <v>114</v>
      </c>
      <c r="B43">
        <v>76</v>
      </c>
      <c r="C43">
        <v>12</v>
      </c>
      <c r="D43" t="s">
        <v>184</v>
      </c>
      <c r="E43">
        <v>0</v>
      </c>
      <c r="F43">
        <f t="shared" si="4"/>
        <v>0</v>
      </c>
      <c r="G43">
        <v>0</v>
      </c>
      <c r="H43">
        <f t="shared" si="4"/>
        <v>0</v>
      </c>
      <c r="I43">
        <v>5</v>
      </c>
      <c r="J43">
        <f t="shared" si="0"/>
        <v>1</v>
      </c>
      <c r="K43">
        <v>0</v>
      </c>
      <c r="L43">
        <f t="shared" si="1"/>
        <v>0</v>
      </c>
      <c r="M43">
        <v>0</v>
      </c>
      <c r="N43">
        <f t="shared" si="2"/>
        <v>0</v>
      </c>
      <c r="O43">
        <v>0</v>
      </c>
      <c r="P43">
        <f t="shared" si="3"/>
        <v>0</v>
      </c>
    </row>
    <row r="44" spans="1:16" x14ac:dyDescent="0.25">
      <c r="A44" t="s">
        <v>114</v>
      </c>
      <c r="B44">
        <v>30</v>
      </c>
      <c r="C44">
        <v>12</v>
      </c>
      <c r="D44" t="s">
        <v>185</v>
      </c>
      <c r="E44">
        <v>0</v>
      </c>
      <c r="F44">
        <f t="shared" si="4"/>
        <v>0</v>
      </c>
      <c r="G44">
        <v>0</v>
      </c>
      <c r="H44">
        <f t="shared" si="4"/>
        <v>0</v>
      </c>
      <c r="I44">
        <v>5</v>
      </c>
      <c r="J44">
        <f t="shared" si="0"/>
        <v>1</v>
      </c>
      <c r="K44">
        <v>0</v>
      </c>
      <c r="L44">
        <f t="shared" si="1"/>
        <v>0</v>
      </c>
      <c r="M44">
        <v>0</v>
      </c>
      <c r="N44">
        <f t="shared" si="2"/>
        <v>0</v>
      </c>
      <c r="O44">
        <v>0</v>
      </c>
      <c r="P44">
        <f t="shared" si="3"/>
        <v>0</v>
      </c>
    </row>
    <row r="45" spans="1:16" x14ac:dyDescent="0.25">
      <c r="A45" t="s">
        <v>116</v>
      </c>
      <c r="B45">
        <v>29</v>
      </c>
      <c r="C45">
        <v>25</v>
      </c>
      <c r="D45" t="s">
        <v>186</v>
      </c>
      <c r="E45">
        <v>0</v>
      </c>
      <c r="F45">
        <f t="shared" si="4"/>
        <v>0</v>
      </c>
      <c r="G45">
        <v>0</v>
      </c>
      <c r="H45">
        <f t="shared" si="4"/>
        <v>0</v>
      </c>
      <c r="I45">
        <v>5</v>
      </c>
      <c r="J45">
        <f t="shared" si="0"/>
        <v>1</v>
      </c>
      <c r="K45">
        <v>0</v>
      </c>
      <c r="L45">
        <f t="shared" si="1"/>
        <v>0</v>
      </c>
      <c r="M45">
        <v>0</v>
      </c>
      <c r="N45">
        <f t="shared" si="2"/>
        <v>0</v>
      </c>
      <c r="O45">
        <v>0</v>
      </c>
      <c r="P45">
        <f t="shared" si="3"/>
        <v>0</v>
      </c>
    </row>
    <row r="46" spans="1:16" x14ac:dyDescent="0.25">
      <c r="A46" t="s">
        <v>114</v>
      </c>
      <c r="B46">
        <v>135</v>
      </c>
      <c r="C46">
        <v>7</v>
      </c>
      <c r="D46" t="s">
        <v>187</v>
      </c>
      <c r="E46">
        <v>0</v>
      </c>
      <c r="F46">
        <f t="shared" si="4"/>
        <v>0</v>
      </c>
      <c r="G46">
        <v>0</v>
      </c>
      <c r="H46">
        <f t="shared" si="4"/>
        <v>0</v>
      </c>
      <c r="I46">
        <v>5</v>
      </c>
      <c r="J46">
        <f t="shared" si="0"/>
        <v>1</v>
      </c>
      <c r="K46">
        <v>0</v>
      </c>
      <c r="L46">
        <f t="shared" si="1"/>
        <v>0</v>
      </c>
      <c r="M46">
        <v>0</v>
      </c>
      <c r="N46">
        <f t="shared" si="2"/>
        <v>0</v>
      </c>
      <c r="O46">
        <v>0</v>
      </c>
      <c r="P46">
        <f t="shared" si="3"/>
        <v>0</v>
      </c>
    </row>
    <row r="47" spans="1:16" x14ac:dyDescent="0.25">
      <c r="A47" t="s">
        <v>114</v>
      </c>
      <c r="B47">
        <v>35</v>
      </c>
      <c r="C47">
        <v>4</v>
      </c>
      <c r="D47" t="s">
        <v>188</v>
      </c>
      <c r="E47">
        <v>0</v>
      </c>
      <c r="F47">
        <f t="shared" si="4"/>
        <v>0</v>
      </c>
      <c r="G47">
        <v>0</v>
      </c>
      <c r="H47">
        <f t="shared" si="4"/>
        <v>0</v>
      </c>
      <c r="I47">
        <v>5</v>
      </c>
      <c r="J47">
        <f t="shared" si="0"/>
        <v>1</v>
      </c>
      <c r="K47">
        <v>0</v>
      </c>
      <c r="L47">
        <f t="shared" si="1"/>
        <v>0</v>
      </c>
      <c r="M47">
        <v>0</v>
      </c>
      <c r="N47">
        <f t="shared" si="2"/>
        <v>0</v>
      </c>
      <c r="O47">
        <v>0</v>
      </c>
      <c r="P47">
        <f t="shared" si="3"/>
        <v>0</v>
      </c>
    </row>
    <row r="48" spans="1:16" x14ac:dyDescent="0.25">
      <c r="A48" t="s">
        <v>114</v>
      </c>
      <c r="B48">
        <v>93</v>
      </c>
      <c r="C48">
        <v>1</v>
      </c>
      <c r="D48" t="s">
        <v>189</v>
      </c>
      <c r="E48">
        <v>0</v>
      </c>
      <c r="F48">
        <f t="shared" si="4"/>
        <v>0</v>
      </c>
      <c r="G48">
        <v>0</v>
      </c>
      <c r="H48">
        <f t="shared" si="4"/>
        <v>0</v>
      </c>
      <c r="I48">
        <v>5</v>
      </c>
      <c r="J48">
        <f t="shared" si="0"/>
        <v>1</v>
      </c>
      <c r="K48">
        <v>0</v>
      </c>
      <c r="L48">
        <f t="shared" si="1"/>
        <v>0</v>
      </c>
      <c r="M48">
        <v>0</v>
      </c>
      <c r="N48">
        <f t="shared" si="2"/>
        <v>0</v>
      </c>
      <c r="O48">
        <v>0</v>
      </c>
      <c r="P48">
        <f t="shared" si="3"/>
        <v>0</v>
      </c>
    </row>
    <row r="49" spans="1:16" x14ac:dyDescent="0.25">
      <c r="A49" t="s">
        <v>114</v>
      </c>
      <c r="B49">
        <v>28</v>
      </c>
      <c r="C49">
        <v>4</v>
      </c>
      <c r="D49" t="s">
        <v>190</v>
      </c>
      <c r="E49">
        <v>0</v>
      </c>
      <c r="F49">
        <f t="shared" si="4"/>
        <v>0</v>
      </c>
      <c r="G49">
        <v>0</v>
      </c>
      <c r="H49">
        <f t="shared" si="4"/>
        <v>0</v>
      </c>
      <c r="I49">
        <v>5</v>
      </c>
      <c r="J49">
        <f t="shared" si="0"/>
        <v>1</v>
      </c>
      <c r="K49">
        <v>0</v>
      </c>
      <c r="L49">
        <f t="shared" si="1"/>
        <v>0</v>
      </c>
      <c r="M49">
        <v>0</v>
      </c>
      <c r="N49">
        <f t="shared" si="2"/>
        <v>0</v>
      </c>
      <c r="O49">
        <v>0</v>
      </c>
      <c r="P49">
        <f t="shared" si="3"/>
        <v>0</v>
      </c>
    </row>
    <row r="50" spans="1:16" x14ac:dyDescent="0.25">
      <c r="A50" t="s">
        <v>114</v>
      </c>
      <c r="B50">
        <v>35</v>
      </c>
      <c r="C50">
        <v>27</v>
      </c>
      <c r="D50" t="s">
        <v>191</v>
      </c>
      <c r="E50">
        <v>0</v>
      </c>
      <c r="F50">
        <f t="shared" si="4"/>
        <v>0</v>
      </c>
      <c r="G50">
        <v>0</v>
      </c>
      <c r="H50">
        <f t="shared" si="4"/>
        <v>0</v>
      </c>
      <c r="I50">
        <v>5</v>
      </c>
      <c r="J50">
        <f t="shared" si="0"/>
        <v>1</v>
      </c>
      <c r="K50">
        <v>0</v>
      </c>
      <c r="L50">
        <f t="shared" si="1"/>
        <v>0</v>
      </c>
      <c r="M50">
        <v>0</v>
      </c>
      <c r="N50">
        <f t="shared" si="2"/>
        <v>0</v>
      </c>
      <c r="O50">
        <v>0</v>
      </c>
      <c r="P50">
        <f t="shared" si="3"/>
        <v>0</v>
      </c>
    </row>
    <row r="51" spans="1:16" x14ac:dyDescent="0.25">
      <c r="A51" t="s">
        <v>114</v>
      </c>
      <c r="B51">
        <v>12</v>
      </c>
      <c r="C51">
        <v>7</v>
      </c>
      <c r="D51" t="s">
        <v>192</v>
      </c>
      <c r="E51">
        <v>0</v>
      </c>
      <c r="F51">
        <f t="shared" si="4"/>
        <v>0</v>
      </c>
      <c r="G51">
        <v>0</v>
      </c>
      <c r="H51">
        <f t="shared" si="4"/>
        <v>0</v>
      </c>
      <c r="I51">
        <v>5</v>
      </c>
      <c r="J51">
        <f t="shared" si="0"/>
        <v>1</v>
      </c>
      <c r="K51">
        <v>0</v>
      </c>
      <c r="L51">
        <f t="shared" si="1"/>
        <v>0</v>
      </c>
      <c r="M51">
        <v>0</v>
      </c>
      <c r="N51">
        <f t="shared" si="2"/>
        <v>0</v>
      </c>
      <c r="O51">
        <v>0</v>
      </c>
      <c r="P51">
        <f t="shared" si="3"/>
        <v>0</v>
      </c>
    </row>
    <row r="52" spans="1:16" x14ac:dyDescent="0.25">
      <c r="A52" t="s">
        <v>114</v>
      </c>
      <c r="B52">
        <v>99</v>
      </c>
      <c r="C52">
        <v>8</v>
      </c>
      <c r="D52" t="s">
        <v>192</v>
      </c>
      <c r="E52">
        <v>0</v>
      </c>
      <c r="F52">
        <f t="shared" si="4"/>
        <v>0</v>
      </c>
      <c r="G52">
        <v>0</v>
      </c>
      <c r="H52">
        <f t="shared" si="4"/>
        <v>0</v>
      </c>
      <c r="I52">
        <v>5</v>
      </c>
      <c r="J52">
        <f t="shared" si="0"/>
        <v>1</v>
      </c>
      <c r="K52">
        <v>0</v>
      </c>
      <c r="L52">
        <f t="shared" si="1"/>
        <v>0</v>
      </c>
      <c r="M52">
        <v>0</v>
      </c>
      <c r="N52">
        <f t="shared" si="2"/>
        <v>0</v>
      </c>
      <c r="O52">
        <v>0</v>
      </c>
      <c r="P52">
        <f t="shared" si="3"/>
        <v>0</v>
      </c>
    </row>
    <row r="53" spans="1:16" x14ac:dyDescent="0.25">
      <c r="A53" t="s">
        <v>114</v>
      </c>
      <c r="B53">
        <v>71</v>
      </c>
      <c r="C53">
        <v>13</v>
      </c>
      <c r="D53" t="s">
        <v>193</v>
      </c>
      <c r="E53">
        <v>0</v>
      </c>
      <c r="F53">
        <f t="shared" si="4"/>
        <v>0</v>
      </c>
      <c r="G53">
        <v>0</v>
      </c>
      <c r="H53">
        <f t="shared" si="4"/>
        <v>0</v>
      </c>
      <c r="I53">
        <v>5</v>
      </c>
      <c r="J53">
        <f t="shared" si="0"/>
        <v>1</v>
      </c>
      <c r="K53">
        <v>0</v>
      </c>
      <c r="L53">
        <f t="shared" si="1"/>
        <v>0</v>
      </c>
      <c r="M53">
        <v>0</v>
      </c>
      <c r="N53">
        <f t="shared" si="2"/>
        <v>0</v>
      </c>
      <c r="O53">
        <v>0</v>
      </c>
      <c r="P53">
        <f t="shared" si="3"/>
        <v>0</v>
      </c>
    </row>
    <row r="54" spans="1:16" x14ac:dyDescent="0.25">
      <c r="A54" t="s">
        <v>114</v>
      </c>
      <c r="B54">
        <v>70</v>
      </c>
      <c r="C54">
        <v>3</v>
      </c>
      <c r="D54" t="s">
        <v>193</v>
      </c>
      <c r="E54">
        <v>0</v>
      </c>
      <c r="F54">
        <f t="shared" si="4"/>
        <v>0</v>
      </c>
      <c r="G54">
        <v>0</v>
      </c>
      <c r="H54">
        <f t="shared" si="4"/>
        <v>0</v>
      </c>
      <c r="I54">
        <v>5</v>
      </c>
      <c r="J54">
        <f t="shared" si="0"/>
        <v>1</v>
      </c>
      <c r="K54">
        <v>0</v>
      </c>
      <c r="L54">
        <f t="shared" si="1"/>
        <v>0</v>
      </c>
      <c r="M54">
        <v>0</v>
      </c>
      <c r="N54">
        <f t="shared" si="2"/>
        <v>0</v>
      </c>
      <c r="O54">
        <v>0</v>
      </c>
      <c r="P54">
        <f t="shared" si="3"/>
        <v>0</v>
      </c>
    </row>
    <row r="55" spans="1:16" x14ac:dyDescent="0.25">
      <c r="A55" t="s">
        <v>114</v>
      </c>
      <c r="B55">
        <v>28</v>
      </c>
      <c r="C55">
        <v>3</v>
      </c>
      <c r="D55" t="s">
        <v>193</v>
      </c>
      <c r="E55">
        <v>0</v>
      </c>
      <c r="F55">
        <f t="shared" si="4"/>
        <v>0</v>
      </c>
      <c r="G55">
        <v>0</v>
      </c>
      <c r="H55">
        <f t="shared" si="4"/>
        <v>0</v>
      </c>
      <c r="I55">
        <v>5</v>
      </c>
      <c r="J55">
        <f t="shared" si="0"/>
        <v>1</v>
      </c>
      <c r="K55">
        <v>0</v>
      </c>
      <c r="L55">
        <f t="shared" si="1"/>
        <v>0</v>
      </c>
      <c r="M55">
        <v>0</v>
      </c>
      <c r="N55">
        <f t="shared" si="2"/>
        <v>0</v>
      </c>
      <c r="O55">
        <v>0</v>
      </c>
      <c r="P55">
        <f t="shared" si="3"/>
        <v>0</v>
      </c>
    </row>
    <row r="56" spans="1:16" x14ac:dyDescent="0.25">
      <c r="A56" t="s">
        <v>116</v>
      </c>
      <c r="B56">
        <v>32</v>
      </c>
      <c r="C56">
        <v>3</v>
      </c>
      <c r="D56" t="s">
        <v>194</v>
      </c>
      <c r="E56">
        <v>0</v>
      </c>
      <c r="F56">
        <f t="shared" si="4"/>
        <v>0</v>
      </c>
      <c r="G56">
        <v>0</v>
      </c>
      <c r="H56">
        <f t="shared" si="4"/>
        <v>0</v>
      </c>
      <c r="I56">
        <v>5</v>
      </c>
      <c r="J56">
        <f t="shared" si="0"/>
        <v>1</v>
      </c>
      <c r="K56">
        <v>0</v>
      </c>
      <c r="L56">
        <f t="shared" si="1"/>
        <v>0</v>
      </c>
      <c r="M56">
        <v>0</v>
      </c>
      <c r="N56">
        <f t="shared" si="2"/>
        <v>0</v>
      </c>
      <c r="O56">
        <v>0</v>
      </c>
      <c r="P56">
        <f t="shared" si="3"/>
        <v>0</v>
      </c>
    </row>
    <row r="57" spans="1:16" x14ac:dyDescent="0.25">
      <c r="A57" t="s">
        <v>114</v>
      </c>
      <c r="B57">
        <v>62</v>
      </c>
      <c r="C57">
        <v>11</v>
      </c>
      <c r="D57" t="s">
        <v>195</v>
      </c>
      <c r="E57">
        <v>0</v>
      </c>
      <c r="F57">
        <f t="shared" si="4"/>
        <v>0</v>
      </c>
      <c r="G57">
        <v>0</v>
      </c>
      <c r="H57">
        <f t="shared" si="4"/>
        <v>0</v>
      </c>
      <c r="I57">
        <v>5</v>
      </c>
      <c r="J57">
        <f t="shared" si="0"/>
        <v>1</v>
      </c>
      <c r="K57">
        <v>0</v>
      </c>
      <c r="L57">
        <f t="shared" si="1"/>
        <v>0</v>
      </c>
      <c r="M57">
        <v>0</v>
      </c>
      <c r="N57">
        <f t="shared" si="2"/>
        <v>0</v>
      </c>
      <c r="O57">
        <v>0</v>
      </c>
      <c r="P57">
        <f t="shared" si="3"/>
        <v>0</v>
      </c>
    </row>
    <row r="58" spans="1:16" x14ac:dyDescent="0.25">
      <c r="A58" t="s">
        <v>116</v>
      </c>
      <c r="B58">
        <v>27</v>
      </c>
      <c r="C58">
        <v>5</v>
      </c>
      <c r="D58" t="s">
        <v>196</v>
      </c>
      <c r="E58">
        <v>0</v>
      </c>
      <c r="F58">
        <f t="shared" si="4"/>
        <v>0</v>
      </c>
      <c r="G58">
        <v>0</v>
      </c>
      <c r="H58">
        <f t="shared" si="4"/>
        <v>0</v>
      </c>
      <c r="I58">
        <v>5</v>
      </c>
      <c r="J58">
        <f t="shared" si="0"/>
        <v>1</v>
      </c>
      <c r="K58">
        <v>0</v>
      </c>
      <c r="L58">
        <f t="shared" si="1"/>
        <v>0</v>
      </c>
      <c r="M58">
        <v>0</v>
      </c>
      <c r="N58">
        <f t="shared" si="2"/>
        <v>0</v>
      </c>
      <c r="O58">
        <v>0</v>
      </c>
      <c r="P58">
        <f t="shared" si="3"/>
        <v>0</v>
      </c>
    </row>
    <row r="59" spans="1:16" x14ac:dyDescent="0.25">
      <c r="A59" t="s">
        <v>114</v>
      </c>
      <c r="B59">
        <v>4</v>
      </c>
      <c r="C59">
        <v>9</v>
      </c>
      <c r="D59" t="s">
        <v>197</v>
      </c>
      <c r="E59">
        <v>0</v>
      </c>
      <c r="F59">
        <f t="shared" si="4"/>
        <v>0</v>
      </c>
      <c r="G59">
        <v>0</v>
      </c>
      <c r="H59">
        <f t="shared" si="4"/>
        <v>0</v>
      </c>
      <c r="I59">
        <v>5</v>
      </c>
      <c r="J59">
        <f t="shared" si="0"/>
        <v>1</v>
      </c>
      <c r="K59">
        <v>0</v>
      </c>
      <c r="L59">
        <f t="shared" si="1"/>
        <v>0</v>
      </c>
      <c r="M59">
        <v>0</v>
      </c>
      <c r="N59">
        <f t="shared" si="2"/>
        <v>0</v>
      </c>
      <c r="O59">
        <v>0</v>
      </c>
      <c r="P59">
        <f t="shared" si="3"/>
        <v>0</v>
      </c>
    </row>
    <row r="60" spans="1:16" x14ac:dyDescent="0.25">
      <c r="A60" t="s">
        <v>114</v>
      </c>
      <c r="B60">
        <v>110</v>
      </c>
      <c r="C60">
        <v>3</v>
      </c>
      <c r="D60" t="s">
        <v>198</v>
      </c>
      <c r="E60">
        <v>0</v>
      </c>
      <c r="F60">
        <f t="shared" si="4"/>
        <v>0</v>
      </c>
      <c r="G60">
        <v>0</v>
      </c>
      <c r="H60">
        <f t="shared" si="4"/>
        <v>0</v>
      </c>
      <c r="I60">
        <v>5</v>
      </c>
      <c r="J60">
        <f t="shared" si="0"/>
        <v>1</v>
      </c>
      <c r="K60">
        <v>0</v>
      </c>
      <c r="L60">
        <f t="shared" si="1"/>
        <v>0</v>
      </c>
      <c r="M60">
        <v>0</v>
      </c>
      <c r="N60">
        <f t="shared" si="2"/>
        <v>0</v>
      </c>
      <c r="O60">
        <v>0</v>
      </c>
      <c r="P60">
        <f t="shared" si="3"/>
        <v>0</v>
      </c>
    </row>
    <row r="61" spans="1:16" x14ac:dyDescent="0.25">
      <c r="A61" t="s">
        <v>114</v>
      </c>
      <c r="B61">
        <v>116</v>
      </c>
      <c r="C61">
        <v>16</v>
      </c>
      <c r="D61" t="s">
        <v>199</v>
      </c>
      <c r="E61">
        <v>0</v>
      </c>
      <c r="F61">
        <f t="shared" si="4"/>
        <v>0</v>
      </c>
      <c r="G61">
        <v>0</v>
      </c>
      <c r="H61">
        <f t="shared" si="4"/>
        <v>0</v>
      </c>
      <c r="I61">
        <v>5</v>
      </c>
      <c r="J61">
        <f t="shared" si="0"/>
        <v>1</v>
      </c>
      <c r="K61">
        <v>0</v>
      </c>
      <c r="L61">
        <f t="shared" si="1"/>
        <v>0</v>
      </c>
      <c r="M61">
        <v>0</v>
      </c>
      <c r="N61">
        <f t="shared" si="2"/>
        <v>0</v>
      </c>
      <c r="O61">
        <v>0</v>
      </c>
      <c r="P61">
        <f t="shared" si="3"/>
        <v>0</v>
      </c>
    </row>
    <row r="62" spans="1:16" x14ac:dyDescent="0.25">
      <c r="A62" t="s">
        <v>114</v>
      </c>
      <c r="B62">
        <v>59</v>
      </c>
      <c r="C62">
        <v>1</v>
      </c>
      <c r="D62" t="s">
        <v>200</v>
      </c>
      <c r="E62">
        <v>0</v>
      </c>
      <c r="F62">
        <f t="shared" si="4"/>
        <v>0</v>
      </c>
      <c r="G62">
        <v>0</v>
      </c>
      <c r="H62">
        <f t="shared" si="4"/>
        <v>0</v>
      </c>
      <c r="I62">
        <v>5</v>
      </c>
      <c r="J62">
        <f t="shared" si="0"/>
        <v>1</v>
      </c>
      <c r="K62">
        <v>0</v>
      </c>
      <c r="L62">
        <f t="shared" si="1"/>
        <v>0</v>
      </c>
      <c r="M62">
        <v>0</v>
      </c>
      <c r="N62">
        <f t="shared" si="2"/>
        <v>0</v>
      </c>
      <c r="O62">
        <v>0</v>
      </c>
      <c r="P62">
        <f t="shared" si="3"/>
        <v>0</v>
      </c>
    </row>
    <row r="63" spans="1:16" x14ac:dyDescent="0.25">
      <c r="A63" t="s">
        <v>114</v>
      </c>
      <c r="B63">
        <v>69</v>
      </c>
      <c r="C63">
        <v>4</v>
      </c>
      <c r="D63" t="s">
        <v>201</v>
      </c>
      <c r="E63">
        <v>0</v>
      </c>
      <c r="F63">
        <f t="shared" si="4"/>
        <v>0</v>
      </c>
      <c r="G63">
        <v>0</v>
      </c>
      <c r="H63">
        <f t="shared" si="4"/>
        <v>0</v>
      </c>
      <c r="I63">
        <v>5</v>
      </c>
      <c r="J63">
        <f t="shared" si="0"/>
        <v>1</v>
      </c>
      <c r="K63">
        <v>0</v>
      </c>
      <c r="L63">
        <f t="shared" si="1"/>
        <v>0</v>
      </c>
      <c r="M63">
        <v>0</v>
      </c>
      <c r="N63">
        <f t="shared" si="2"/>
        <v>0</v>
      </c>
      <c r="O63">
        <v>0</v>
      </c>
      <c r="P63">
        <f t="shared" si="3"/>
        <v>0</v>
      </c>
    </row>
    <row r="64" spans="1:16" x14ac:dyDescent="0.25">
      <c r="A64" t="s">
        <v>114</v>
      </c>
      <c r="B64">
        <v>86</v>
      </c>
      <c r="C64">
        <v>2</v>
      </c>
      <c r="D64" t="s">
        <v>202</v>
      </c>
      <c r="E64">
        <v>0</v>
      </c>
      <c r="F64">
        <f t="shared" si="4"/>
        <v>0</v>
      </c>
      <c r="G64">
        <v>0</v>
      </c>
      <c r="H64">
        <f t="shared" si="4"/>
        <v>0</v>
      </c>
      <c r="I64">
        <v>0</v>
      </c>
      <c r="J64">
        <f t="shared" si="0"/>
        <v>0</v>
      </c>
      <c r="K64">
        <v>5</v>
      </c>
      <c r="L64">
        <f t="shared" si="1"/>
        <v>1</v>
      </c>
      <c r="M64">
        <v>0</v>
      </c>
      <c r="N64">
        <f t="shared" si="2"/>
        <v>0</v>
      </c>
      <c r="O64">
        <v>0</v>
      </c>
      <c r="P64">
        <f t="shared" si="3"/>
        <v>0</v>
      </c>
    </row>
    <row r="65" spans="1:16" x14ac:dyDescent="0.25">
      <c r="A65" t="s">
        <v>114</v>
      </c>
      <c r="B65">
        <v>80</v>
      </c>
      <c r="C65">
        <v>15</v>
      </c>
      <c r="D65" t="s">
        <v>203</v>
      </c>
      <c r="E65">
        <v>0</v>
      </c>
      <c r="F65">
        <f t="shared" si="4"/>
        <v>0</v>
      </c>
      <c r="G65">
        <v>0</v>
      </c>
      <c r="H65">
        <f t="shared" si="4"/>
        <v>0</v>
      </c>
      <c r="I65">
        <v>0</v>
      </c>
      <c r="J65">
        <f t="shared" si="0"/>
        <v>0</v>
      </c>
      <c r="K65">
        <v>5</v>
      </c>
      <c r="L65">
        <f t="shared" si="1"/>
        <v>1</v>
      </c>
      <c r="M65">
        <v>0</v>
      </c>
      <c r="N65">
        <f t="shared" si="2"/>
        <v>0</v>
      </c>
      <c r="O65">
        <v>0</v>
      </c>
      <c r="P65">
        <f t="shared" si="3"/>
        <v>0</v>
      </c>
    </row>
    <row r="66" spans="1:16" x14ac:dyDescent="0.25">
      <c r="A66" t="s">
        <v>114</v>
      </c>
      <c r="B66">
        <v>35</v>
      </c>
      <c r="C66">
        <v>8</v>
      </c>
      <c r="D66" t="s">
        <v>204</v>
      </c>
      <c r="E66">
        <v>0</v>
      </c>
      <c r="F66">
        <f t="shared" si="4"/>
        <v>0</v>
      </c>
      <c r="G66">
        <v>0</v>
      </c>
      <c r="H66">
        <f t="shared" si="4"/>
        <v>0</v>
      </c>
      <c r="I66">
        <v>0</v>
      </c>
      <c r="J66">
        <f t="shared" ref="J66:J129" si="5">IF(I66=0,0,1)</f>
        <v>0</v>
      </c>
      <c r="K66">
        <v>5</v>
      </c>
      <c r="L66">
        <f t="shared" ref="L66:L129" si="6">IF(K66=0,0,1)</f>
        <v>1</v>
      </c>
      <c r="M66">
        <v>0</v>
      </c>
      <c r="N66">
        <f t="shared" ref="N66:N129" si="7">IF(M66=0,0,1)</f>
        <v>0</v>
      </c>
      <c r="O66">
        <v>0</v>
      </c>
      <c r="P66">
        <f t="shared" ref="P66:P129" si="8">IF(O66=0,0,1)</f>
        <v>0</v>
      </c>
    </row>
    <row r="67" spans="1:16" x14ac:dyDescent="0.25">
      <c r="A67" t="s">
        <v>114</v>
      </c>
      <c r="B67">
        <v>140</v>
      </c>
      <c r="C67">
        <v>4</v>
      </c>
      <c r="D67" t="s">
        <v>205</v>
      </c>
      <c r="E67">
        <v>0</v>
      </c>
      <c r="F67">
        <f t="shared" ref="F67:H130" si="9">IF(E67=0,0,1)</f>
        <v>0</v>
      </c>
      <c r="G67">
        <v>0</v>
      </c>
      <c r="H67">
        <f t="shared" si="9"/>
        <v>0</v>
      </c>
      <c r="I67">
        <v>0</v>
      </c>
      <c r="J67">
        <f t="shared" si="5"/>
        <v>0</v>
      </c>
      <c r="K67">
        <v>5</v>
      </c>
      <c r="L67">
        <f t="shared" si="6"/>
        <v>1</v>
      </c>
      <c r="M67">
        <v>0</v>
      </c>
      <c r="N67">
        <f t="shared" si="7"/>
        <v>0</v>
      </c>
      <c r="O67">
        <v>0</v>
      </c>
      <c r="P67">
        <f t="shared" si="8"/>
        <v>0</v>
      </c>
    </row>
    <row r="68" spans="1:16" x14ac:dyDescent="0.25">
      <c r="A68" t="s">
        <v>115</v>
      </c>
      <c r="B68">
        <v>1</v>
      </c>
      <c r="C68">
        <v>22</v>
      </c>
      <c r="D68" t="s">
        <v>206</v>
      </c>
      <c r="E68">
        <v>0</v>
      </c>
      <c r="F68">
        <f t="shared" si="9"/>
        <v>0</v>
      </c>
      <c r="G68">
        <v>0</v>
      </c>
      <c r="H68">
        <f t="shared" si="9"/>
        <v>0</v>
      </c>
      <c r="I68">
        <v>0</v>
      </c>
      <c r="J68">
        <f t="shared" si="5"/>
        <v>0</v>
      </c>
      <c r="K68">
        <v>5</v>
      </c>
      <c r="L68">
        <f t="shared" si="6"/>
        <v>1</v>
      </c>
      <c r="M68">
        <v>0</v>
      </c>
      <c r="N68">
        <f t="shared" si="7"/>
        <v>0</v>
      </c>
      <c r="O68">
        <v>0</v>
      </c>
      <c r="P68">
        <f t="shared" si="8"/>
        <v>0</v>
      </c>
    </row>
    <row r="69" spans="1:16" x14ac:dyDescent="0.25">
      <c r="A69" t="s">
        <v>114</v>
      </c>
      <c r="B69">
        <v>144</v>
      </c>
      <c r="C69">
        <v>13</v>
      </c>
      <c r="D69" t="s">
        <v>207</v>
      </c>
      <c r="E69">
        <v>0</v>
      </c>
      <c r="F69">
        <f t="shared" si="9"/>
        <v>0</v>
      </c>
      <c r="G69">
        <v>0</v>
      </c>
      <c r="H69">
        <f t="shared" si="9"/>
        <v>0</v>
      </c>
      <c r="I69">
        <v>0</v>
      </c>
      <c r="J69">
        <f t="shared" si="5"/>
        <v>0</v>
      </c>
      <c r="K69">
        <v>0</v>
      </c>
      <c r="L69">
        <f t="shared" si="6"/>
        <v>0</v>
      </c>
      <c r="M69">
        <v>5</v>
      </c>
      <c r="N69">
        <f t="shared" si="7"/>
        <v>1</v>
      </c>
      <c r="O69">
        <v>0</v>
      </c>
      <c r="P69">
        <f t="shared" si="8"/>
        <v>0</v>
      </c>
    </row>
    <row r="70" spans="1:16" x14ac:dyDescent="0.25">
      <c r="A70" t="s">
        <v>114</v>
      </c>
      <c r="B70">
        <v>45</v>
      </c>
      <c r="C70">
        <v>8</v>
      </c>
      <c r="D70" t="s">
        <v>208</v>
      </c>
      <c r="E70">
        <v>0</v>
      </c>
      <c r="F70">
        <f t="shared" si="9"/>
        <v>0</v>
      </c>
      <c r="G70">
        <v>0</v>
      </c>
      <c r="H70">
        <f t="shared" si="9"/>
        <v>0</v>
      </c>
      <c r="I70">
        <v>0</v>
      </c>
      <c r="J70">
        <f t="shared" si="5"/>
        <v>0</v>
      </c>
      <c r="K70">
        <v>0</v>
      </c>
      <c r="L70">
        <f t="shared" si="6"/>
        <v>0</v>
      </c>
      <c r="M70">
        <v>0</v>
      </c>
      <c r="N70">
        <f t="shared" si="7"/>
        <v>0</v>
      </c>
      <c r="O70">
        <v>0</v>
      </c>
      <c r="P70">
        <f t="shared" si="8"/>
        <v>0</v>
      </c>
    </row>
    <row r="71" spans="1:16" x14ac:dyDescent="0.25">
      <c r="A71" t="s">
        <v>114</v>
      </c>
      <c r="B71">
        <v>13</v>
      </c>
      <c r="C71">
        <v>6</v>
      </c>
      <c r="D71" t="s">
        <v>209</v>
      </c>
      <c r="E71">
        <v>0</v>
      </c>
      <c r="F71">
        <f t="shared" si="9"/>
        <v>0</v>
      </c>
      <c r="G71">
        <v>0</v>
      </c>
      <c r="H71">
        <f t="shared" si="9"/>
        <v>0</v>
      </c>
      <c r="I71">
        <v>0</v>
      </c>
      <c r="J71">
        <f t="shared" si="5"/>
        <v>0</v>
      </c>
      <c r="K71">
        <v>0</v>
      </c>
      <c r="L71">
        <f t="shared" si="6"/>
        <v>0</v>
      </c>
      <c r="M71">
        <v>0</v>
      </c>
      <c r="N71">
        <f t="shared" si="7"/>
        <v>0</v>
      </c>
      <c r="O71">
        <v>7</v>
      </c>
      <c r="P71">
        <f t="shared" si="8"/>
        <v>1</v>
      </c>
    </row>
    <row r="72" spans="1:16" x14ac:dyDescent="0.25">
      <c r="A72" t="s">
        <v>114</v>
      </c>
      <c r="B72">
        <v>70</v>
      </c>
      <c r="C72">
        <v>6</v>
      </c>
      <c r="D72" t="s">
        <v>210</v>
      </c>
      <c r="E72">
        <v>0</v>
      </c>
      <c r="F72">
        <f t="shared" si="9"/>
        <v>0</v>
      </c>
      <c r="G72">
        <v>0</v>
      </c>
      <c r="H72">
        <f t="shared" si="9"/>
        <v>0</v>
      </c>
      <c r="I72">
        <v>7</v>
      </c>
      <c r="J72">
        <f t="shared" si="5"/>
        <v>1</v>
      </c>
      <c r="K72">
        <v>0</v>
      </c>
      <c r="L72">
        <f t="shared" si="6"/>
        <v>0</v>
      </c>
      <c r="M72">
        <v>0</v>
      </c>
      <c r="N72">
        <f t="shared" si="7"/>
        <v>0</v>
      </c>
      <c r="O72">
        <v>0</v>
      </c>
      <c r="P72">
        <f t="shared" si="8"/>
        <v>0</v>
      </c>
    </row>
    <row r="73" spans="1:16" x14ac:dyDescent="0.25">
      <c r="A73" t="s">
        <v>114</v>
      </c>
      <c r="B73">
        <v>40</v>
      </c>
      <c r="C73">
        <v>18</v>
      </c>
      <c r="D73" t="s">
        <v>210</v>
      </c>
      <c r="E73">
        <v>0</v>
      </c>
      <c r="F73">
        <f t="shared" si="9"/>
        <v>0</v>
      </c>
      <c r="G73">
        <v>0</v>
      </c>
      <c r="H73">
        <f t="shared" si="9"/>
        <v>0</v>
      </c>
      <c r="I73">
        <v>7</v>
      </c>
      <c r="J73">
        <f t="shared" si="5"/>
        <v>1</v>
      </c>
      <c r="K73">
        <v>0</v>
      </c>
      <c r="L73">
        <f t="shared" si="6"/>
        <v>0</v>
      </c>
      <c r="M73">
        <v>0</v>
      </c>
      <c r="N73">
        <f t="shared" si="7"/>
        <v>0</v>
      </c>
      <c r="O73">
        <v>0</v>
      </c>
      <c r="P73">
        <f t="shared" si="8"/>
        <v>0</v>
      </c>
    </row>
    <row r="74" spans="1:16" x14ac:dyDescent="0.25">
      <c r="A74" t="s">
        <v>114</v>
      </c>
      <c r="B74">
        <v>71</v>
      </c>
      <c r="C74">
        <v>22</v>
      </c>
      <c r="D74" t="s">
        <v>210</v>
      </c>
      <c r="E74">
        <v>0</v>
      </c>
      <c r="F74">
        <f t="shared" si="9"/>
        <v>0</v>
      </c>
      <c r="G74">
        <v>0</v>
      </c>
      <c r="H74">
        <f t="shared" si="9"/>
        <v>0</v>
      </c>
      <c r="I74">
        <v>7</v>
      </c>
      <c r="J74">
        <f t="shared" si="5"/>
        <v>1</v>
      </c>
      <c r="K74">
        <v>0</v>
      </c>
      <c r="L74">
        <f t="shared" si="6"/>
        <v>0</v>
      </c>
      <c r="M74">
        <v>0</v>
      </c>
      <c r="N74">
        <f t="shared" si="7"/>
        <v>0</v>
      </c>
      <c r="O74">
        <v>0</v>
      </c>
      <c r="P74">
        <f t="shared" si="8"/>
        <v>0</v>
      </c>
    </row>
    <row r="75" spans="1:16" x14ac:dyDescent="0.25">
      <c r="A75" t="s">
        <v>114</v>
      </c>
      <c r="B75">
        <v>69</v>
      </c>
      <c r="C75">
        <v>5</v>
      </c>
      <c r="D75" t="s">
        <v>211</v>
      </c>
      <c r="E75">
        <v>0</v>
      </c>
      <c r="F75">
        <f t="shared" si="9"/>
        <v>0</v>
      </c>
      <c r="G75">
        <v>0</v>
      </c>
      <c r="H75">
        <f t="shared" si="9"/>
        <v>0</v>
      </c>
      <c r="I75">
        <v>7</v>
      </c>
      <c r="J75">
        <f t="shared" si="5"/>
        <v>1</v>
      </c>
      <c r="K75">
        <v>0</v>
      </c>
      <c r="L75">
        <f t="shared" si="6"/>
        <v>0</v>
      </c>
      <c r="M75">
        <v>0</v>
      </c>
      <c r="N75">
        <f t="shared" si="7"/>
        <v>0</v>
      </c>
      <c r="O75">
        <v>0</v>
      </c>
      <c r="P75">
        <f t="shared" si="8"/>
        <v>0</v>
      </c>
    </row>
    <row r="76" spans="1:16" x14ac:dyDescent="0.25">
      <c r="A76" t="s">
        <v>114</v>
      </c>
      <c r="B76">
        <v>27</v>
      </c>
      <c r="C76">
        <v>4</v>
      </c>
      <c r="D76" t="s">
        <v>212</v>
      </c>
      <c r="E76">
        <v>0</v>
      </c>
      <c r="F76">
        <f t="shared" si="9"/>
        <v>0</v>
      </c>
      <c r="G76">
        <v>0</v>
      </c>
      <c r="H76">
        <f t="shared" si="9"/>
        <v>0</v>
      </c>
      <c r="I76">
        <v>7</v>
      </c>
      <c r="J76">
        <f t="shared" si="5"/>
        <v>1</v>
      </c>
      <c r="K76">
        <v>0</v>
      </c>
      <c r="L76">
        <f t="shared" si="6"/>
        <v>0</v>
      </c>
      <c r="M76">
        <v>0</v>
      </c>
      <c r="N76">
        <f t="shared" si="7"/>
        <v>0</v>
      </c>
      <c r="O76">
        <v>0</v>
      </c>
      <c r="P76">
        <f t="shared" si="8"/>
        <v>0</v>
      </c>
    </row>
    <row r="77" spans="1:16" x14ac:dyDescent="0.25">
      <c r="A77" t="s">
        <v>114</v>
      </c>
      <c r="B77">
        <v>43</v>
      </c>
      <c r="C77">
        <v>2</v>
      </c>
      <c r="D77" t="s">
        <v>213</v>
      </c>
      <c r="E77">
        <v>0</v>
      </c>
      <c r="F77">
        <f t="shared" si="9"/>
        <v>0</v>
      </c>
      <c r="G77">
        <v>0</v>
      </c>
      <c r="H77">
        <f t="shared" si="9"/>
        <v>0</v>
      </c>
      <c r="I77">
        <v>7</v>
      </c>
      <c r="J77">
        <f t="shared" si="5"/>
        <v>1</v>
      </c>
      <c r="K77">
        <v>0</v>
      </c>
      <c r="L77">
        <f t="shared" si="6"/>
        <v>0</v>
      </c>
      <c r="M77">
        <v>0</v>
      </c>
      <c r="N77">
        <f t="shared" si="7"/>
        <v>0</v>
      </c>
      <c r="O77">
        <v>0</v>
      </c>
      <c r="P77">
        <f t="shared" si="8"/>
        <v>0</v>
      </c>
    </row>
    <row r="78" spans="1:16" x14ac:dyDescent="0.25">
      <c r="A78" t="s">
        <v>116</v>
      </c>
      <c r="B78">
        <v>7</v>
      </c>
      <c r="C78">
        <v>21</v>
      </c>
      <c r="D78" t="s">
        <v>214</v>
      </c>
      <c r="E78">
        <v>0</v>
      </c>
      <c r="F78">
        <f t="shared" si="9"/>
        <v>0</v>
      </c>
      <c r="G78">
        <v>0</v>
      </c>
      <c r="H78">
        <f t="shared" si="9"/>
        <v>0</v>
      </c>
      <c r="I78">
        <v>7</v>
      </c>
      <c r="J78">
        <f t="shared" si="5"/>
        <v>1</v>
      </c>
      <c r="K78">
        <v>0</v>
      </c>
      <c r="L78">
        <f t="shared" si="6"/>
        <v>0</v>
      </c>
      <c r="M78">
        <v>0</v>
      </c>
      <c r="N78">
        <f t="shared" si="7"/>
        <v>0</v>
      </c>
      <c r="O78">
        <v>0</v>
      </c>
      <c r="P78">
        <f t="shared" si="8"/>
        <v>0</v>
      </c>
    </row>
    <row r="79" spans="1:16" x14ac:dyDescent="0.25">
      <c r="A79" t="s">
        <v>114</v>
      </c>
      <c r="B79">
        <v>52</v>
      </c>
      <c r="C79">
        <v>2</v>
      </c>
      <c r="D79" t="s">
        <v>215</v>
      </c>
      <c r="E79">
        <v>0</v>
      </c>
      <c r="F79">
        <f t="shared" si="9"/>
        <v>0</v>
      </c>
      <c r="G79">
        <v>0</v>
      </c>
      <c r="H79">
        <f t="shared" si="9"/>
        <v>0</v>
      </c>
      <c r="I79">
        <v>7</v>
      </c>
      <c r="J79">
        <f t="shared" si="5"/>
        <v>1</v>
      </c>
      <c r="K79">
        <v>0</v>
      </c>
      <c r="L79">
        <f t="shared" si="6"/>
        <v>0</v>
      </c>
      <c r="M79">
        <v>0</v>
      </c>
      <c r="N79">
        <f t="shared" si="7"/>
        <v>0</v>
      </c>
      <c r="O79">
        <v>0</v>
      </c>
      <c r="P79">
        <f t="shared" si="8"/>
        <v>0</v>
      </c>
    </row>
    <row r="80" spans="1:16" x14ac:dyDescent="0.25">
      <c r="A80" t="s">
        <v>114</v>
      </c>
      <c r="B80">
        <v>55</v>
      </c>
      <c r="C80">
        <v>22</v>
      </c>
      <c r="D80" t="s">
        <v>216</v>
      </c>
      <c r="E80">
        <v>0</v>
      </c>
      <c r="F80">
        <f t="shared" si="9"/>
        <v>0</v>
      </c>
      <c r="G80">
        <v>0</v>
      </c>
      <c r="H80">
        <f t="shared" si="9"/>
        <v>0</v>
      </c>
      <c r="I80">
        <v>0</v>
      </c>
      <c r="J80">
        <f t="shared" si="5"/>
        <v>0</v>
      </c>
      <c r="K80">
        <v>7</v>
      </c>
      <c r="L80">
        <f t="shared" si="6"/>
        <v>1</v>
      </c>
      <c r="M80">
        <v>0</v>
      </c>
      <c r="N80">
        <f t="shared" si="7"/>
        <v>0</v>
      </c>
      <c r="O80">
        <v>0</v>
      </c>
      <c r="P80">
        <f t="shared" si="8"/>
        <v>0</v>
      </c>
    </row>
    <row r="81" spans="1:16" x14ac:dyDescent="0.25">
      <c r="A81" t="s">
        <v>114</v>
      </c>
      <c r="B81">
        <v>15</v>
      </c>
      <c r="C81">
        <v>5</v>
      </c>
      <c r="D81" t="s">
        <v>217</v>
      </c>
      <c r="E81">
        <v>0</v>
      </c>
      <c r="F81">
        <f t="shared" si="9"/>
        <v>0</v>
      </c>
      <c r="G81">
        <v>0</v>
      </c>
      <c r="H81">
        <f t="shared" si="9"/>
        <v>0</v>
      </c>
      <c r="I81">
        <v>0</v>
      </c>
      <c r="J81">
        <f t="shared" si="5"/>
        <v>0</v>
      </c>
      <c r="K81">
        <v>0</v>
      </c>
      <c r="L81">
        <f t="shared" si="6"/>
        <v>0</v>
      </c>
      <c r="M81">
        <v>7</v>
      </c>
      <c r="N81">
        <f t="shared" si="7"/>
        <v>1</v>
      </c>
      <c r="O81">
        <v>0</v>
      </c>
      <c r="P81">
        <f t="shared" si="8"/>
        <v>0</v>
      </c>
    </row>
    <row r="82" spans="1:16" x14ac:dyDescent="0.25">
      <c r="A82" t="s">
        <v>114</v>
      </c>
      <c r="B82">
        <v>59</v>
      </c>
      <c r="C82">
        <v>17</v>
      </c>
      <c r="D82" t="s">
        <v>218</v>
      </c>
      <c r="E82">
        <v>0</v>
      </c>
      <c r="F82">
        <f t="shared" si="9"/>
        <v>0</v>
      </c>
      <c r="G82">
        <v>0</v>
      </c>
      <c r="H82">
        <f t="shared" si="9"/>
        <v>0</v>
      </c>
      <c r="I82">
        <v>0</v>
      </c>
      <c r="J82">
        <f t="shared" si="5"/>
        <v>0</v>
      </c>
      <c r="K82">
        <v>0</v>
      </c>
      <c r="L82">
        <f t="shared" si="6"/>
        <v>0</v>
      </c>
      <c r="M82">
        <v>7</v>
      </c>
      <c r="N82">
        <f t="shared" si="7"/>
        <v>1</v>
      </c>
      <c r="O82">
        <v>0</v>
      </c>
      <c r="P82">
        <f t="shared" si="8"/>
        <v>0</v>
      </c>
    </row>
    <row r="83" spans="1:16" x14ac:dyDescent="0.25">
      <c r="A83" t="s">
        <v>114</v>
      </c>
      <c r="B83">
        <v>143</v>
      </c>
      <c r="C83">
        <v>10</v>
      </c>
      <c r="D83" t="s">
        <v>219</v>
      </c>
      <c r="E83">
        <v>0</v>
      </c>
      <c r="F83">
        <f t="shared" si="9"/>
        <v>0</v>
      </c>
      <c r="G83">
        <v>0</v>
      </c>
      <c r="H83">
        <f t="shared" si="9"/>
        <v>0</v>
      </c>
      <c r="I83">
        <v>0</v>
      </c>
      <c r="J83">
        <f t="shared" si="5"/>
        <v>0</v>
      </c>
      <c r="K83">
        <v>9</v>
      </c>
      <c r="L83">
        <f t="shared" si="6"/>
        <v>1</v>
      </c>
      <c r="M83">
        <v>0</v>
      </c>
      <c r="N83">
        <f t="shared" si="7"/>
        <v>0</v>
      </c>
      <c r="O83">
        <v>0</v>
      </c>
      <c r="P83">
        <f t="shared" si="8"/>
        <v>0</v>
      </c>
    </row>
    <row r="84" spans="1:16" x14ac:dyDescent="0.25">
      <c r="A84" t="s">
        <v>114</v>
      </c>
      <c r="B84">
        <v>101</v>
      </c>
      <c r="C84">
        <v>6</v>
      </c>
      <c r="D84" t="s">
        <v>220</v>
      </c>
      <c r="E84">
        <v>0</v>
      </c>
      <c r="F84">
        <f t="shared" si="9"/>
        <v>0</v>
      </c>
      <c r="G84">
        <v>0</v>
      </c>
      <c r="H84">
        <f t="shared" si="9"/>
        <v>0</v>
      </c>
      <c r="I84">
        <v>7</v>
      </c>
      <c r="J84">
        <f t="shared" si="5"/>
        <v>1</v>
      </c>
      <c r="K84">
        <v>0</v>
      </c>
      <c r="L84">
        <f t="shared" si="6"/>
        <v>0</v>
      </c>
      <c r="M84">
        <v>0</v>
      </c>
      <c r="N84">
        <f t="shared" si="7"/>
        <v>0</v>
      </c>
      <c r="O84">
        <v>0</v>
      </c>
      <c r="P84">
        <f t="shared" si="8"/>
        <v>0</v>
      </c>
    </row>
    <row r="85" spans="1:16" x14ac:dyDescent="0.25">
      <c r="A85" t="s">
        <v>114</v>
      </c>
      <c r="B85">
        <v>142</v>
      </c>
      <c r="C85">
        <v>7</v>
      </c>
      <c r="D85" t="s">
        <v>221</v>
      </c>
      <c r="E85">
        <v>0</v>
      </c>
      <c r="F85">
        <f t="shared" si="9"/>
        <v>0</v>
      </c>
      <c r="G85">
        <v>0</v>
      </c>
      <c r="H85">
        <f t="shared" si="9"/>
        <v>0</v>
      </c>
      <c r="I85">
        <v>0</v>
      </c>
      <c r="J85">
        <f t="shared" si="5"/>
        <v>0</v>
      </c>
      <c r="K85">
        <v>7</v>
      </c>
      <c r="L85">
        <f t="shared" si="6"/>
        <v>1</v>
      </c>
      <c r="M85">
        <v>0</v>
      </c>
      <c r="N85">
        <f t="shared" si="7"/>
        <v>0</v>
      </c>
      <c r="O85">
        <v>0</v>
      </c>
      <c r="P85">
        <f t="shared" si="8"/>
        <v>0</v>
      </c>
    </row>
    <row r="86" spans="1:16" x14ac:dyDescent="0.25">
      <c r="A86" t="s">
        <v>114</v>
      </c>
      <c r="B86">
        <v>18</v>
      </c>
      <c r="C86">
        <v>7</v>
      </c>
      <c r="D86" t="s">
        <v>222</v>
      </c>
      <c r="E86">
        <v>0</v>
      </c>
      <c r="F86">
        <f t="shared" si="9"/>
        <v>0</v>
      </c>
      <c r="G86">
        <v>0</v>
      </c>
      <c r="H86">
        <f t="shared" si="9"/>
        <v>0</v>
      </c>
      <c r="I86">
        <v>10</v>
      </c>
      <c r="J86">
        <f t="shared" si="5"/>
        <v>1</v>
      </c>
      <c r="K86">
        <v>0</v>
      </c>
      <c r="L86">
        <f t="shared" si="6"/>
        <v>0</v>
      </c>
      <c r="M86">
        <v>0</v>
      </c>
      <c r="N86">
        <f t="shared" si="7"/>
        <v>0</v>
      </c>
      <c r="O86">
        <v>0</v>
      </c>
      <c r="P86">
        <f t="shared" si="8"/>
        <v>0</v>
      </c>
    </row>
    <row r="87" spans="1:16" x14ac:dyDescent="0.25">
      <c r="A87" t="s">
        <v>114</v>
      </c>
      <c r="B87">
        <v>62</v>
      </c>
      <c r="C87">
        <v>4</v>
      </c>
      <c r="D87" t="s">
        <v>223</v>
      </c>
      <c r="E87">
        <v>0</v>
      </c>
      <c r="F87">
        <f t="shared" si="9"/>
        <v>0</v>
      </c>
      <c r="G87">
        <v>0</v>
      </c>
      <c r="H87">
        <f t="shared" si="9"/>
        <v>0</v>
      </c>
      <c r="I87">
        <v>10</v>
      </c>
      <c r="J87">
        <f t="shared" si="5"/>
        <v>1</v>
      </c>
      <c r="K87">
        <v>0</v>
      </c>
      <c r="L87">
        <f t="shared" si="6"/>
        <v>0</v>
      </c>
      <c r="M87">
        <v>0</v>
      </c>
      <c r="N87">
        <f t="shared" si="7"/>
        <v>0</v>
      </c>
      <c r="O87">
        <v>0</v>
      </c>
      <c r="P87">
        <f t="shared" si="8"/>
        <v>0</v>
      </c>
    </row>
    <row r="88" spans="1:16" x14ac:dyDescent="0.25">
      <c r="A88" t="s">
        <v>114</v>
      </c>
      <c r="B88">
        <v>65</v>
      </c>
      <c r="C88">
        <v>5</v>
      </c>
      <c r="D88" t="s">
        <v>224</v>
      </c>
      <c r="E88">
        <v>0</v>
      </c>
      <c r="F88">
        <f t="shared" si="9"/>
        <v>0</v>
      </c>
      <c r="G88">
        <v>0</v>
      </c>
      <c r="H88">
        <f t="shared" si="9"/>
        <v>0</v>
      </c>
      <c r="I88">
        <v>10</v>
      </c>
      <c r="J88">
        <f t="shared" si="5"/>
        <v>1</v>
      </c>
      <c r="K88">
        <v>0</v>
      </c>
      <c r="L88">
        <f t="shared" si="6"/>
        <v>0</v>
      </c>
      <c r="M88">
        <v>0</v>
      </c>
      <c r="N88">
        <f t="shared" si="7"/>
        <v>0</v>
      </c>
      <c r="O88">
        <v>0</v>
      </c>
      <c r="P88">
        <f t="shared" si="8"/>
        <v>0</v>
      </c>
    </row>
    <row r="89" spans="1:16" x14ac:dyDescent="0.25">
      <c r="A89" t="s">
        <v>116</v>
      </c>
      <c r="B89">
        <v>30</v>
      </c>
      <c r="C89">
        <v>1</v>
      </c>
      <c r="D89" t="s">
        <v>225</v>
      </c>
      <c r="E89">
        <v>0</v>
      </c>
      <c r="F89">
        <f t="shared" si="9"/>
        <v>0</v>
      </c>
      <c r="G89">
        <v>0</v>
      </c>
      <c r="H89">
        <f t="shared" si="9"/>
        <v>0</v>
      </c>
      <c r="I89">
        <v>0</v>
      </c>
      <c r="J89">
        <f t="shared" si="5"/>
        <v>0</v>
      </c>
      <c r="K89">
        <v>0</v>
      </c>
      <c r="L89">
        <f t="shared" si="6"/>
        <v>0</v>
      </c>
      <c r="M89">
        <v>10</v>
      </c>
      <c r="N89">
        <f t="shared" si="7"/>
        <v>1</v>
      </c>
      <c r="O89">
        <v>0</v>
      </c>
      <c r="P89">
        <f t="shared" si="8"/>
        <v>0</v>
      </c>
    </row>
    <row r="90" spans="1:16" x14ac:dyDescent="0.25">
      <c r="A90" t="s">
        <v>114</v>
      </c>
      <c r="B90">
        <v>28</v>
      </c>
      <c r="C90">
        <v>7</v>
      </c>
      <c r="D90" t="s">
        <v>226</v>
      </c>
      <c r="E90">
        <v>0</v>
      </c>
      <c r="F90">
        <f t="shared" si="9"/>
        <v>0</v>
      </c>
      <c r="G90">
        <v>0</v>
      </c>
      <c r="H90">
        <f t="shared" si="9"/>
        <v>0</v>
      </c>
      <c r="I90">
        <v>0</v>
      </c>
      <c r="J90">
        <f t="shared" si="5"/>
        <v>0</v>
      </c>
      <c r="K90">
        <v>0</v>
      </c>
      <c r="L90">
        <f t="shared" si="6"/>
        <v>0</v>
      </c>
      <c r="M90">
        <v>0</v>
      </c>
      <c r="N90">
        <f t="shared" si="7"/>
        <v>0</v>
      </c>
      <c r="O90">
        <v>8</v>
      </c>
      <c r="P90">
        <f t="shared" si="8"/>
        <v>1</v>
      </c>
    </row>
    <row r="91" spans="1:16" x14ac:dyDescent="0.25">
      <c r="A91" t="s">
        <v>114</v>
      </c>
      <c r="B91">
        <v>32</v>
      </c>
      <c r="C91">
        <v>9</v>
      </c>
      <c r="D91" t="s">
        <v>227</v>
      </c>
      <c r="E91">
        <v>0</v>
      </c>
      <c r="F91">
        <f t="shared" si="9"/>
        <v>0</v>
      </c>
      <c r="G91">
        <v>0</v>
      </c>
      <c r="H91">
        <f t="shared" si="9"/>
        <v>0</v>
      </c>
      <c r="I91">
        <v>0</v>
      </c>
      <c r="J91">
        <f t="shared" si="5"/>
        <v>0</v>
      </c>
      <c r="K91">
        <v>0</v>
      </c>
      <c r="L91">
        <f t="shared" si="6"/>
        <v>0</v>
      </c>
      <c r="M91">
        <v>0</v>
      </c>
      <c r="N91">
        <f t="shared" si="7"/>
        <v>0</v>
      </c>
      <c r="O91">
        <v>8</v>
      </c>
      <c r="P91">
        <f t="shared" si="8"/>
        <v>1</v>
      </c>
    </row>
    <row r="92" spans="1:16" x14ac:dyDescent="0.25">
      <c r="A92" t="s">
        <v>114</v>
      </c>
      <c r="B92">
        <v>42</v>
      </c>
      <c r="C92">
        <v>10</v>
      </c>
      <c r="D92" t="s">
        <v>228</v>
      </c>
      <c r="E92">
        <v>0</v>
      </c>
      <c r="F92">
        <f t="shared" si="9"/>
        <v>0</v>
      </c>
      <c r="G92">
        <v>0</v>
      </c>
      <c r="H92">
        <f t="shared" si="9"/>
        <v>0</v>
      </c>
      <c r="I92">
        <v>8</v>
      </c>
      <c r="J92">
        <f t="shared" si="5"/>
        <v>1</v>
      </c>
      <c r="K92">
        <v>0</v>
      </c>
      <c r="L92">
        <f t="shared" si="6"/>
        <v>0</v>
      </c>
      <c r="M92">
        <v>0</v>
      </c>
      <c r="N92">
        <f t="shared" si="7"/>
        <v>0</v>
      </c>
      <c r="O92">
        <v>0</v>
      </c>
      <c r="P92">
        <f t="shared" si="8"/>
        <v>0</v>
      </c>
    </row>
    <row r="93" spans="1:16" x14ac:dyDescent="0.25">
      <c r="A93" t="s">
        <v>114</v>
      </c>
      <c r="B93">
        <v>57</v>
      </c>
      <c r="C93">
        <v>5</v>
      </c>
      <c r="D93" t="s">
        <v>229</v>
      </c>
      <c r="E93">
        <v>0</v>
      </c>
      <c r="F93">
        <f t="shared" si="9"/>
        <v>0</v>
      </c>
      <c r="G93">
        <v>0</v>
      </c>
      <c r="H93">
        <f t="shared" si="9"/>
        <v>0</v>
      </c>
      <c r="I93">
        <v>8</v>
      </c>
      <c r="J93">
        <f t="shared" si="5"/>
        <v>1</v>
      </c>
      <c r="K93">
        <v>0</v>
      </c>
      <c r="L93">
        <f t="shared" si="6"/>
        <v>0</v>
      </c>
      <c r="M93">
        <v>0</v>
      </c>
      <c r="N93">
        <f t="shared" si="7"/>
        <v>0</v>
      </c>
      <c r="O93">
        <v>0</v>
      </c>
      <c r="P93">
        <f t="shared" si="8"/>
        <v>0</v>
      </c>
    </row>
    <row r="94" spans="1:16" x14ac:dyDescent="0.25">
      <c r="A94" t="s">
        <v>114</v>
      </c>
      <c r="B94">
        <v>32</v>
      </c>
      <c r="C94">
        <v>7</v>
      </c>
      <c r="D94" t="s">
        <v>230</v>
      </c>
      <c r="E94">
        <v>0</v>
      </c>
      <c r="F94">
        <f t="shared" si="9"/>
        <v>0</v>
      </c>
      <c r="G94">
        <v>0</v>
      </c>
      <c r="H94">
        <f t="shared" si="9"/>
        <v>0</v>
      </c>
      <c r="I94">
        <v>8</v>
      </c>
      <c r="J94">
        <f t="shared" si="5"/>
        <v>1</v>
      </c>
      <c r="K94">
        <v>0</v>
      </c>
      <c r="L94">
        <f t="shared" si="6"/>
        <v>0</v>
      </c>
      <c r="M94">
        <v>0</v>
      </c>
      <c r="N94">
        <f t="shared" si="7"/>
        <v>0</v>
      </c>
      <c r="O94">
        <v>0</v>
      </c>
      <c r="P94">
        <f t="shared" si="8"/>
        <v>0</v>
      </c>
    </row>
    <row r="95" spans="1:16" x14ac:dyDescent="0.25">
      <c r="A95" t="s">
        <v>114</v>
      </c>
      <c r="B95">
        <v>21</v>
      </c>
      <c r="C95">
        <v>10</v>
      </c>
      <c r="D95" t="s">
        <v>231</v>
      </c>
      <c r="E95">
        <v>0</v>
      </c>
      <c r="F95">
        <f t="shared" si="9"/>
        <v>0</v>
      </c>
      <c r="G95">
        <v>0</v>
      </c>
      <c r="H95">
        <f t="shared" si="9"/>
        <v>0</v>
      </c>
      <c r="I95">
        <v>8</v>
      </c>
      <c r="J95">
        <f t="shared" si="5"/>
        <v>1</v>
      </c>
      <c r="K95">
        <v>0</v>
      </c>
      <c r="L95">
        <f t="shared" si="6"/>
        <v>0</v>
      </c>
      <c r="M95">
        <v>0</v>
      </c>
      <c r="N95">
        <f t="shared" si="7"/>
        <v>0</v>
      </c>
      <c r="O95">
        <v>0</v>
      </c>
      <c r="P95">
        <f t="shared" si="8"/>
        <v>0</v>
      </c>
    </row>
    <row r="96" spans="1:16" x14ac:dyDescent="0.25">
      <c r="A96" t="s">
        <v>114</v>
      </c>
      <c r="B96">
        <v>128</v>
      </c>
      <c r="C96">
        <v>3</v>
      </c>
      <c r="D96" t="s">
        <v>232</v>
      </c>
      <c r="E96">
        <v>0</v>
      </c>
      <c r="F96">
        <f t="shared" si="9"/>
        <v>0</v>
      </c>
      <c r="G96">
        <v>0</v>
      </c>
      <c r="H96">
        <f t="shared" si="9"/>
        <v>0</v>
      </c>
      <c r="I96">
        <v>8</v>
      </c>
      <c r="J96">
        <f t="shared" si="5"/>
        <v>1</v>
      </c>
      <c r="K96">
        <v>0</v>
      </c>
      <c r="L96">
        <f t="shared" si="6"/>
        <v>0</v>
      </c>
      <c r="M96">
        <v>0</v>
      </c>
      <c r="N96">
        <f t="shared" si="7"/>
        <v>0</v>
      </c>
      <c r="O96">
        <v>0</v>
      </c>
      <c r="P96">
        <f t="shared" si="8"/>
        <v>0</v>
      </c>
    </row>
    <row r="97" spans="1:16" x14ac:dyDescent="0.25">
      <c r="A97" t="s">
        <v>114</v>
      </c>
      <c r="B97">
        <v>40</v>
      </c>
      <c r="C97">
        <v>3</v>
      </c>
      <c r="D97" t="s">
        <v>233</v>
      </c>
      <c r="E97">
        <v>0</v>
      </c>
      <c r="F97">
        <f t="shared" si="9"/>
        <v>0</v>
      </c>
      <c r="G97">
        <v>0</v>
      </c>
      <c r="H97">
        <f t="shared" si="9"/>
        <v>0</v>
      </c>
      <c r="I97">
        <v>8</v>
      </c>
      <c r="J97">
        <f t="shared" si="5"/>
        <v>1</v>
      </c>
      <c r="K97">
        <v>0</v>
      </c>
      <c r="L97">
        <f t="shared" si="6"/>
        <v>0</v>
      </c>
      <c r="M97">
        <v>0</v>
      </c>
      <c r="N97">
        <f t="shared" si="7"/>
        <v>0</v>
      </c>
      <c r="O97">
        <v>0</v>
      </c>
      <c r="P97">
        <f t="shared" si="8"/>
        <v>0</v>
      </c>
    </row>
    <row r="98" spans="1:16" x14ac:dyDescent="0.25">
      <c r="A98" t="s">
        <v>114</v>
      </c>
      <c r="B98">
        <v>31</v>
      </c>
      <c r="C98">
        <v>21</v>
      </c>
      <c r="D98" t="s">
        <v>234</v>
      </c>
      <c r="E98">
        <v>0</v>
      </c>
      <c r="F98">
        <f t="shared" si="9"/>
        <v>0</v>
      </c>
      <c r="G98">
        <v>0</v>
      </c>
      <c r="H98">
        <f t="shared" si="9"/>
        <v>0</v>
      </c>
      <c r="I98">
        <v>0</v>
      </c>
      <c r="J98">
        <f t="shared" si="5"/>
        <v>0</v>
      </c>
      <c r="K98">
        <v>0</v>
      </c>
      <c r="L98">
        <f t="shared" si="6"/>
        <v>0</v>
      </c>
      <c r="M98">
        <v>0</v>
      </c>
      <c r="N98">
        <f t="shared" si="7"/>
        <v>0</v>
      </c>
      <c r="O98">
        <v>0</v>
      </c>
      <c r="P98">
        <f t="shared" si="8"/>
        <v>0</v>
      </c>
    </row>
    <row r="99" spans="1:16" x14ac:dyDescent="0.25">
      <c r="A99" t="s">
        <v>114</v>
      </c>
      <c r="B99">
        <v>43</v>
      </c>
      <c r="C99">
        <v>4</v>
      </c>
      <c r="D99" t="s">
        <v>235</v>
      </c>
      <c r="E99">
        <v>0</v>
      </c>
      <c r="F99">
        <f t="shared" si="9"/>
        <v>0</v>
      </c>
      <c r="G99">
        <v>0</v>
      </c>
      <c r="H99">
        <f t="shared" si="9"/>
        <v>0</v>
      </c>
      <c r="I99">
        <v>13</v>
      </c>
      <c r="J99">
        <f t="shared" si="5"/>
        <v>1</v>
      </c>
      <c r="K99">
        <v>0</v>
      </c>
      <c r="L99">
        <f t="shared" si="6"/>
        <v>0</v>
      </c>
      <c r="M99">
        <v>0</v>
      </c>
      <c r="N99">
        <f t="shared" si="7"/>
        <v>0</v>
      </c>
      <c r="O99">
        <v>0</v>
      </c>
      <c r="P99">
        <f t="shared" si="8"/>
        <v>0</v>
      </c>
    </row>
    <row r="100" spans="1:16" x14ac:dyDescent="0.25">
      <c r="A100" t="s">
        <v>116</v>
      </c>
      <c r="B100">
        <v>32</v>
      </c>
      <c r="C100">
        <v>2</v>
      </c>
      <c r="D100" t="s">
        <v>236</v>
      </c>
      <c r="E100">
        <v>0</v>
      </c>
      <c r="F100">
        <f t="shared" si="9"/>
        <v>0</v>
      </c>
      <c r="G100">
        <v>0</v>
      </c>
      <c r="H100">
        <f t="shared" si="9"/>
        <v>0</v>
      </c>
      <c r="I100">
        <v>13</v>
      </c>
      <c r="J100">
        <f t="shared" si="5"/>
        <v>1</v>
      </c>
      <c r="K100">
        <v>0</v>
      </c>
      <c r="L100">
        <f t="shared" si="6"/>
        <v>0</v>
      </c>
      <c r="M100">
        <v>0</v>
      </c>
      <c r="N100">
        <f t="shared" si="7"/>
        <v>0</v>
      </c>
      <c r="O100">
        <v>0</v>
      </c>
      <c r="P100">
        <f t="shared" si="8"/>
        <v>0</v>
      </c>
    </row>
    <row r="101" spans="1:16" x14ac:dyDescent="0.25">
      <c r="A101" t="s">
        <v>114</v>
      </c>
      <c r="B101">
        <v>40</v>
      </c>
      <c r="C101">
        <v>6</v>
      </c>
      <c r="D101" t="s">
        <v>237</v>
      </c>
      <c r="E101">
        <v>0</v>
      </c>
      <c r="F101">
        <f t="shared" si="9"/>
        <v>0</v>
      </c>
      <c r="G101">
        <v>0</v>
      </c>
      <c r="H101">
        <f t="shared" si="9"/>
        <v>0</v>
      </c>
      <c r="I101">
        <v>0</v>
      </c>
      <c r="J101">
        <f t="shared" si="5"/>
        <v>0</v>
      </c>
      <c r="K101">
        <v>0</v>
      </c>
      <c r="L101">
        <f t="shared" si="6"/>
        <v>0</v>
      </c>
      <c r="M101">
        <v>13</v>
      </c>
      <c r="N101">
        <f t="shared" si="7"/>
        <v>1</v>
      </c>
      <c r="O101">
        <v>0</v>
      </c>
      <c r="P101">
        <f t="shared" si="8"/>
        <v>0</v>
      </c>
    </row>
    <row r="102" spans="1:16" x14ac:dyDescent="0.25">
      <c r="A102" t="s">
        <v>114</v>
      </c>
      <c r="B102">
        <v>78</v>
      </c>
      <c r="C102">
        <v>5</v>
      </c>
      <c r="D102" t="s">
        <v>238</v>
      </c>
      <c r="E102">
        <v>0</v>
      </c>
      <c r="F102">
        <f t="shared" si="9"/>
        <v>0</v>
      </c>
      <c r="G102">
        <v>0</v>
      </c>
      <c r="H102">
        <f t="shared" si="9"/>
        <v>0</v>
      </c>
      <c r="I102">
        <v>0</v>
      </c>
      <c r="J102">
        <f t="shared" si="5"/>
        <v>0</v>
      </c>
      <c r="K102">
        <v>0</v>
      </c>
      <c r="L102">
        <f t="shared" si="6"/>
        <v>0</v>
      </c>
      <c r="M102">
        <v>0</v>
      </c>
      <c r="N102">
        <f t="shared" si="7"/>
        <v>0</v>
      </c>
      <c r="O102">
        <v>15</v>
      </c>
      <c r="P102">
        <f t="shared" si="8"/>
        <v>1</v>
      </c>
    </row>
    <row r="103" spans="1:16" x14ac:dyDescent="0.25">
      <c r="A103" t="s">
        <v>114</v>
      </c>
      <c r="B103">
        <v>72</v>
      </c>
      <c r="C103">
        <v>17</v>
      </c>
      <c r="D103" t="s">
        <v>239</v>
      </c>
      <c r="E103">
        <v>0</v>
      </c>
      <c r="F103">
        <f t="shared" si="9"/>
        <v>0</v>
      </c>
      <c r="G103">
        <v>0</v>
      </c>
      <c r="H103">
        <f t="shared" si="9"/>
        <v>0</v>
      </c>
      <c r="I103">
        <v>15</v>
      </c>
      <c r="J103">
        <f t="shared" si="5"/>
        <v>1</v>
      </c>
      <c r="K103">
        <v>0</v>
      </c>
      <c r="L103">
        <f t="shared" si="6"/>
        <v>0</v>
      </c>
      <c r="M103">
        <v>0</v>
      </c>
      <c r="N103">
        <f t="shared" si="7"/>
        <v>0</v>
      </c>
      <c r="O103">
        <v>0</v>
      </c>
      <c r="P103">
        <f t="shared" si="8"/>
        <v>0</v>
      </c>
    </row>
    <row r="104" spans="1:16" x14ac:dyDescent="0.25">
      <c r="A104" t="s">
        <v>114</v>
      </c>
      <c r="B104">
        <v>55</v>
      </c>
      <c r="C104">
        <v>20</v>
      </c>
      <c r="D104" t="s">
        <v>240</v>
      </c>
      <c r="E104">
        <v>0</v>
      </c>
      <c r="F104">
        <f t="shared" si="9"/>
        <v>0</v>
      </c>
      <c r="G104">
        <v>0</v>
      </c>
      <c r="H104">
        <f t="shared" si="9"/>
        <v>0</v>
      </c>
      <c r="I104">
        <v>0</v>
      </c>
      <c r="J104">
        <f t="shared" si="5"/>
        <v>0</v>
      </c>
      <c r="K104">
        <v>0</v>
      </c>
      <c r="L104">
        <f t="shared" si="6"/>
        <v>0</v>
      </c>
      <c r="M104">
        <v>0</v>
      </c>
      <c r="N104">
        <f t="shared" si="7"/>
        <v>0</v>
      </c>
      <c r="O104">
        <v>11</v>
      </c>
      <c r="P104">
        <f t="shared" si="8"/>
        <v>1</v>
      </c>
    </row>
    <row r="105" spans="1:16" x14ac:dyDescent="0.25">
      <c r="A105" t="s">
        <v>114</v>
      </c>
      <c r="B105">
        <v>79</v>
      </c>
      <c r="C105">
        <v>6</v>
      </c>
      <c r="D105" t="s">
        <v>241</v>
      </c>
      <c r="E105">
        <v>0</v>
      </c>
      <c r="F105">
        <f t="shared" si="9"/>
        <v>0</v>
      </c>
      <c r="G105">
        <v>0</v>
      </c>
      <c r="H105">
        <f t="shared" si="9"/>
        <v>0</v>
      </c>
      <c r="I105">
        <v>11</v>
      </c>
      <c r="J105">
        <f t="shared" si="5"/>
        <v>1</v>
      </c>
      <c r="K105">
        <v>0</v>
      </c>
      <c r="L105">
        <f t="shared" si="6"/>
        <v>0</v>
      </c>
      <c r="M105">
        <v>0</v>
      </c>
      <c r="N105">
        <f t="shared" si="7"/>
        <v>0</v>
      </c>
      <c r="O105">
        <v>0</v>
      </c>
      <c r="P105">
        <f t="shared" si="8"/>
        <v>0</v>
      </c>
    </row>
    <row r="106" spans="1:16" x14ac:dyDescent="0.25">
      <c r="A106" t="s">
        <v>114</v>
      </c>
      <c r="B106">
        <v>8</v>
      </c>
      <c r="C106">
        <v>3</v>
      </c>
      <c r="D106" t="s">
        <v>242</v>
      </c>
      <c r="E106">
        <v>0</v>
      </c>
      <c r="F106">
        <f t="shared" si="9"/>
        <v>0</v>
      </c>
      <c r="G106">
        <v>0</v>
      </c>
      <c r="H106">
        <f t="shared" si="9"/>
        <v>0</v>
      </c>
      <c r="I106">
        <v>11</v>
      </c>
      <c r="J106">
        <f t="shared" si="5"/>
        <v>1</v>
      </c>
      <c r="K106">
        <v>0</v>
      </c>
      <c r="L106">
        <f t="shared" si="6"/>
        <v>0</v>
      </c>
      <c r="M106">
        <v>0</v>
      </c>
      <c r="N106">
        <f t="shared" si="7"/>
        <v>0</v>
      </c>
      <c r="O106">
        <v>0</v>
      </c>
      <c r="P106">
        <f t="shared" si="8"/>
        <v>0</v>
      </c>
    </row>
    <row r="107" spans="1:16" x14ac:dyDescent="0.25">
      <c r="A107" t="s">
        <v>114</v>
      </c>
      <c r="B107">
        <v>18</v>
      </c>
      <c r="C107">
        <v>16</v>
      </c>
      <c r="D107" t="s">
        <v>243</v>
      </c>
      <c r="E107">
        <v>0</v>
      </c>
      <c r="F107">
        <f t="shared" si="9"/>
        <v>0</v>
      </c>
      <c r="G107">
        <v>0</v>
      </c>
      <c r="H107">
        <f t="shared" si="9"/>
        <v>0</v>
      </c>
      <c r="I107">
        <v>18</v>
      </c>
      <c r="J107">
        <f t="shared" si="5"/>
        <v>1</v>
      </c>
      <c r="K107">
        <v>0</v>
      </c>
      <c r="L107">
        <f t="shared" si="6"/>
        <v>0</v>
      </c>
      <c r="M107">
        <v>0</v>
      </c>
      <c r="N107">
        <f t="shared" si="7"/>
        <v>0</v>
      </c>
      <c r="O107">
        <v>0</v>
      </c>
      <c r="P107">
        <f t="shared" si="8"/>
        <v>0</v>
      </c>
    </row>
    <row r="108" spans="1:16" x14ac:dyDescent="0.25">
      <c r="A108" t="s">
        <v>114</v>
      </c>
      <c r="B108">
        <v>79</v>
      </c>
      <c r="C108">
        <v>13</v>
      </c>
      <c r="D108" t="s">
        <v>244</v>
      </c>
      <c r="E108">
        <v>0</v>
      </c>
      <c r="F108">
        <f t="shared" si="9"/>
        <v>0</v>
      </c>
      <c r="G108">
        <v>0</v>
      </c>
      <c r="H108">
        <f t="shared" si="9"/>
        <v>0</v>
      </c>
      <c r="I108">
        <v>0</v>
      </c>
      <c r="J108">
        <f t="shared" si="5"/>
        <v>0</v>
      </c>
      <c r="K108">
        <v>0</v>
      </c>
      <c r="L108">
        <f t="shared" si="6"/>
        <v>0</v>
      </c>
      <c r="M108">
        <v>0</v>
      </c>
      <c r="N108">
        <f t="shared" si="7"/>
        <v>0</v>
      </c>
      <c r="O108">
        <v>12</v>
      </c>
      <c r="P108">
        <f t="shared" si="8"/>
        <v>1</v>
      </c>
    </row>
    <row r="109" spans="1:16" x14ac:dyDescent="0.25">
      <c r="A109" t="s">
        <v>114</v>
      </c>
      <c r="B109">
        <v>78</v>
      </c>
      <c r="C109">
        <v>38</v>
      </c>
      <c r="D109" t="s">
        <v>245</v>
      </c>
      <c r="E109">
        <v>0</v>
      </c>
      <c r="F109">
        <f t="shared" si="9"/>
        <v>0</v>
      </c>
      <c r="G109">
        <v>0</v>
      </c>
      <c r="H109">
        <f t="shared" si="9"/>
        <v>0</v>
      </c>
      <c r="I109">
        <v>0</v>
      </c>
      <c r="J109">
        <f t="shared" si="5"/>
        <v>0</v>
      </c>
      <c r="K109">
        <v>12</v>
      </c>
      <c r="L109">
        <f t="shared" si="6"/>
        <v>1</v>
      </c>
      <c r="M109">
        <v>0</v>
      </c>
      <c r="N109">
        <f t="shared" si="7"/>
        <v>0</v>
      </c>
      <c r="O109">
        <v>0</v>
      </c>
      <c r="P109">
        <f t="shared" si="8"/>
        <v>0</v>
      </c>
    </row>
    <row r="110" spans="1:16" x14ac:dyDescent="0.25">
      <c r="A110" t="s">
        <v>114</v>
      </c>
      <c r="B110">
        <v>96</v>
      </c>
      <c r="C110">
        <v>13</v>
      </c>
      <c r="D110" t="s">
        <v>246</v>
      </c>
      <c r="E110">
        <v>0</v>
      </c>
      <c r="F110">
        <f t="shared" si="9"/>
        <v>0</v>
      </c>
      <c r="G110">
        <v>0</v>
      </c>
      <c r="H110">
        <f t="shared" si="9"/>
        <v>0</v>
      </c>
      <c r="I110">
        <v>20</v>
      </c>
      <c r="J110">
        <f t="shared" si="5"/>
        <v>1</v>
      </c>
      <c r="K110">
        <v>0</v>
      </c>
      <c r="L110">
        <f t="shared" si="6"/>
        <v>0</v>
      </c>
      <c r="M110">
        <v>0</v>
      </c>
      <c r="N110">
        <f t="shared" si="7"/>
        <v>0</v>
      </c>
      <c r="O110">
        <v>0</v>
      </c>
      <c r="P110">
        <f t="shared" si="8"/>
        <v>0</v>
      </c>
    </row>
    <row r="111" spans="1:16" x14ac:dyDescent="0.25">
      <c r="A111" t="s">
        <v>114</v>
      </c>
      <c r="B111">
        <v>137</v>
      </c>
      <c r="C111">
        <v>7</v>
      </c>
      <c r="D111" t="s">
        <v>247</v>
      </c>
      <c r="E111">
        <v>0</v>
      </c>
      <c r="F111">
        <f t="shared" si="9"/>
        <v>0</v>
      </c>
      <c r="G111">
        <v>0</v>
      </c>
      <c r="H111">
        <f t="shared" si="9"/>
        <v>0</v>
      </c>
      <c r="I111">
        <v>0</v>
      </c>
      <c r="J111">
        <f t="shared" si="5"/>
        <v>0</v>
      </c>
      <c r="K111">
        <v>0</v>
      </c>
      <c r="L111">
        <f t="shared" si="6"/>
        <v>0</v>
      </c>
      <c r="M111">
        <v>0</v>
      </c>
      <c r="N111">
        <f t="shared" si="7"/>
        <v>0</v>
      </c>
      <c r="O111">
        <v>17</v>
      </c>
      <c r="P111">
        <f t="shared" si="8"/>
        <v>1</v>
      </c>
    </row>
    <row r="112" spans="1:16" x14ac:dyDescent="0.25">
      <c r="A112" t="s">
        <v>114</v>
      </c>
      <c r="B112">
        <v>57</v>
      </c>
      <c r="C112">
        <v>2</v>
      </c>
      <c r="D112" t="s">
        <v>248</v>
      </c>
      <c r="E112">
        <v>0</v>
      </c>
      <c r="F112">
        <f t="shared" si="9"/>
        <v>0</v>
      </c>
      <c r="G112">
        <v>0</v>
      </c>
      <c r="H112">
        <f t="shared" si="9"/>
        <v>0</v>
      </c>
      <c r="I112">
        <v>16</v>
      </c>
      <c r="J112">
        <f t="shared" si="5"/>
        <v>1</v>
      </c>
      <c r="K112">
        <v>0</v>
      </c>
      <c r="L112">
        <f t="shared" si="6"/>
        <v>0</v>
      </c>
      <c r="M112">
        <v>0</v>
      </c>
      <c r="N112">
        <f t="shared" si="7"/>
        <v>0</v>
      </c>
      <c r="O112">
        <v>0</v>
      </c>
      <c r="P112">
        <f t="shared" si="8"/>
        <v>0</v>
      </c>
    </row>
    <row r="113" spans="1:16" x14ac:dyDescent="0.25">
      <c r="A113" t="s">
        <v>114</v>
      </c>
      <c r="B113">
        <v>78</v>
      </c>
      <c r="C113">
        <v>8</v>
      </c>
      <c r="D113" t="s">
        <v>249</v>
      </c>
      <c r="E113">
        <v>0</v>
      </c>
      <c r="F113">
        <f t="shared" si="9"/>
        <v>0</v>
      </c>
      <c r="G113">
        <v>0</v>
      </c>
      <c r="H113">
        <f t="shared" si="9"/>
        <v>0</v>
      </c>
      <c r="I113">
        <v>13</v>
      </c>
      <c r="J113">
        <f t="shared" si="5"/>
        <v>1</v>
      </c>
      <c r="K113">
        <v>0</v>
      </c>
      <c r="L113">
        <f t="shared" si="6"/>
        <v>0</v>
      </c>
      <c r="M113">
        <v>0</v>
      </c>
      <c r="N113">
        <f t="shared" si="7"/>
        <v>0</v>
      </c>
      <c r="O113">
        <v>0</v>
      </c>
      <c r="P113">
        <f t="shared" si="8"/>
        <v>0</v>
      </c>
    </row>
    <row r="114" spans="1:16" x14ac:dyDescent="0.25">
      <c r="A114" t="s">
        <v>114</v>
      </c>
      <c r="B114">
        <v>71</v>
      </c>
      <c r="C114">
        <v>18</v>
      </c>
      <c r="D114" t="s">
        <v>250</v>
      </c>
      <c r="E114">
        <v>0</v>
      </c>
      <c r="F114">
        <f t="shared" si="9"/>
        <v>0</v>
      </c>
      <c r="G114">
        <v>0</v>
      </c>
      <c r="H114">
        <f t="shared" si="9"/>
        <v>0</v>
      </c>
      <c r="I114">
        <v>9</v>
      </c>
      <c r="J114">
        <f t="shared" si="5"/>
        <v>1</v>
      </c>
      <c r="K114">
        <v>0</v>
      </c>
      <c r="L114">
        <f t="shared" si="6"/>
        <v>0</v>
      </c>
      <c r="M114">
        <v>0</v>
      </c>
      <c r="N114">
        <f t="shared" si="7"/>
        <v>0</v>
      </c>
      <c r="O114">
        <v>0</v>
      </c>
      <c r="P114">
        <f t="shared" si="8"/>
        <v>0</v>
      </c>
    </row>
    <row r="115" spans="1:16" x14ac:dyDescent="0.25">
      <c r="A115" t="s">
        <v>114</v>
      </c>
      <c r="B115">
        <v>144</v>
      </c>
      <c r="C115">
        <v>12</v>
      </c>
      <c r="D115" t="s">
        <v>251</v>
      </c>
      <c r="E115">
        <v>0</v>
      </c>
      <c r="F115">
        <f t="shared" si="9"/>
        <v>0</v>
      </c>
      <c r="G115">
        <v>0</v>
      </c>
      <c r="H115">
        <f t="shared" si="9"/>
        <v>0</v>
      </c>
      <c r="I115">
        <v>9</v>
      </c>
      <c r="J115">
        <f t="shared" si="5"/>
        <v>1</v>
      </c>
      <c r="K115">
        <v>0</v>
      </c>
      <c r="L115">
        <f t="shared" si="6"/>
        <v>0</v>
      </c>
      <c r="M115">
        <v>0</v>
      </c>
      <c r="N115">
        <f t="shared" si="7"/>
        <v>0</v>
      </c>
      <c r="O115">
        <v>0</v>
      </c>
      <c r="P115">
        <f t="shared" si="8"/>
        <v>0</v>
      </c>
    </row>
    <row r="116" spans="1:16" x14ac:dyDescent="0.25">
      <c r="A116" t="s">
        <v>114</v>
      </c>
      <c r="B116">
        <v>72</v>
      </c>
      <c r="C116">
        <v>16</v>
      </c>
      <c r="D116" t="s">
        <v>252</v>
      </c>
      <c r="E116">
        <v>0</v>
      </c>
      <c r="F116">
        <f t="shared" si="9"/>
        <v>0</v>
      </c>
      <c r="G116">
        <v>0</v>
      </c>
      <c r="H116">
        <f t="shared" si="9"/>
        <v>0</v>
      </c>
      <c r="I116">
        <v>9</v>
      </c>
      <c r="J116">
        <f t="shared" si="5"/>
        <v>1</v>
      </c>
      <c r="K116">
        <v>0</v>
      </c>
      <c r="L116">
        <f t="shared" si="6"/>
        <v>0</v>
      </c>
      <c r="M116">
        <v>0</v>
      </c>
      <c r="N116">
        <f t="shared" si="7"/>
        <v>0</v>
      </c>
      <c r="O116">
        <v>0</v>
      </c>
      <c r="P116">
        <f t="shared" si="8"/>
        <v>0</v>
      </c>
    </row>
    <row r="117" spans="1:16" x14ac:dyDescent="0.25">
      <c r="A117" t="s">
        <v>114</v>
      </c>
      <c r="B117">
        <v>27</v>
      </c>
      <c r="C117">
        <v>2</v>
      </c>
      <c r="D117" t="s">
        <v>253</v>
      </c>
      <c r="E117">
        <v>0</v>
      </c>
      <c r="F117">
        <f t="shared" si="9"/>
        <v>0</v>
      </c>
      <c r="G117">
        <v>0</v>
      </c>
      <c r="H117">
        <f t="shared" si="9"/>
        <v>0</v>
      </c>
      <c r="I117">
        <v>9</v>
      </c>
      <c r="J117">
        <f t="shared" si="5"/>
        <v>1</v>
      </c>
      <c r="K117">
        <v>0</v>
      </c>
      <c r="L117">
        <f t="shared" si="6"/>
        <v>0</v>
      </c>
      <c r="M117">
        <v>0</v>
      </c>
      <c r="N117">
        <f t="shared" si="7"/>
        <v>0</v>
      </c>
      <c r="O117">
        <v>0</v>
      </c>
      <c r="P117">
        <f t="shared" si="8"/>
        <v>0</v>
      </c>
    </row>
    <row r="118" spans="1:16" x14ac:dyDescent="0.25">
      <c r="A118" t="s">
        <v>114</v>
      </c>
      <c r="B118">
        <v>31</v>
      </c>
      <c r="C118">
        <v>3</v>
      </c>
      <c r="D118" t="s">
        <v>254</v>
      </c>
      <c r="E118">
        <v>0</v>
      </c>
      <c r="F118">
        <f t="shared" si="9"/>
        <v>0</v>
      </c>
      <c r="G118">
        <v>0</v>
      </c>
      <c r="H118">
        <f t="shared" si="9"/>
        <v>0</v>
      </c>
      <c r="I118">
        <v>9</v>
      </c>
      <c r="J118">
        <f t="shared" si="5"/>
        <v>1</v>
      </c>
      <c r="K118">
        <v>0</v>
      </c>
      <c r="L118">
        <f t="shared" si="6"/>
        <v>0</v>
      </c>
      <c r="M118">
        <v>0</v>
      </c>
      <c r="N118">
        <f t="shared" si="7"/>
        <v>0</v>
      </c>
      <c r="O118">
        <v>0</v>
      </c>
      <c r="P118">
        <f t="shared" si="8"/>
        <v>0</v>
      </c>
    </row>
    <row r="119" spans="1:16" x14ac:dyDescent="0.25">
      <c r="A119" t="s">
        <v>114</v>
      </c>
      <c r="B119">
        <v>19</v>
      </c>
      <c r="C119">
        <v>10</v>
      </c>
      <c r="D119" t="s">
        <v>255</v>
      </c>
      <c r="E119">
        <v>0</v>
      </c>
      <c r="F119">
        <f t="shared" si="9"/>
        <v>0</v>
      </c>
      <c r="G119">
        <v>0</v>
      </c>
      <c r="H119">
        <f t="shared" si="9"/>
        <v>0</v>
      </c>
      <c r="I119">
        <v>9</v>
      </c>
      <c r="J119">
        <f t="shared" si="5"/>
        <v>1</v>
      </c>
      <c r="K119">
        <v>0</v>
      </c>
      <c r="L119">
        <f t="shared" si="6"/>
        <v>0</v>
      </c>
      <c r="M119">
        <v>0</v>
      </c>
      <c r="N119">
        <f t="shared" si="7"/>
        <v>0</v>
      </c>
      <c r="O119">
        <v>0</v>
      </c>
      <c r="P119">
        <f t="shared" si="8"/>
        <v>0</v>
      </c>
    </row>
    <row r="120" spans="1:16" x14ac:dyDescent="0.25">
      <c r="A120" t="s">
        <v>114</v>
      </c>
      <c r="B120">
        <v>55</v>
      </c>
      <c r="C120">
        <v>23</v>
      </c>
      <c r="D120" t="s">
        <v>256</v>
      </c>
      <c r="E120">
        <v>0</v>
      </c>
      <c r="F120">
        <f t="shared" si="9"/>
        <v>0</v>
      </c>
      <c r="G120">
        <v>0</v>
      </c>
      <c r="H120">
        <f t="shared" si="9"/>
        <v>0</v>
      </c>
      <c r="I120">
        <v>9</v>
      </c>
      <c r="J120">
        <f t="shared" si="5"/>
        <v>1</v>
      </c>
      <c r="K120">
        <v>0</v>
      </c>
      <c r="L120">
        <f t="shared" si="6"/>
        <v>0</v>
      </c>
      <c r="M120">
        <v>0</v>
      </c>
      <c r="N120">
        <f t="shared" si="7"/>
        <v>0</v>
      </c>
      <c r="O120">
        <v>0</v>
      </c>
      <c r="P120">
        <f t="shared" si="8"/>
        <v>0</v>
      </c>
    </row>
    <row r="121" spans="1:16" x14ac:dyDescent="0.25">
      <c r="A121" t="s">
        <v>114</v>
      </c>
      <c r="B121">
        <v>142</v>
      </c>
      <c r="C121">
        <v>5</v>
      </c>
      <c r="D121" t="s">
        <v>257</v>
      </c>
      <c r="E121">
        <v>0</v>
      </c>
      <c r="F121">
        <f t="shared" si="9"/>
        <v>0</v>
      </c>
      <c r="G121">
        <v>0</v>
      </c>
      <c r="H121">
        <f t="shared" si="9"/>
        <v>0</v>
      </c>
      <c r="I121">
        <v>0</v>
      </c>
      <c r="J121">
        <f t="shared" si="5"/>
        <v>0</v>
      </c>
      <c r="K121">
        <v>9</v>
      </c>
      <c r="L121">
        <f t="shared" si="6"/>
        <v>1</v>
      </c>
      <c r="M121">
        <v>0</v>
      </c>
      <c r="N121">
        <f t="shared" si="7"/>
        <v>0</v>
      </c>
      <c r="O121">
        <v>0</v>
      </c>
      <c r="P121">
        <f t="shared" si="8"/>
        <v>0</v>
      </c>
    </row>
    <row r="122" spans="1:16" x14ac:dyDescent="0.25">
      <c r="A122" t="s">
        <v>114</v>
      </c>
      <c r="B122">
        <v>51</v>
      </c>
      <c r="C122">
        <v>6</v>
      </c>
      <c r="D122" t="s">
        <v>258</v>
      </c>
      <c r="E122">
        <v>0</v>
      </c>
      <c r="F122">
        <f t="shared" si="9"/>
        <v>0</v>
      </c>
      <c r="G122">
        <v>0</v>
      </c>
      <c r="H122">
        <f t="shared" si="9"/>
        <v>0</v>
      </c>
      <c r="I122">
        <v>0</v>
      </c>
      <c r="J122">
        <f t="shared" si="5"/>
        <v>0</v>
      </c>
      <c r="K122">
        <v>0</v>
      </c>
      <c r="L122">
        <f t="shared" si="6"/>
        <v>0</v>
      </c>
      <c r="M122">
        <v>9</v>
      </c>
      <c r="N122">
        <f t="shared" si="7"/>
        <v>1</v>
      </c>
      <c r="O122">
        <v>0</v>
      </c>
      <c r="P122">
        <f t="shared" si="8"/>
        <v>0</v>
      </c>
    </row>
    <row r="123" spans="1:16" x14ac:dyDescent="0.25">
      <c r="A123" t="s">
        <v>114</v>
      </c>
      <c r="B123">
        <v>98</v>
      </c>
      <c r="C123">
        <v>9</v>
      </c>
      <c r="D123" t="s">
        <v>259</v>
      </c>
      <c r="E123">
        <v>0</v>
      </c>
      <c r="F123">
        <f t="shared" si="9"/>
        <v>0</v>
      </c>
      <c r="G123">
        <v>0</v>
      </c>
      <c r="H123">
        <f t="shared" si="9"/>
        <v>0</v>
      </c>
      <c r="I123">
        <v>12</v>
      </c>
      <c r="J123">
        <f t="shared" si="5"/>
        <v>1</v>
      </c>
      <c r="K123">
        <v>0</v>
      </c>
      <c r="L123">
        <f t="shared" si="6"/>
        <v>0</v>
      </c>
      <c r="M123">
        <v>0</v>
      </c>
      <c r="N123">
        <f t="shared" si="7"/>
        <v>0</v>
      </c>
      <c r="O123">
        <v>0</v>
      </c>
      <c r="P123">
        <f t="shared" si="8"/>
        <v>0</v>
      </c>
    </row>
    <row r="124" spans="1:16" x14ac:dyDescent="0.25">
      <c r="A124" t="s">
        <v>114</v>
      </c>
      <c r="B124">
        <v>17</v>
      </c>
      <c r="C124">
        <v>14</v>
      </c>
      <c r="D124" t="s">
        <v>260</v>
      </c>
      <c r="E124">
        <v>0</v>
      </c>
      <c r="F124">
        <f t="shared" si="9"/>
        <v>0</v>
      </c>
      <c r="G124">
        <v>0</v>
      </c>
      <c r="H124">
        <f t="shared" si="9"/>
        <v>0</v>
      </c>
      <c r="I124">
        <v>35</v>
      </c>
      <c r="J124">
        <f t="shared" si="5"/>
        <v>1</v>
      </c>
      <c r="K124">
        <v>29</v>
      </c>
      <c r="L124">
        <f t="shared" si="6"/>
        <v>1</v>
      </c>
      <c r="M124">
        <v>0</v>
      </c>
      <c r="N124">
        <f t="shared" si="7"/>
        <v>0</v>
      </c>
      <c r="O124">
        <v>0</v>
      </c>
      <c r="P124">
        <f t="shared" si="8"/>
        <v>0</v>
      </c>
    </row>
    <row r="125" spans="1:16" x14ac:dyDescent="0.25">
      <c r="A125" t="s">
        <v>114</v>
      </c>
      <c r="B125">
        <v>39</v>
      </c>
      <c r="C125">
        <v>13</v>
      </c>
      <c r="D125" t="s">
        <v>261</v>
      </c>
      <c r="E125">
        <v>0</v>
      </c>
      <c r="F125">
        <f t="shared" si="9"/>
        <v>0</v>
      </c>
      <c r="G125">
        <v>0</v>
      </c>
      <c r="H125">
        <f t="shared" si="9"/>
        <v>0</v>
      </c>
      <c r="I125">
        <v>0</v>
      </c>
      <c r="J125">
        <f t="shared" si="5"/>
        <v>0</v>
      </c>
      <c r="K125">
        <v>18</v>
      </c>
      <c r="L125">
        <f t="shared" si="6"/>
        <v>1</v>
      </c>
      <c r="M125">
        <v>0</v>
      </c>
      <c r="N125">
        <f t="shared" si="7"/>
        <v>0</v>
      </c>
      <c r="O125">
        <v>0</v>
      </c>
      <c r="P125">
        <f t="shared" si="8"/>
        <v>0</v>
      </c>
    </row>
    <row r="126" spans="1:16" x14ac:dyDescent="0.25">
      <c r="A126" t="s">
        <v>114</v>
      </c>
      <c r="B126">
        <v>137</v>
      </c>
      <c r="C126">
        <v>6</v>
      </c>
      <c r="D126" t="s">
        <v>262</v>
      </c>
      <c r="E126">
        <v>0</v>
      </c>
      <c r="F126">
        <f t="shared" si="9"/>
        <v>0</v>
      </c>
      <c r="G126">
        <v>0</v>
      </c>
      <c r="H126">
        <f t="shared" si="9"/>
        <v>0</v>
      </c>
      <c r="I126">
        <v>10</v>
      </c>
      <c r="J126">
        <f t="shared" si="5"/>
        <v>1</v>
      </c>
      <c r="K126">
        <v>0</v>
      </c>
      <c r="L126">
        <f t="shared" si="6"/>
        <v>0</v>
      </c>
      <c r="M126">
        <v>0</v>
      </c>
      <c r="N126">
        <f t="shared" si="7"/>
        <v>0</v>
      </c>
      <c r="O126">
        <v>0</v>
      </c>
      <c r="P126">
        <f t="shared" si="8"/>
        <v>0</v>
      </c>
    </row>
    <row r="127" spans="1:16" x14ac:dyDescent="0.25">
      <c r="A127" t="s">
        <v>114</v>
      </c>
      <c r="B127">
        <v>53</v>
      </c>
      <c r="C127">
        <v>5</v>
      </c>
      <c r="D127" t="s">
        <v>263</v>
      </c>
      <c r="E127">
        <v>0</v>
      </c>
      <c r="F127">
        <f t="shared" si="9"/>
        <v>0</v>
      </c>
      <c r="G127">
        <v>0</v>
      </c>
      <c r="H127">
        <f t="shared" si="9"/>
        <v>0</v>
      </c>
      <c r="I127">
        <v>0</v>
      </c>
      <c r="J127">
        <f t="shared" si="5"/>
        <v>0</v>
      </c>
      <c r="K127">
        <v>0</v>
      </c>
      <c r="L127">
        <f t="shared" si="6"/>
        <v>0</v>
      </c>
      <c r="M127">
        <v>0</v>
      </c>
      <c r="N127">
        <f t="shared" si="7"/>
        <v>0</v>
      </c>
      <c r="O127">
        <v>6</v>
      </c>
      <c r="P127">
        <f t="shared" si="8"/>
        <v>1</v>
      </c>
    </row>
    <row r="128" spans="1:16" x14ac:dyDescent="0.25">
      <c r="A128" t="s">
        <v>114</v>
      </c>
      <c r="B128">
        <v>6</v>
      </c>
      <c r="C128">
        <v>3</v>
      </c>
      <c r="D128" t="s">
        <v>264</v>
      </c>
      <c r="E128">
        <v>0</v>
      </c>
      <c r="F128">
        <f t="shared" si="9"/>
        <v>0</v>
      </c>
      <c r="G128">
        <v>0</v>
      </c>
      <c r="H128">
        <f t="shared" si="9"/>
        <v>0</v>
      </c>
      <c r="I128">
        <v>0</v>
      </c>
      <c r="J128">
        <f t="shared" si="5"/>
        <v>0</v>
      </c>
      <c r="K128">
        <v>0</v>
      </c>
      <c r="L128">
        <f t="shared" si="6"/>
        <v>0</v>
      </c>
      <c r="M128">
        <v>0</v>
      </c>
      <c r="N128">
        <f t="shared" si="7"/>
        <v>0</v>
      </c>
      <c r="O128">
        <v>6</v>
      </c>
      <c r="P128">
        <f t="shared" si="8"/>
        <v>1</v>
      </c>
    </row>
    <row r="129" spans="1:16" x14ac:dyDescent="0.25">
      <c r="A129" t="s">
        <v>114</v>
      </c>
      <c r="B129">
        <v>31</v>
      </c>
      <c r="C129">
        <v>10</v>
      </c>
      <c r="D129" t="s">
        <v>265</v>
      </c>
      <c r="E129">
        <v>0</v>
      </c>
      <c r="F129">
        <f t="shared" si="9"/>
        <v>0</v>
      </c>
      <c r="G129">
        <v>0</v>
      </c>
      <c r="H129">
        <f t="shared" si="9"/>
        <v>0</v>
      </c>
      <c r="I129">
        <v>0</v>
      </c>
      <c r="J129">
        <f t="shared" si="5"/>
        <v>0</v>
      </c>
      <c r="K129">
        <v>0</v>
      </c>
      <c r="L129">
        <f t="shared" si="6"/>
        <v>0</v>
      </c>
      <c r="M129">
        <v>0</v>
      </c>
      <c r="N129">
        <f t="shared" si="7"/>
        <v>0</v>
      </c>
      <c r="O129">
        <v>6</v>
      </c>
      <c r="P129">
        <f t="shared" si="8"/>
        <v>1</v>
      </c>
    </row>
    <row r="130" spans="1:16" x14ac:dyDescent="0.25">
      <c r="A130" t="s">
        <v>114</v>
      </c>
      <c r="B130">
        <v>144</v>
      </c>
      <c r="C130">
        <v>11</v>
      </c>
      <c r="D130" t="s">
        <v>266</v>
      </c>
      <c r="E130">
        <v>0</v>
      </c>
      <c r="F130">
        <f t="shared" si="9"/>
        <v>0</v>
      </c>
      <c r="G130">
        <v>0</v>
      </c>
      <c r="H130">
        <f t="shared" si="9"/>
        <v>0</v>
      </c>
      <c r="I130">
        <v>6</v>
      </c>
      <c r="J130">
        <f t="shared" ref="J130:J193" si="10">IF(I130=0,0,1)</f>
        <v>1</v>
      </c>
      <c r="K130">
        <v>0</v>
      </c>
      <c r="L130">
        <f t="shared" ref="L130:L193" si="11">IF(K130=0,0,1)</f>
        <v>0</v>
      </c>
      <c r="M130">
        <v>0</v>
      </c>
      <c r="N130">
        <f t="shared" ref="N130:N193" si="12">IF(M130=0,0,1)</f>
        <v>0</v>
      </c>
      <c r="O130">
        <v>0</v>
      </c>
      <c r="P130">
        <f t="shared" ref="P130:P193" si="13">IF(O130=0,0,1)</f>
        <v>0</v>
      </c>
    </row>
    <row r="131" spans="1:16" x14ac:dyDescent="0.25">
      <c r="A131" t="s">
        <v>114</v>
      </c>
      <c r="B131">
        <v>59</v>
      </c>
      <c r="C131">
        <v>14</v>
      </c>
      <c r="D131" t="s">
        <v>267</v>
      </c>
      <c r="E131">
        <v>0</v>
      </c>
      <c r="F131">
        <f t="shared" ref="F131:H194" si="14">IF(E131=0,0,1)</f>
        <v>0</v>
      </c>
      <c r="G131">
        <v>0</v>
      </c>
      <c r="H131">
        <f t="shared" si="14"/>
        <v>0</v>
      </c>
      <c r="I131">
        <v>6</v>
      </c>
      <c r="J131">
        <f t="shared" si="10"/>
        <v>1</v>
      </c>
      <c r="K131">
        <v>0</v>
      </c>
      <c r="L131">
        <f t="shared" si="11"/>
        <v>0</v>
      </c>
      <c r="M131">
        <v>0</v>
      </c>
      <c r="N131">
        <f t="shared" si="12"/>
        <v>0</v>
      </c>
      <c r="O131">
        <v>0</v>
      </c>
      <c r="P131">
        <f t="shared" si="13"/>
        <v>0</v>
      </c>
    </row>
    <row r="132" spans="1:16" x14ac:dyDescent="0.25">
      <c r="A132" t="s">
        <v>114</v>
      </c>
      <c r="B132">
        <v>144</v>
      </c>
      <c r="C132">
        <v>2</v>
      </c>
      <c r="D132" t="s">
        <v>268</v>
      </c>
      <c r="E132">
        <v>0</v>
      </c>
      <c r="F132">
        <f t="shared" si="14"/>
        <v>0</v>
      </c>
      <c r="G132">
        <v>0</v>
      </c>
      <c r="H132">
        <f t="shared" si="14"/>
        <v>0</v>
      </c>
      <c r="I132">
        <v>6</v>
      </c>
      <c r="J132">
        <f t="shared" si="10"/>
        <v>1</v>
      </c>
      <c r="K132">
        <v>0</v>
      </c>
      <c r="L132">
        <f t="shared" si="11"/>
        <v>0</v>
      </c>
      <c r="M132">
        <v>0</v>
      </c>
      <c r="N132">
        <f t="shared" si="12"/>
        <v>0</v>
      </c>
      <c r="O132">
        <v>0</v>
      </c>
      <c r="P132">
        <f t="shared" si="13"/>
        <v>0</v>
      </c>
    </row>
    <row r="133" spans="1:16" x14ac:dyDescent="0.25">
      <c r="A133" t="s">
        <v>114</v>
      </c>
      <c r="B133">
        <v>16</v>
      </c>
      <c r="C133">
        <v>4</v>
      </c>
      <c r="D133" t="s">
        <v>269</v>
      </c>
      <c r="E133">
        <v>0</v>
      </c>
      <c r="F133">
        <f t="shared" si="14"/>
        <v>0</v>
      </c>
      <c r="G133">
        <v>0</v>
      </c>
      <c r="H133">
        <f t="shared" si="14"/>
        <v>0</v>
      </c>
      <c r="I133">
        <v>6</v>
      </c>
      <c r="J133">
        <f t="shared" si="10"/>
        <v>1</v>
      </c>
      <c r="K133">
        <v>0</v>
      </c>
      <c r="L133">
        <f t="shared" si="11"/>
        <v>0</v>
      </c>
      <c r="M133">
        <v>0</v>
      </c>
      <c r="N133">
        <f t="shared" si="12"/>
        <v>0</v>
      </c>
      <c r="O133">
        <v>0</v>
      </c>
      <c r="P133">
        <f t="shared" si="13"/>
        <v>0</v>
      </c>
    </row>
    <row r="134" spans="1:16" x14ac:dyDescent="0.25">
      <c r="A134" t="s">
        <v>114</v>
      </c>
      <c r="B134">
        <v>12</v>
      </c>
      <c r="C134">
        <v>6</v>
      </c>
      <c r="D134" t="s">
        <v>270</v>
      </c>
      <c r="E134">
        <v>0</v>
      </c>
      <c r="F134">
        <f t="shared" si="14"/>
        <v>0</v>
      </c>
      <c r="G134">
        <v>0</v>
      </c>
      <c r="H134">
        <f t="shared" si="14"/>
        <v>0</v>
      </c>
      <c r="I134">
        <v>6</v>
      </c>
      <c r="J134">
        <f t="shared" si="10"/>
        <v>1</v>
      </c>
      <c r="K134">
        <v>0</v>
      </c>
      <c r="L134">
        <f t="shared" si="11"/>
        <v>0</v>
      </c>
      <c r="M134">
        <v>0</v>
      </c>
      <c r="N134">
        <f t="shared" si="12"/>
        <v>0</v>
      </c>
      <c r="O134">
        <v>0</v>
      </c>
      <c r="P134">
        <f t="shared" si="13"/>
        <v>0</v>
      </c>
    </row>
    <row r="135" spans="1:16" x14ac:dyDescent="0.25">
      <c r="A135" t="s">
        <v>114</v>
      </c>
      <c r="B135">
        <v>14</v>
      </c>
      <c r="C135">
        <v>4</v>
      </c>
      <c r="D135" t="s">
        <v>271</v>
      </c>
      <c r="E135">
        <v>0</v>
      </c>
      <c r="F135">
        <f t="shared" si="14"/>
        <v>0</v>
      </c>
      <c r="G135">
        <v>0</v>
      </c>
      <c r="H135">
        <f t="shared" si="14"/>
        <v>0</v>
      </c>
      <c r="I135">
        <v>6</v>
      </c>
      <c r="J135">
        <f t="shared" si="10"/>
        <v>1</v>
      </c>
      <c r="K135">
        <v>0</v>
      </c>
      <c r="L135">
        <f t="shared" si="11"/>
        <v>0</v>
      </c>
      <c r="M135">
        <v>0</v>
      </c>
      <c r="N135">
        <f t="shared" si="12"/>
        <v>0</v>
      </c>
      <c r="O135">
        <v>0</v>
      </c>
      <c r="P135">
        <f t="shared" si="13"/>
        <v>0</v>
      </c>
    </row>
    <row r="136" spans="1:16" x14ac:dyDescent="0.25">
      <c r="A136" t="s">
        <v>114</v>
      </c>
      <c r="B136">
        <v>46</v>
      </c>
      <c r="C136">
        <v>10</v>
      </c>
      <c r="D136" t="s">
        <v>272</v>
      </c>
      <c r="E136">
        <v>0</v>
      </c>
      <c r="F136">
        <f t="shared" si="14"/>
        <v>0</v>
      </c>
      <c r="G136">
        <v>0</v>
      </c>
      <c r="H136">
        <f t="shared" si="14"/>
        <v>0</v>
      </c>
      <c r="I136">
        <v>6</v>
      </c>
      <c r="J136">
        <f t="shared" si="10"/>
        <v>1</v>
      </c>
      <c r="K136">
        <v>0</v>
      </c>
      <c r="L136">
        <f t="shared" si="11"/>
        <v>0</v>
      </c>
      <c r="M136">
        <v>0</v>
      </c>
      <c r="N136">
        <f t="shared" si="12"/>
        <v>0</v>
      </c>
      <c r="O136">
        <v>0</v>
      </c>
      <c r="P136">
        <f t="shared" si="13"/>
        <v>0</v>
      </c>
    </row>
    <row r="137" spans="1:16" x14ac:dyDescent="0.25">
      <c r="A137" t="s">
        <v>114</v>
      </c>
      <c r="B137">
        <v>77</v>
      </c>
      <c r="C137">
        <v>3</v>
      </c>
      <c r="D137" t="s">
        <v>273</v>
      </c>
      <c r="E137">
        <v>0</v>
      </c>
      <c r="F137">
        <f t="shared" si="14"/>
        <v>0</v>
      </c>
      <c r="G137">
        <v>0</v>
      </c>
      <c r="H137">
        <f t="shared" si="14"/>
        <v>0</v>
      </c>
      <c r="I137">
        <v>6</v>
      </c>
      <c r="J137">
        <f t="shared" si="10"/>
        <v>1</v>
      </c>
      <c r="K137">
        <v>0</v>
      </c>
      <c r="L137">
        <f t="shared" si="11"/>
        <v>0</v>
      </c>
      <c r="M137">
        <v>0</v>
      </c>
      <c r="N137">
        <f t="shared" si="12"/>
        <v>0</v>
      </c>
      <c r="O137">
        <v>0</v>
      </c>
      <c r="P137">
        <f t="shared" si="13"/>
        <v>0</v>
      </c>
    </row>
    <row r="138" spans="1:16" x14ac:dyDescent="0.25">
      <c r="A138" t="s">
        <v>114</v>
      </c>
      <c r="B138">
        <v>14</v>
      </c>
      <c r="C138">
        <v>3</v>
      </c>
      <c r="D138" t="s">
        <v>274</v>
      </c>
      <c r="E138">
        <v>0</v>
      </c>
      <c r="F138">
        <f t="shared" si="14"/>
        <v>0</v>
      </c>
      <c r="G138">
        <v>0</v>
      </c>
      <c r="H138">
        <f t="shared" si="14"/>
        <v>0</v>
      </c>
      <c r="I138">
        <v>6</v>
      </c>
      <c r="J138">
        <f t="shared" si="10"/>
        <v>1</v>
      </c>
      <c r="K138">
        <v>0</v>
      </c>
      <c r="L138">
        <f t="shared" si="11"/>
        <v>0</v>
      </c>
      <c r="M138">
        <v>0</v>
      </c>
      <c r="N138">
        <f t="shared" si="12"/>
        <v>0</v>
      </c>
      <c r="O138">
        <v>0</v>
      </c>
      <c r="P138">
        <f t="shared" si="13"/>
        <v>0</v>
      </c>
    </row>
    <row r="139" spans="1:16" x14ac:dyDescent="0.25">
      <c r="A139" t="s">
        <v>114</v>
      </c>
      <c r="B139">
        <v>53</v>
      </c>
      <c r="C139">
        <v>4</v>
      </c>
      <c r="D139" t="s">
        <v>274</v>
      </c>
      <c r="E139">
        <v>0</v>
      </c>
      <c r="F139">
        <f t="shared" si="14"/>
        <v>0</v>
      </c>
      <c r="G139">
        <v>0</v>
      </c>
      <c r="H139">
        <f t="shared" si="14"/>
        <v>0</v>
      </c>
      <c r="I139">
        <v>6</v>
      </c>
      <c r="J139">
        <f t="shared" si="10"/>
        <v>1</v>
      </c>
      <c r="K139">
        <v>0</v>
      </c>
      <c r="L139">
        <f t="shared" si="11"/>
        <v>0</v>
      </c>
      <c r="M139">
        <v>0</v>
      </c>
      <c r="N139">
        <f t="shared" si="12"/>
        <v>0</v>
      </c>
      <c r="O139">
        <v>0</v>
      </c>
      <c r="P139">
        <f t="shared" si="13"/>
        <v>0</v>
      </c>
    </row>
    <row r="140" spans="1:16" x14ac:dyDescent="0.25">
      <c r="A140" t="s">
        <v>115</v>
      </c>
      <c r="B140">
        <v>23</v>
      </c>
      <c r="C140">
        <v>31</v>
      </c>
      <c r="D140" t="s">
        <v>275</v>
      </c>
      <c r="E140">
        <v>0</v>
      </c>
      <c r="F140">
        <f t="shared" si="14"/>
        <v>0</v>
      </c>
      <c r="G140">
        <v>0</v>
      </c>
      <c r="H140">
        <f t="shared" si="14"/>
        <v>0</v>
      </c>
      <c r="I140">
        <v>6</v>
      </c>
      <c r="J140">
        <f t="shared" si="10"/>
        <v>1</v>
      </c>
      <c r="K140">
        <v>0</v>
      </c>
      <c r="L140">
        <f t="shared" si="11"/>
        <v>0</v>
      </c>
      <c r="M140">
        <v>0</v>
      </c>
      <c r="N140">
        <f t="shared" si="12"/>
        <v>0</v>
      </c>
      <c r="O140">
        <v>0</v>
      </c>
      <c r="P140">
        <f t="shared" si="13"/>
        <v>0</v>
      </c>
    </row>
    <row r="141" spans="1:16" x14ac:dyDescent="0.25">
      <c r="A141" t="s">
        <v>114</v>
      </c>
      <c r="B141">
        <v>30</v>
      </c>
      <c r="C141">
        <v>10</v>
      </c>
      <c r="D141" t="s">
        <v>276</v>
      </c>
      <c r="E141">
        <v>0</v>
      </c>
      <c r="F141">
        <f t="shared" si="14"/>
        <v>0</v>
      </c>
      <c r="G141">
        <v>0</v>
      </c>
      <c r="H141">
        <f t="shared" si="14"/>
        <v>0</v>
      </c>
      <c r="I141">
        <v>6</v>
      </c>
      <c r="J141">
        <f t="shared" si="10"/>
        <v>1</v>
      </c>
      <c r="K141">
        <v>0</v>
      </c>
      <c r="L141">
        <f t="shared" si="11"/>
        <v>0</v>
      </c>
      <c r="M141">
        <v>0</v>
      </c>
      <c r="N141">
        <f t="shared" si="12"/>
        <v>0</v>
      </c>
      <c r="O141">
        <v>0</v>
      </c>
      <c r="P141">
        <f t="shared" si="13"/>
        <v>0</v>
      </c>
    </row>
    <row r="142" spans="1:16" x14ac:dyDescent="0.25">
      <c r="A142" t="s">
        <v>114</v>
      </c>
      <c r="B142">
        <v>99</v>
      </c>
      <c r="C142">
        <v>4</v>
      </c>
      <c r="D142" t="s">
        <v>277</v>
      </c>
      <c r="E142">
        <v>0</v>
      </c>
      <c r="F142">
        <f t="shared" si="14"/>
        <v>0</v>
      </c>
      <c r="G142">
        <v>0</v>
      </c>
      <c r="H142">
        <f t="shared" si="14"/>
        <v>0</v>
      </c>
      <c r="I142">
        <v>6</v>
      </c>
      <c r="J142">
        <f t="shared" si="10"/>
        <v>1</v>
      </c>
      <c r="K142">
        <v>0</v>
      </c>
      <c r="L142">
        <f t="shared" si="11"/>
        <v>0</v>
      </c>
      <c r="M142">
        <v>0</v>
      </c>
      <c r="N142">
        <f t="shared" si="12"/>
        <v>0</v>
      </c>
      <c r="O142">
        <v>0</v>
      </c>
      <c r="P142">
        <f t="shared" si="13"/>
        <v>0</v>
      </c>
    </row>
    <row r="143" spans="1:16" x14ac:dyDescent="0.25">
      <c r="A143" t="s">
        <v>116</v>
      </c>
      <c r="B143">
        <v>3</v>
      </c>
      <c r="C143">
        <v>6</v>
      </c>
      <c r="D143" t="s">
        <v>278</v>
      </c>
      <c r="E143">
        <v>0</v>
      </c>
      <c r="F143">
        <f t="shared" si="14"/>
        <v>0</v>
      </c>
      <c r="G143">
        <v>0</v>
      </c>
      <c r="H143">
        <f t="shared" si="14"/>
        <v>0</v>
      </c>
      <c r="I143">
        <v>6</v>
      </c>
      <c r="J143">
        <f t="shared" si="10"/>
        <v>1</v>
      </c>
      <c r="K143">
        <v>0</v>
      </c>
      <c r="L143">
        <f t="shared" si="11"/>
        <v>0</v>
      </c>
      <c r="M143">
        <v>0</v>
      </c>
      <c r="N143">
        <f t="shared" si="12"/>
        <v>0</v>
      </c>
      <c r="O143">
        <v>0</v>
      </c>
      <c r="P143">
        <f t="shared" si="13"/>
        <v>0</v>
      </c>
    </row>
    <row r="144" spans="1:16" x14ac:dyDescent="0.25">
      <c r="A144" t="s">
        <v>114</v>
      </c>
      <c r="B144">
        <v>48</v>
      </c>
      <c r="C144">
        <v>3</v>
      </c>
      <c r="D144" t="s">
        <v>279</v>
      </c>
      <c r="E144">
        <v>0</v>
      </c>
      <c r="F144">
        <f t="shared" si="14"/>
        <v>0</v>
      </c>
      <c r="G144">
        <v>0</v>
      </c>
      <c r="H144">
        <f t="shared" si="14"/>
        <v>0</v>
      </c>
      <c r="I144">
        <v>6</v>
      </c>
      <c r="J144">
        <f t="shared" si="10"/>
        <v>1</v>
      </c>
      <c r="K144">
        <v>0</v>
      </c>
      <c r="L144">
        <f t="shared" si="11"/>
        <v>0</v>
      </c>
      <c r="M144">
        <v>0</v>
      </c>
      <c r="N144">
        <f t="shared" si="12"/>
        <v>0</v>
      </c>
      <c r="O144">
        <v>0</v>
      </c>
      <c r="P144">
        <f t="shared" si="13"/>
        <v>0</v>
      </c>
    </row>
    <row r="145" spans="1:16" x14ac:dyDescent="0.25">
      <c r="A145" t="s">
        <v>114</v>
      </c>
      <c r="B145">
        <v>4</v>
      </c>
      <c r="C145">
        <v>7</v>
      </c>
      <c r="D145" t="s">
        <v>280</v>
      </c>
      <c r="E145">
        <v>0</v>
      </c>
      <c r="F145">
        <f t="shared" si="14"/>
        <v>0</v>
      </c>
      <c r="G145">
        <v>0</v>
      </c>
      <c r="H145">
        <f t="shared" si="14"/>
        <v>0</v>
      </c>
      <c r="I145">
        <v>0</v>
      </c>
      <c r="J145">
        <f t="shared" si="10"/>
        <v>0</v>
      </c>
      <c r="K145">
        <v>6</v>
      </c>
      <c r="L145">
        <f t="shared" si="11"/>
        <v>1</v>
      </c>
      <c r="M145">
        <v>0</v>
      </c>
      <c r="N145">
        <f t="shared" si="12"/>
        <v>0</v>
      </c>
      <c r="O145">
        <v>0</v>
      </c>
      <c r="P145">
        <f t="shared" si="13"/>
        <v>0</v>
      </c>
    </row>
    <row r="146" spans="1:16" x14ac:dyDescent="0.25">
      <c r="A146" t="s">
        <v>114</v>
      </c>
      <c r="B146">
        <v>104</v>
      </c>
      <c r="C146">
        <v>29</v>
      </c>
      <c r="D146" t="s">
        <v>281</v>
      </c>
      <c r="E146">
        <v>0</v>
      </c>
      <c r="F146">
        <f t="shared" si="14"/>
        <v>0</v>
      </c>
      <c r="G146">
        <v>0</v>
      </c>
      <c r="H146">
        <f t="shared" si="14"/>
        <v>0</v>
      </c>
      <c r="I146">
        <v>0</v>
      </c>
      <c r="J146">
        <f t="shared" si="10"/>
        <v>0</v>
      </c>
      <c r="K146">
        <v>6</v>
      </c>
      <c r="L146">
        <f t="shared" si="11"/>
        <v>1</v>
      </c>
      <c r="M146">
        <v>0</v>
      </c>
      <c r="N146">
        <f t="shared" si="12"/>
        <v>0</v>
      </c>
      <c r="O146">
        <v>0</v>
      </c>
      <c r="P146">
        <f t="shared" si="13"/>
        <v>0</v>
      </c>
    </row>
    <row r="147" spans="1:16" x14ac:dyDescent="0.25">
      <c r="A147" t="s">
        <v>114</v>
      </c>
      <c r="B147">
        <v>22</v>
      </c>
      <c r="C147">
        <v>15</v>
      </c>
      <c r="D147" t="s">
        <v>282</v>
      </c>
      <c r="E147">
        <v>0</v>
      </c>
      <c r="F147">
        <f t="shared" si="14"/>
        <v>0</v>
      </c>
      <c r="G147">
        <v>0</v>
      </c>
      <c r="H147">
        <f t="shared" si="14"/>
        <v>0</v>
      </c>
      <c r="I147">
        <v>0</v>
      </c>
      <c r="J147">
        <f t="shared" si="10"/>
        <v>0</v>
      </c>
      <c r="K147">
        <v>6</v>
      </c>
      <c r="L147">
        <f t="shared" si="11"/>
        <v>1</v>
      </c>
      <c r="M147">
        <v>0</v>
      </c>
      <c r="N147">
        <f t="shared" si="12"/>
        <v>0</v>
      </c>
      <c r="O147">
        <v>0</v>
      </c>
      <c r="P147">
        <f t="shared" si="13"/>
        <v>0</v>
      </c>
    </row>
    <row r="148" spans="1:16" x14ac:dyDescent="0.25">
      <c r="A148" t="s">
        <v>115</v>
      </c>
      <c r="B148">
        <v>23</v>
      </c>
      <c r="C148">
        <v>35</v>
      </c>
      <c r="D148" t="s">
        <v>283</v>
      </c>
      <c r="E148">
        <v>0</v>
      </c>
      <c r="F148">
        <f t="shared" si="14"/>
        <v>0</v>
      </c>
      <c r="G148">
        <v>0</v>
      </c>
      <c r="H148">
        <f t="shared" si="14"/>
        <v>0</v>
      </c>
      <c r="I148">
        <v>0</v>
      </c>
      <c r="J148">
        <f t="shared" si="10"/>
        <v>0</v>
      </c>
      <c r="K148">
        <v>0</v>
      </c>
      <c r="L148">
        <f t="shared" si="11"/>
        <v>0</v>
      </c>
      <c r="M148">
        <v>0</v>
      </c>
      <c r="N148">
        <f t="shared" si="12"/>
        <v>0</v>
      </c>
      <c r="O148">
        <v>0</v>
      </c>
      <c r="P148">
        <f t="shared" si="13"/>
        <v>0</v>
      </c>
    </row>
    <row r="149" spans="1:16" x14ac:dyDescent="0.25">
      <c r="A149" t="s">
        <v>114</v>
      </c>
      <c r="B149">
        <v>40</v>
      </c>
      <c r="C149">
        <v>4</v>
      </c>
      <c r="D149" t="s">
        <v>284</v>
      </c>
      <c r="E149">
        <v>0</v>
      </c>
      <c r="F149">
        <f t="shared" si="14"/>
        <v>0</v>
      </c>
      <c r="G149">
        <v>0</v>
      </c>
      <c r="H149">
        <f t="shared" si="14"/>
        <v>0</v>
      </c>
      <c r="I149">
        <v>14</v>
      </c>
      <c r="J149">
        <f t="shared" si="10"/>
        <v>1</v>
      </c>
      <c r="K149">
        <v>0</v>
      </c>
      <c r="L149">
        <f t="shared" si="11"/>
        <v>0</v>
      </c>
      <c r="M149">
        <v>0</v>
      </c>
      <c r="N149">
        <f t="shared" si="12"/>
        <v>0</v>
      </c>
      <c r="O149">
        <v>0</v>
      </c>
      <c r="P149">
        <f t="shared" si="13"/>
        <v>0</v>
      </c>
    </row>
    <row r="150" spans="1:16" x14ac:dyDescent="0.25">
      <c r="A150" t="s">
        <v>114</v>
      </c>
      <c r="B150">
        <v>142</v>
      </c>
      <c r="C150">
        <v>4</v>
      </c>
      <c r="D150" t="s">
        <v>285</v>
      </c>
      <c r="E150">
        <v>0</v>
      </c>
      <c r="F150">
        <f t="shared" si="14"/>
        <v>0</v>
      </c>
      <c r="G150">
        <v>0</v>
      </c>
      <c r="H150">
        <f t="shared" si="14"/>
        <v>0</v>
      </c>
      <c r="I150">
        <v>15</v>
      </c>
      <c r="J150">
        <f t="shared" si="10"/>
        <v>1</v>
      </c>
      <c r="K150">
        <v>0</v>
      </c>
      <c r="L150">
        <f t="shared" si="11"/>
        <v>0</v>
      </c>
      <c r="M150">
        <v>0</v>
      </c>
      <c r="N150">
        <f t="shared" si="12"/>
        <v>0</v>
      </c>
      <c r="O150">
        <v>0</v>
      </c>
      <c r="P150">
        <f t="shared" si="13"/>
        <v>0</v>
      </c>
    </row>
    <row r="151" spans="1:16" x14ac:dyDescent="0.25">
      <c r="A151" t="s">
        <v>114</v>
      </c>
      <c r="B151">
        <v>42</v>
      </c>
      <c r="C151">
        <v>3</v>
      </c>
      <c r="D151" t="s">
        <v>286</v>
      </c>
      <c r="E151">
        <v>0</v>
      </c>
      <c r="F151">
        <f t="shared" si="14"/>
        <v>0</v>
      </c>
      <c r="G151">
        <v>0</v>
      </c>
      <c r="H151">
        <f t="shared" si="14"/>
        <v>0</v>
      </c>
      <c r="I151">
        <v>11</v>
      </c>
      <c r="J151">
        <f t="shared" si="10"/>
        <v>1</v>
      </c>
      <c r="K151">
        <v>0</v>
      </c>
      <c r="L151">
        <f t="shared" si="11"/>
        <v>0</v>
      </c>
      <c r="M151">
        <v>0</v>
      </c>
      <c r="N151">
        <f t="shared" si="12"/>
        <v>0</v>
      </c>
      <c r="O151">
        <v>0</v>
      </c>
      <c r="P151">
        <f t="shared" si="13"/>
        <v>0</v>
      </c>
    </row>
    <row r="152" spans="1:16" x14ac:dyDescent="0.25">
      <c r="A152" t="s">
        <v>114</v>
      </c>
      <c r="B152">
        <v>42</v>
      </c>
      <c r="C152">
        <v>6</v>
      </c>
      <c r="D152" t="s">
        <v>287</v>
      </c>
      <c r="E152">
        <v>0</v>
      </c>
      <c r="F152">
        <f t="shared" si="14"/>
        <v>0</v>
      </c>
      <c r="G152">
        <v>0</v>
      </c>
      <c r="H152">
        <f t="shared" si="14"/>
        <v>0</v>
      </c>
      <c r="I152">
        <v>11</v>
      </c>
      <c r="J152">
        <f t="shared" si="10"/>
        <v>1</v>
      </c>
      <c r="K152">
        <v>0</v>
      </c>
      <c r="L152">
        <f t="shared" si="11"/>
        <v>0</v>
      </c>
      <c r="M152">
        <v>0</v>
      </c>
      <c r="N152">
        <f t="shared" si="12"/>
        <v>0</v>
      </c>
      <c r="O152">
        <v>0</v>
      </c>
      <c r="P152">
        <f t="shared" si="13"/>
        <v>0</v>
      </c>
    </row>
    <row r="153" spans="1:16" x14ac:dyDescent="0.25">
      <c r="A153" t="s">
        <v>114</v>
      </c>
      <c r="B153">
        <v>7</v>
      </c>
      <c r="C153">
        <v>10</v>
      </c>
      <c r="D153" t="s">
        <v>288</v>
      </c>
      <c r="E153">
        <v>0</v>
      </c>
      <c r="F153">
        <f t="shared" si="14"/>
        <v>0</v>
      </c>
      <c r="G153">
        <v>0</v>
      </c>
      <c r="H153">
        <f t="shared" si="14"/>
        <v>0</v>
      </c>
      <c r="I153">
        <v>11</v>
      </c>
      <c r="J153">
        <f t="shared" si="10"/>
        <v>1</v>
      </c>
      <c r="K153">
        <v>0</v>
      </c>
      <c r="L153">
        <f t="shared" si="11"/>
        <v>0</v>
      </c>
      <c r="M153">
        <v>0</v>
      </c>
      <c r="N153">
        <f t="shared" si="12"/>
        <v>0</v>
      </c>
      <c r="O153">
        <v>0</v>
      </c>
      <c r="P153">
        <f t="shared" si="13"/>
        <v>0</v>
      </c>
    </row>
    <row r="154" spans="1:16" x14ac:dyDescent="0.25">
      <c r="A154" t="s">
        <v>114</v>
      </c>
      <c r="B154">
        <v>102</v>
      </c>
      <c r="C154">
        <v>3</v>
      </c>
      <c r="D154" t="s">
        <v>289</v>
      </c>
      <c r="E154">
        <v>0</v>
      </c>
      <c r="F154">
        <f t="shared" si="14"/>
        <v>0</v>
      </c>
      <c r="G154">
        <v>0</v>
      </c>
      <c r="H154">
        <f t="shared" si="14"/>
        <v>0</v>
      </c>
      <c r="I154">
        <v>11</v>
      </c>
      <c r="J154">
        <f t="shared" si="10"/>
        <v>1</v>
      </c>
      <c r="K154">
        <v>0</v>
      </c>
      <c r="L154">
        <f t="shared" si="11"/>
        <v>0</v>
      </c>
      <c r="M154">
        <v>0</v>
      </c>
      <c r="N154">
        <f t="shared" si="12"/>
        <v>0</v>
      </c>
      <c r="O154">
        <v>0</v>
      </c>
      <c r="P154">
        <f t="shared" si="13"/>
        <v>0</v>
      </c>
    </row>
    <row r="155" spans="1:16" x14ac:dyDescent="0.25">
      <c r="A155" t="s">
        <v>114</v>
      </c>
      <c r="B155">
        <v>101</v>
      </c>
      <c r="C155">
        <v>5</v>
      </c>
      <c r="D155" t="s">
        <v>290</v>
      </c>
      <c r="E155">
        <v>0</v>
      </c>
      <c r="F155">
        <f t="shared" si="14"/>
        <v>0</v>
      </c>
      <c r="G155">
        <v>0</v>
      </c>
      <c r="H155">
        <f t="shared" si="14"/>
        <v>0</v>
      </c>
      <c r="I155">
        <v>11</v>
      </c>
      <c r="J155">
        <f t="shared" si="10"/>
        <v>1</v>
      </c>
      <c r="K155">
        <v>0</v>
      </c>
      <c r="L155">
        <f t="shared" si="11"/>
        <v>0</v>
      </c>
      <c r="M155">
        <v>0</v>
      </c>
      <c r="N155">
        <f t="shared" si="12"/>
        <v>0</v>
      </c>
      <c r="O155">
        <v>0</v>
      </c>
      <c r="P155">
        <f t="shared" si="13"/>
        <v>0</v>
      </c>
    </row>
    <row r="156" spans="1:16" x14ac:dyDescent="0.25">
      <c r="A156" t="s">
        <v>114</v>
      </c>
      <c r="B156">
        <v>84</v>
      </c>
      <c r="C156">
        <v>3</v>
      </c>
      <c r="D156" t="s">
        <v>291</v>
      </c>
      <c r="E156">
        <v>0</v>
      </c>
      <c r="F156">
        <f t="shared" si="14"/>
        <v>0</v>
      </c>
      <c r="G156">
        <v>0</v>
      </c>
      <c r="H156">
        <f t="shared" si="14"/>
        <v>0</v>
      </c>
      <c r="I156">
        <v>11</v>
      </c>
      <c r="J156">
        <f t="shared" si="10"/>
        <v>1</v>
      </c>
      <c r="K156">
        <v>0</v>
      </c>
      <c r="L156">
        <f t="shared" si="11"/>
        <v>0</v>
      </c>
      <c r="M156">
        <v>0</v>
      </c>
      <c r="N156">
        <f t="shared" si="12"/>
        <v>0</v>
      </c>
      <c r="O156">
        <v>0</v>
      </c>
      <c r="P156">
        <f t="shared" si="13"/>
        <v>0</v>
      </c>
    </row>
    <row r="157" spans="1:16" x14ac:dyDescent="0.25">
      <c r="A157" t="s">
        <v>114</v>
      </c>
      <c r="B157">
        <v>42</v>
      </c>
      <c r="C157">
        <v>12</v>
      </c>
      <c r="D157" t="s">
        <v>292</v>
      </c>
      <c r="E157">
        <v>0</v>
      </c>
      <c r="F157">
        <f t="shared" si="14"/>
        <v>0</v>
      </c>
      <c r="G157">
        <v>0</v>
      </c>
      <c r="H157">
        <f t="shared" si="14"/>
        <v>0</v>
      </c>
      <c r="I157">
        <v>0</v>
      </c>
      <c r="J157">
        <f t="shared" si="10"/>
        <v>0</v>
      </c>
      <c r="K157">
        <v>11</v>
      </c>
      <c r="L157">
        <f t="shared" si="11"/>
        <v>1</v>
      </c>
      <c r="M157">
        <v>0</v>
      </c>
      <c r="N157">
        <f t="shared" si="12"/>
        <v>0</v>
      </c>
      <c r="O157">
        <v>0</v>
      </c>
      <c r="P157">
        <f t="shared" si="13"/>
        <v>0</v>
      </c>
    </row>
    <row r="158" spans="1:16" x14ac:dyDescent="0.25">
      <c r="A158" t="s">
        <v>114</v>
      </c>
      <c r="B158">
        <v>43</v>
      </c>
      <c r="C158">
        <v>5</v>
      </c>
      <c r="D158" t="s">
        <v>292</v>
      </c>
      <c r="E158">
        <v>0</v>
      </c>
      <c r="F158">
        <f t="shared" si="14"/>
        <v>0</v>
      </c>
      <c r="G158">
        <v>0</v>
      </c>
      <c r="H158">
        <f t="shared" si="14"/>
        <v>0</v>
      </c>
      <c r="I158">
        <v>0</v>
      </c>
      <c r="J158">
        <f t="shared" si="10"/>
        <v>0</v>
      </c>
      <c r="K158">
        <v>11</v>
      </c>
      <c r="L158">
        <f t="shared" si="11"/>
        <v>1</v>
      </c>
      <c r="M158">
        <v>0</v>
      </c>
      <c r="N158">
        <f t="shared" si="12"/>
        <v>0</v>
      </c>
      <c r="O158">
        <v>0</v>
      </c>
      <c r="P158">
        <f t="shared" si="13"/>
        <v>0</v>
      </c>
    </row>
    <row r="159" spans="1:16" x14ac:dyDescent="0.25">
      <c r="A159" t="s">
        <v>114</v>
      </c>
      <c r="B159">
        <v>27</v>
      </c>
      <c r="C159">
        <v>3</v>
      </c>
      <c r="D159" t="s">
        <v>293</v>
      </c>
      <c r="E159">
        <v>0</v>
      </c>
      <c r="F159">
        <f t="shared" si="14"/>
        <v>0</v>
      </c>
      <c r="G159">
        <v>0</v>
      </c>
      <c r="H159">
        <f t="shared" si="14"/>
        <v>0</v>
      </c>
      <c r="I159">
        <v>0</v>
      </c>
      <c r="J159">
        <f t="shared" si="10"/>
        <v>0</v>
      </c>
      <c r="K159">
        <v>11</v>
      </c>
      <c r="L159">
        <f t="shared" si="11"/>
        <v>1</v>
      </c>
      <c r="M159">
        <v>0</v>
      </c>
      <c r="N159">
        <f t="shared" si="12"/>
        <v>0</v>
      </c>
      <c r="O159">
        <v>0</v>
      </c>
      <c r="P159">
        <f t="shared" si="13"/>
        <v>0</v>
      </c>
    </row>
    <row r="160" spans="1:16" x14ac:dyDescent="0.25">
      <c r="A160" t="s">
        <v>114</v>
      </c>
      <c r="B160">
        <v>27</v>
      </c>
      <c r="C160">
        <v>9</v>
      </c>
      <c r="D160" t="s">
        <v>294</v>
      </c>
      <c r="E160">
        <v>0</v>
      </c>
      <c r="F160">
        <f t="shared" si="14"/>
        <v>0</v>
      </c>
      <c r="G160">
        <v>0</v>
      </c>
      <c r="H160">
        <f t="shared" si="14"/>
        <v>0</v>
      </c>
      <c r="I160">
        <v>0</v>
      </c>
      <c r="J160">
        <f t="shared" si="10"/>
        <v>0</v>
      </c>
      <c r="K160">
        <v>11</v>
      </c>
      <c r="L160">
        <f t="shared" si="11"/>
        <v>1</v>
      </c>
      <c r="M160">
        <v>0</v>
      </c>
      <c r="N160">
        <f t="shared" si="12"/>
        <v>0</v>
      </c>
      <c r="O160">
        <v>0</v>
      </c>
      <c r="P160">
        <f t="shared" si="13"/>
        <v>0</v>
      </c>
    </row>
    <row r="161" spans="1:16" x14ac:dyDescent="0.25">
      <c r="A161" t="s">
        <v>114</v>
      </c>
      <c r="B161">
        <v>132</v>
      </c>
      <c r="C161">
        <v>12</v>
      </c>
      <c r="D161" t="s">
        <v>295</v>
      </c>
      <c r="E161">
        <v>0</v>
      </c>
      <c r="F161">
        <f t="shared" si="14"/>
        <v>0</v>
      </c>
      <c r="G161">
        <v>0</v>
      </c>
      <c r="H161">
        <f t="shared" si="14"/>
        <v>0</v>
      </c>
      <c r="I161">
        <v>0</v>
      </c>
      <c r="J161">
        <f t="shared" si="10"/>
        <v>0</v>
      </c>
      <c r="K161">
        <v>0</v>
      </c>
      <c r="L161">
        <f t="shared" si="11"/>
        <v>0</v>
      </c>
      <c r="M161">
        <v>11</v>
      </c>
      <c r="N161">
        <f t="shared" si="12"/>
        <v>1</v>
      </c>
      <c r="O161">
        <v>0</v>
      </c>
      <c r="P161">
        <f t="shared" si="13"/>
        <v>0</v>
      </c>
    </row>
    <row r="162" spans="1:16" x14ac:dyDescent="0.25">
      <c r="A162" t="s">
        <v>116</v>
      </c>
      <c r="B162">
        <v>7</v>
      </c>
      <c r="C162">
        <v>20</v>
      </c>
      <c r="D162" t="s">
        <v>296</v>
      </c>
      <c r="E162">
        <v>0</v>
      </c>
      <c r="F162">
        <f t="shared" si="14"/>
        <v>0</v>
      </c>
      <c r="G162">
        <v>0</v>
      </c>
      <c r="H162">
        <f t="shared" si="14"/>
        <v>0</v>
      </c>
      <c r="I162">
        <v>13</v>
      </c>
      <c r="J162">
        <f t="shared" si="10"/>
        <v>1</v>
      </c>
      <c r="K162">
        <v>0</v>
      </c>
      <c r="L162">
        <f t="shared" si="11"/>
        <v>0</v>
      </c>
      <c r="M162">
        <v>0</v>
      </c>
      <c r="N162">
        <f t="shared" si="12"/>
        <v>0</v>
      </c>
      <c r="O162">
        <v>0</v>
      </c>
      <c r="P162">
        <f t="shared" si="13"/>
        <v>0</v>
      </c>
    </row>
    <row r="163" spans="1:16" x14ac:dyDescent="0.25">
      <c r="A163" t="s">
        <v>114</v>
      </c>
      <c r="B163">
        <v>32</v>
      </c>
      <c r="C163">
        <v>6</v>
      </c>
      <c r="D163" t="s">
        <v>297</v>
      </c>
      <c r="E163">
        <v>0</v>
      </c>
      <c r="F163">
        <f t="shared" si="14"/>
        <v>0</v>
      </c>
      <c r="G163">
        <v>0</v>
      </c>
      <c r="H163">
        <f t="shared" si="14"/>
        <v>0</v>
      </c>
      <c r="I163">
        <v>15</v>
      </c>
      <c r="J163">
        <f t="shared" si="10"/>
        <v>1</v>
      </c>
      <c r="K163">
        <v>0</v>
      </c>
      <c r="L163">
        <f t="shared" si="11"/>
        <v>0</v>
      </c>
      <c r="M163">
        <v>0</v>
      </c>
      <c r="N163">
        <f t="shared" si="12"/>
        <v>0</v>
      </c>
      <c r="O163">
        <v>0</v>
      </c>
      <c r="P163">
        <f t="shared" si="13"/>
        <v>0</v>
      </c>
    </row>
    <row r="164" spans="1:16" x14ac:dyDescent="0.25">
      <c r="A164" t="s">
        <v>114</v>
      </c>
      <c r="B164">
        <v>123</v>
      </c>
      <c r="C164">
        <v>2</v>
      </c>
      <c r="D164" t="s">
        <v>298</v>
      </c>
      <c r="E164">
        <v>0</v>
      </c>
      <c r="F164">
        <f t="shared" si="14"/>
        <v>0</v>
      </c>
      <c r="G164">
        <v>0</v>
      </c>
      <c r="H164">
        <f t="shared" si="14"/>
        <v>0</v>
      </c>
      <c r="I164">
        <v>23</v>
      </c>
      <c r="J164">
        <f t="shared" si="10"/>
        <v>1</v>
      </c>
      <c r="K164">
        <v>0</v>
      </c>
      <c r="L164">
        <f t="shared" si="11"/>
        <v>0</v>
      </c>
      <c r="M164">
        <v>0</v>
      </c>
      <c r="N164">
        <f t="shared" si="12"/>
        <v>0</v>
      </c>
      <c r="O164">
        <v>0</v>
      </c>
      <c r="P164">
        <f t="shared" si="13"/>
        <v>0</v>
      </c>
    </row>
    <row r="165" spans="1:16" x14ac:dyDescent="0.25">
      <c r="A165" t="s">
        <v>114</v>
      </c>
      <c r="B165">
        <v>84</v>
      </c>
      <c r="C165">
        <v>4</v>
      </c>
      <c r="D165" t="s">
        <v>299</v>
      </c>
      <c r="E165">
        <v>0</v>
      </c>
      <c r="F165">
        <f t="shared" si="14"/>
        <v>0</v>
      </c>
      <c r="G165">
        <v>0</v>
      </c>
      <c r="H165">
        <f t="shared" si="14"/>
        <v>0</v>
      </c>
      <c r="I165">
        <v>18</v>
      </c>
      <c r="J165">
        <f t="shared" si="10"/>
        <v>1</v>
      </c>
      <c r="K165">
        <v>0</v>
      </c>
      <c r="L165">
        <f t="shared" si="11"/>
        <v>0</v>
      </c>
      <c r="M165">
        <v>0</v>
      </c>
      <c r="N165">
        <f t="shared" si="12"/>
        <v>0</v>
      </c>
      <c r="O165">
        <v>0</v>
      </c>
      <c r="P165">
        <f t="shared" si="13"/>
        <v>0</v>
      </c>
    </row>
    <row r="166" spans="1:16" x14ac:dyDescent="0.25">
      <c r="A166" t="s">
        <v>114</v>
      </c>
      <c r="B166">
        <v>31</v>
      </c>
      <c r="C166">
        <v>12</v>
      </c>
      <c r="D166" t="s">
        <v>300</v>
      </c>
      <c r="E166">
        <v>0</v>
      </c>
      <c r="F166">
        <f t="shared" si="14"/>
        <v>0</v>
      </c>
      <c r="G166">
        <v>0</v>
      </c>
      <c r="H166">
        <f t="shared" si="14"/>
        <v>0</v>
      </c>
      <c r="I166">
        <v>17</v>
      </c>
      <c r="J166">
        <f t="shared" si="10"/>
        <v>1</v>
      </c>
      <c r="K166">
        <v>0</v>
      </c>
      <c r="L166">
        <f t="shared" si="11"/>
        <v>0</v>
      </c>
      <c r="M166">
        <v>0</v>
      </c>
      <c r="N166">
        <f t="shared" si="12"/>
        <v>0</v>
      </c>
      <c r="O166">
        <v>0</v>
      </c>
      <c r="P166">
        <f t="shared" si="13"/>
        <v>0</v>
      </c>
    </row>
    <row r="167" spans="1:16" x14ac:dyDescent="0.25">
      <c r="A167" t="s">
        <v>116</v>
      </c>
      <c r="B167">
        <v>11</v>
      </c>
      <c r="C167">
        <v>6</v>
      </c>
      <c r="D167" t="s">
        <v>301</v>
      </c>
      <c r="E167">
        <v>0</v>
      </c>
      <c r="F167">
        <f t="shared" si="14"/>
        <v>0</v>
      </c>
      <c r="G167">
        <v>0</v>
      </c>
      <c r="H167">
        <f t="shared" si="14"/>
        <v>0</v>
      </c>
      <c r="I167">
        <v>0</v>
      </c>
      <c r="J167">
        <f t="shared" si="10"/>
        <v>0</v>
      </c>
      <c r="K167">
        <v>11</v>
      </c>
      <c r="L167">
        <f t="shared" si="11"/>
        <v>1</v>
      </c>
      <c r="M167">
        <v>0</v>
      </c>
      <c r="N167">
        <f t="shared" si="12"/>
        <v>0</v>
      </c>
      <c r="O167">
        <v>0</v>
      </c>
      <c r="P167">
        <f t="shared" si="13"/>
        <v>0</v>
      </c>
    </row>
    <row r="168" spans="1:16" x14ac:dyDescent="0.25">
      <c r="A168" t="s">
        <v>114</v>
      </c>
      <c r="B168">
        <v>5</v>
      </c>
      <c r="C168">
        <v>11</v>
      </c>
      <c r="D168" t="s">
        <v>302</v>
      </c>
      <c r="E168">
        <v>0</v>
      </c>
      <c r="F168">
        <f t="shared" si="14"/>
        <v>0</v>
      </c>
      <c r="G168">
        <v>0</v>
      </c>
      <c r="H168">
        <f t="shared" si="14"/>
        <v>0</v>
      </c>
      <c r="I168">
        <v>0</v>
      </c>
      <c r="J168">
        <f t="shared" si="10"/>
        <v>0</v>
      </c>
      <c r="K168">
        <v>13</v>
      </c>
      <c r="L168">
        <f t="shared" si="11"/>
        <v>1</v>
      </c>
      <c r="M168">
        <v>0</v>
      </c>
      <c r="N168">
        <f t="shared" si="12"/>
        <v>0</v>
      </c>
      <c r="O168">
        <v>0</v>
      </c>
      <c r="P168">
        <f t="shared" si="13"/>
        <v>0</v>
      </c>
    </row>
    <row r="169" spans="1:16" x14ac:dyDescent="0.25">
      <c r="A169" t="s">
        <v>114</v>
      </c>
      <c r="B169">
        <v>60</v>
      </c>
      <c r="C169">
        <v>2</v>
      </c>
      <c r="D169" t="s">
        <v>303</v>
      </c>
      <c r="E169">
        <v>0</v>
      </c>
      <c r="F169">
        <f t="shared" si="14"/>
        <v>0</v>
      </c>
      <c r="G169">
        <v>0</v>
      </c>
      <c r="H169">
        <f t="shared" si="14"/>
        <v>0</v>
      </c>
      <c r="I169">
        <v>12</v>
      </c>
      <c r="J169">
        <f t="shared" si="10"/>
        <v>1</v>
      </c>
      <c r="K169">
        <v>0</v>
      </c>
      <c r="L169">
        <f t="shared" si="11"/>
        <v>0</v>
      </c>
      <c r="M169">
        <v>0</v>
      </c>
      <c r="N169">
        <f t="shared" si="12"/>
        <v>0</v>
      </c>
      <c r="O169">
        <v>0</v>
      </c>
      <c r="P169">
        <f t="shared" si="13"/>
        <v>0</v>
      </c>
    </row>
    <row r="170" spans="1:16" x14ac:dyDescent="0.25">
      <c r="A170" t="s">
        <v>115</v>
      </c>
      <c r="B170">
        <v>30</v>
      </c>
      <c r="C170">
        <v>15</v>
      </c>
      <c r="D170" t="s">
        <v>304</v>
      </c>
      <c r="E170">
        <v>0</v>
      </c>
      <c r="F170">
        <f t="shared" si="14"/>
        <v>0</v>
      </c>
      <c r="G170">
        <v>0</v>
      </c>
      <c r="H170">
        <f t="shared" si="14"/>
        <v>0</v>
      </c>
      <c r="I170">
        <v>0</v>
      </c>
      <c r="J170">
        <f t="shared" si="10"/>
        <v>0</v>
      </c>
      <c r="K170">
        <v>0</v>
      </c>
      <c r="L170">
        <f t="shared" si="11"/>
        <v>0</v>
      </c>
      <c r="M170">
        <v>0</v>
      </c>
      <c r="N170">
        <f t="shared" si="12"/>
        <v>0</v>
      </c>
      <c r="O170">
        <v>10</v>
      </c>
      <c r="P170">
        <f t="shared" si="13"/>
        <v>1</v>
      </c>
    </row>
    <row r="171" spans="1:16" x14ac:dyDescent="0.25">
      <c r="A171" t="s">
        <v>114</v>
      </c>
      <c r="B171">
        <v>101</v>
      </c>
      <c r="C171">
        <v>7</v>
      </c>
      <c r="D171" t="s">
        <v>305</v>
      </c>
      <c r="E171">
        <v>0</v>
      </c>
      <c r="F171">
        <f t="shared" si="14"/>
        <v>0</v>
      </c>
      <c r="G171">
        <v>0</v>
      </c>
      <c r="H171">
        <f t="shared" si="14"/>
        <v>0</v>
      </c>
      <c r="I171">
        <v>10</v>
      </c>
      <c r="J171">
        <f t="shared" si="10"/>
        <v>1</v>
      </c>
      <c r="K171">
        <v>0</v>
      </c>
      <c r="L171">
        <f t="shared" si="11"/>
        <v>0</v>
      </c>
      <c r="M171">
        <v>0</v>
      </c>
      <c r="N171">
        <f t="shared" si="12"/>
        <v>0</v>
      </c>
      <c r="O171">
        <v>0</v>
      </c>
      <c r="P171">
        <f t="shared" si="13"/>
        <v>0</v>
      </c>
    </row>
    <row r="172" spans="1:16" x14ac:dyDescent="0.25">
      <c r="A172" t="s">
        <v>114</v>
      </c>
      <c r="B172">
        <v>132</v>
      </c>
      <c r="C172">
        <v>11</v>
      </c>
      <c r="D172" t="s">
        <v>306</v>
      </c>
      <c r="E172">
        <v>0</v>
      </c>
      <c r="F172">
        <f t="shared" si="14"/>
        <v>0</v>
      </c>
      <c r="G172">
        <v>0</v>
      </c>
      <c r="H172">
        <f t="shared" si="14"/>
        <v>0</v>
      </c>
      <c r="I172">
        <v>0</v>
      </c>
      <c r="J172">
        <f t="shared" si="10"/>
        <v>0</v>
      </c>
      <c r="K172">
        <v>11</v>
      </c>
      <c r="L172">
        <f t="shared" si="11"/>
        <v>1</v>
      </c>
      <c r="M172">
        <v>0</v>
      </c>
      <c r="N172">
        <f t="shared" si="12"/>
        <v>0</v>
      </c>
      <c r="O172">
        <v>0</v>
      </c>
      <c r="P172">
        <f t="shared" si="13"/>
        <v>0</v>
      </c>
    </row>
    <row r="173" spans="1:16" x14ac:dyDescent="0.25">
      <c r="A173" t="s">
        <v>114</v>
      </c>
      <c r="B173">
        <v>39</v>
      </c>
      <c r="C173">
        <v>2</v>
      </c>
      <c r="D173" t="s">
        <v>307</v>
      </c>
      <c r="E173">
        <v>0</v>
      </c>
      <c r="F173">
        <f t="shared" si="14"/>
        <v>0</v>
      </c>
      <c r="G173">
        <v>0</v>
      </c>
      <c r="H173">
        <f t="shared" si="14"/>
        <v>0</v>
      </c>
      <c r="I173">
        <v>11</v>
      </c>
      <c r="J173">
        <f t="shared" si="10"/>
        <v>1</v>
      </c>
      <c r="K173">
        <v>0</v>
      </c>
      <c r="L173">
        <f t="shared" si="11"/>
        <v>0</v>
      </c>
      <c r="M173">
        <v>0</v>
      </c>
      <c r="N173">
        <f t="shared" si="12"/>
        <v>0</v>
      </c>
      <c r="O173">
        <v>0</v>
      </c>
      <c r="P173">
        <f t="shared" si="13"/>
        <v>0</v>
      </c>
    </row>
    <row r="174" spans="1:16" x14ac:dyDescent="0.25">
      <c r="A174" t="s">
        <v>114</v>
      </c>
      <c r="B174">
        <v>100</v>
      </c>
      <c r="C174">
        <v>3</v>
      </c>
      <c r="D174" t="s">
        <v>308</v>
      </c>
      <c r="E174">
        <v>0</v>
      </c>
      <c r="F174">
        <f t="shared" si="14"/>
        <v>0</v>
      </c>
      <c r="G174">
        <v>0</v>
      </c>
      <c r="H174">
        <f t="shared" si="14"/>
        <v>0</v>
      </c>
      <c r="I174">
        <v>0</v>
      </c>
      <c r="J174">
        <f t="shared" si="10"/>
        <v>0</v>
      </c>
      <c r="K174">
        <v>0</v>
      </c>
      <c r="L174">
        <f t="shared" si="11"/>
        <v>0</v>
      </c>
      <c r="M174">
        <v>0</v>
      </c>
      <c r="N174">
        <f t="shared" si="12"/>
        <v>0</v>
      </c>
      <c r="O174">
        <v>9</v>
      </c>
      <c r="P174">
        <f t="shared" si="13"/>
        <v>1</v>
      </c>
    </row>
    <row r="175" spans="1:16" x14ac:dyDescent="0.25">
      <c r="A175" t="s">
        <v>114</v>
      </c>
      <c r="B175">
        <v>124</v>
      </c>
      <c r="C175">
        <v>7</v>
      </c>
      <c r="D175" t="s">
        <v>309</v>
      </c>
      <c r="E175">
        <v>0</v>
      </c>
      <c r="F175">
        <f t="shared" si="14"/>
        <v>0</v>
      </c>
      <c r="G175">
        <v>0</v>
      </c>
      <c r="H175">
        <f t="shared" si="14"/>
        <v>0</v>
      </c>
      <c r="I175">
        <v>10</v>
      </c>
      <c r="J175">
        <f t="shared" si="10"/>
        <v>1</v>
      </c>
      <c r="K175">
        <v>0</v>
      </c>
      <c r="L175">
        <f t="shared" si="11"/>
        <v>0</v>
      </c>
      <c r="M175">
        <v>0</v>
      </c>
      <c r="N175">
        <f t="shared" si="12"/>
        <v>0</v>
      </c>
      <c r="O175">
        <v>0</v>
      </c>
      <c r="P175">
        <f t="shared" si="13"/>
        <v>0</v>
      </c>
    </row>
    <row r="176" spans="1:16" x14ac:dyDescent="0.25">
      <c r="A176" t="s">
        <v>114</v>
      </c>
      <c r="B176">
        <v>68</v>
      </c>
      <c r="C176">
        <v>22</v>
      </c>
      <c r="D176" t="s">
        <v>310</v>
      </c>
      <c r="E176">
        <v>0</v>
      </c>
      <c r="F176">
        <f t="shared" si="14"/>
        <v>0</v>
      </c>
      <c r="G176">
        <v>0</v>
      </c>
      <c r="H176">
        <f t="shared" si="14"/>
        <v>0</v>
      </c>
      <c r="I176">
        <v>0</v>
      </c>
      <c r="J176">
        <f t="shared" si="10"/>
        <v>0</v>
      </c>
      <c r="K176">
        <v>0</v>
      </c>
      <c r="L176">
        <f t="shared" si="11"/>
        <v>0</v>
      </c>
      <c r="M176">
        <v>0</v>
      </c>
      <c r="N176">
        <f t="shared" si="12"/>
        <v>0</v>
      </c>
      <c r="O176">
        <v>7</v>
      </c>
      <c r="P176">
        <f t="shared" si="13"/>
        <v>1</v>
      </c>
    </row>
    <row r="177" spans="1:16" x14ac:dyDescent="0.25">
      <c r="A177" t="s">
        <v>114</v>
      </c>
      <c r="B177">
        <v>1</v>
      </c>
      <c r="C177">
        <v>3</v>
      </c>
      <c r="D177" t="s">
        <v>311</v>
      </c>
      <c r="E177">
        <v>0</v>
      </c>
      <c r="F177">
        <f t="shared" si="14"/>
        <v>0</v>
      </c>
      <c r="G177">
        <v>0</v>
      </c>
      <c r="H177">
        <f t="shared" si="14"/>
        <v>0</v>
      </c>
      <c r="I177">
        <v>7</v>
      </c>
      <c r="J177">
        <f t="shared" si="10"/>
        <v>1</v>
      </c>
      <c r="K177">
        <v>0</v>
      </c>
      <c r="L177">
        <f t="shared" si="11"/>
        <v>0</v>
      </c>
      <c r="M177">
        <v>0</v>
      </c>
      <c r="N177">
        <f t="shared" si="12"/>
        <v>0</v>
      </c>
      <c r="O177">
        <v>0</v>
      </c>
      <c r="P177">
        <f t="shared" si="13"/>
        <v>0</v>
      </c>
    </row>
    <row r="178" spans="1:16" x14ac:dyDescent="0.25">
      <c r="A178" t="s">
        <v>114</v>
      </c>
      <c r="B178">
        <v>30</v>
      </c>
      <c r="C178">
        <v>8</v>
      </c>
      <c r="D178" t="s">
        <v>312</v>
      </c>
      <c r="E178">
        <v>0</v>
      </c>
      <c r="F178">
        <f t="shared" si="14"/>
        <v>0</v>
      </c>
      <c r="G178">
        <v>0</v>
      </c>
      <c r="H178">
        <f t="shared" si="14"/>
        <v>0</v>
      </c>
      <c r="I178">
        <v>7</v>
      </c>
      <c r="J178">
        <f t="shared" si="10"/>
        <v>1</v>
      </c>
      <c r="K178">
        <v>0</v>
      </c>
      <c r="L178">
        <f t="shared" si="11"/>
        <v>0</v>
      </c>
      <c r="M178">
        <v>0</v>
      </c>
      <c r="N178">
        <f t="shared" si="12"/>
        <v>0</v>
      </c>
      <c r="O178">
        <v>0</v>
      </c>
      <c r="P178">
        <f t="shared" si="13"/>
        <v>0</v>
      </c>
    </row>
    <row r="179" spans="1:16" x14ac:dyDescent="0.25">
      <c r="A179" t="s">
        <v>114</v>
      </c>
      <c r="B179">
        <v>14</v>
      </c>
      <c r="C179">
        <v>2</v>
      </c>
      <c r="D179" t="s">
        <v>313</v>
      </c>
      <c r="E179">
        <v>0</v>
      </c>
      <c r="F179">
        <f t="shared" si="14"/>
        <v>0</v>
      </c>
      <c r="G179">
        <v>0</v>
      </c>
      <c r="H179">
        <f t="shared" si="14"/>
        <v>0</v>
      </c>
      <c r="I179">
        <v>7</v>
      </c>
      <c r="J179">
        <f t="shared" si="10"/>
        <v>1</v>
      </c>
      <c r="K179">
        <v>0</v>
      </c>
      <c r="L179">
        <f t="shared" si="11"/>
        <v>0</v>
      </c>
      <c r="M179">
        <v>0</v>
      </c>
      <c r="N179">
        <f t="shared" si="12"/>
        <v>0</v>
      </c>
      <c r="O179">
        <v>0</v>
      </c>
      <c r="P179">
        <f t="shared" si="13"/>
        <v>0</v>
      </c>
    </row>
    <row r="180" spans="1:16" x14ac:dyDescent="0.25">
      <c r="A180" t="s">
        <v>114</v>
      </c>
      <c r="B180">
        <v>53</v>
      </c>
      <c r="C180">
        <v>3</v>
      </c>
      <c r="D180" t="s">
        <v>314</v>
      </c>
      <c r="E180">
        <v>0</v>
      </c>
      <c r="F180">
        <f t="shared" si="14"/>
        <v>0</v>
      </c>
      <c r="G180">
        <v>0</v>
      </c>
      <c r="H180">
        <f t="shared" si="14"/>
        <v>0</v>
      </c>
      <c r="I180">
        <v>7</v>
      </c>
      <c r="J180">
        <f t="shared" si="10"/>
        <v>1</v>
      </c>
      <c r="K180">
        <v>0</v>
      </c>
      <c r="L180">
        <f t="shared" si="11"/>
        <v>0</v>
      </c>
      <c r="M180">
        <v>0</v>
      </c>
      <c r="N180">
        <f t="shared" si="12"/>
        <v>0</v>
      </c>
      <c r="O180">
        <v>0</v>
      </c>
      <c r="P180">
        <f t="shared" si="13"/>
        <v>0</v>
      </c>
    </row>
    <row r="181" spans="1:16" x14ac:dyDescent="0.25">
      <c r="A181" t="s">
        <v>114</v>
      </c>
      <c r="B181">
        <v>125</v>
      </c>
      <c r="C181">
        <v>2</v>
      </c>
      <c r="D181" t="s">
        <v>315</v>
      </c>
      <c r="E181">
        <v>0</v>
      </c>
      <c r="F181">
        <f t="shared" si="14"/>
        <v>0</v>
      </c>
      <c r="G181">
        <v>0</v>
      </c>
      <c r="H181">
        <f t="shared" si="14"/>
        <v>0</v>
      </c>
      <c r="I181">
        <v>7</v>
      </c>
      <c r="J181">
        <f t="shared" si="10"/>
        <v>1</v>
      </c>
      <c r="K181">
        <v>0</v>
      </c>
      <c r="L181">
        <f t="shared" si="11"/>
        <v>0</v>
      </c>
      <c r="M181">
        <v>0</v>
      </c>
      <c r="N181">
        <f t="shared" si="12"/>
        <v>0</v>
      </c>
      <c r="O181">
        <v>0</v>
      </c>
      <c r="P181">
        <f t="shared" si="13"/>
        <v>0</v>
      </c>
    </row>
    <row r="182" spans="1:16" x14ac:dyDescent="0.25">
      <c r="A182" t="s">
        <v>114</v>
      </c>
      <c r="B182">
        <v>72</v>
      </c>
      <c r="C182">
        <v>15</v>
      </c>
      <c r="D182" t="s">
        <v>316</v>
      </c>
      <c r="E182">
        <v>0</v>
      </c>
      <c r="F182">
        <f t="shared" si="14"/>
        <v>0</v>
      </c>
      <c r="G182">
        <v>0</v>
      </c>
      <c r="H182">
        <f t="shared" si="14"/>
        <v>0</v>
      </c>
      <c r="I182">
        <v>7</v>
      </c>
      <c r="J182">
        <f t="shared" si="10"/>
        <v>1</v>
      </c>
      <c r="K182">
        <v>0</v>
      </c>
      <c r="L182">
        <f t="shared" si="11"/>
        <v>0</v>
      </c>
      <c r="M182">
        <v>0</v>
      </c>
      <c r="N182">
        <f t="shared" si="12"/>
        <v>0</v>
      </c>
      <c r="O182">
        <v>0</v>
      </c>
      <c r="P182">
        <f t="shared" si="13"/>
        <v>0</v>
      </c>
    </row>
    <row r="183" spans="1:16" x14ac:dyDescent="0.25">
      <c r="A183" t="s">
        <v>114</v>
      </c>
      <c r="B183">
        <v>85</v>
      </c>
      <c r="C183">
        <v>9</v>
      </c>
      <c r="D183" t="s">
        <v>317</v>
      </c>
      <c r="E183">
        <v>0</v>
      </c>
      <c r="F183">
        <f t="shared" si="14"/>
        <v>0</v>
      </c>
      <c r="G183">
        <v>0</v>
      </c>
      <c r="H183">
        <f t="shared" si="14"/>
        <v>0</v>
      </c>
      <c r="I183">
        <v>7</v>
      </c>
      <c r="J183">
        <f t="shared" si="10"/>
        <v>1</v>
      </c>
      <c r="K183">
        <v>0</v>
      </c>
      <c r="L183">
        <f t="shared" si="11"/>
        <v>0</v>
      </c>
      <c r="M183">
        <v>0</v>
      </c>
      <c r="N183">
        <f t="shared" si="12"/>
        <v>0</v>
      </c>
      <c r="O183">
        <v>0</v>
      </c>
      <c r="P183">
        <f t="shared" si="13"/>
        <v>0</v>
      </c>
    </row>
    <row r="184" spans="1:16" x14ac:dyDescent="0.25">
      <c r="A184" t="s">
        <v>114</v>
      </c>
      <c r="B184">
        <v>133</v>
      </c>
      <c r="C184">
        <v>3</v>
      </c>
      <c r="D184" t="s">
        <v>318</v>
      </c>
      <c r="E184">
        <v>0</v>
      </c>
      <c r="F184">
        <f t="shared" si="14"/>
        <v>0</v>
      </c>
      <c r="G184">
        <v>0</v>
      </c>
      <c r="H184">
        <f t="shared" si="14"/>
        <v>0</v>
      </c>
      <c r="I184">
        <v>7</v>
      </c>
      <c r="J184">
        <f t="shared" si="10"/>
        <v>1</v>
      </c>
      <c r="K184">
        <v>0</v>
      </c>
      <c r="L184">
        <f t="shared" si="11"/>
        <v>0</v>
      </c>
      <c r="M184">
        <v>0</v>
      </c>
      <c r="N184">
        <f t="shared" si="12"/>
        <v>0</v>
      </c>
      <c r="O184">
        <v>0</v>
      </c>
      <c r="P184">
        <f t="shared" si="13"/>
        <v>0</v>
      </c>
    </row>
    <row r="185" spans="1:16" x14ac:dyDescent="0.25">
      <c r="A185" t="s">
        <v>114</v>
      </c>
      <c r="B185">
        <v>42</v>
      </c>
      <c r="C185">
        <v>7</v>
      </c>
      <c r="D185" t="s">
        <v>319</v>
      </c>
      <c r="E185">
        <v>0</v>
      </c>
      <c r="F185">
        <f t="shared" si="14"/>
        <v>0</v>
      </c>
      <c r="G185">
        <v>0</v>
      </c>
      <c r="H185">
        <f t="shared" si="14"/>
        <v>0</v>
      </c>
      <c r="I185">
        <v>7</v>
      </c>
      <c r="J185">
        <f t="shared" si="10"/>
        <v>1</v>
      </c>
      <c r="K185">
        <v>0</v>
      </c>
      <c r="L185">
        <f t="shared" si="11"/>
        <v>0</v>
      </c>
      <c r="M185">
        <v>0</v>
      </c>
      <c r="N185">
        <f t="shared" si="12"/>
        <v>0</v>
      </c>
      <c r="O185">
        <v>0</v>
      </c>
      <c r="P185">
        <f t="shared" si="13"/>
        <v>0</v>
      </c>
    </row>
    <row r="186" spans="1:16" x14ac:dyDescent="0.25">
      <c r="A186" t="s">
        <v>114</v>
      </c>
      <c r="B186">
        <v>16</v>
      </c>
      <c r="C186">
        <v>11</v>
      </c>
      <c r="D186" t="s">
        <v>320</v>
      </c>
      <c r="E186">
        <v>0</v>
      </c>
      <c r="F186">
        <f t="shared" si="14"/>
        <v>0</v>
      </c>
      <c r="G186">
        <v>0</v>
      </c>
      <c r="H186">
        <f t="shared" si="14"/>
        <v>0</v>
      </c>
      <c r="I186">
        <v>0</v>
      </c>
      <c r="J186">
        <f t="shared" si="10"/>
        <v>0</v>
      </c>
      <c r="K186">
        <v>0</v>
      </c>
      <c r="L186">
        <f t="shared" si="11"/>
        <v>0</v>
      </c>
      <c r="M186">
        <v>0</v>
      </c>
      <c r="N186">
        <f t="shared" si="12"/>
        <v>0</v>
      </c>
      <c r="O186">
        <v>3</v>
      </c>
      <c r="P186">
        <f t="shared" si="13"/>
        <v>1</v>
      </c>
    </row>
    <row r="187" spans="1:16" x14ac:dyDescent="0.25">
      <c r="A187" t="s">
        <v>116</v>
      </c>
      <c r="B187">
        <v>7</v>
      </c>
      <c r="C187">
        <v>11</v>
      </c>
      <c r="D187" t="s">
        <v>321</v>
      </c>
      <c r="E187">
        <v>0</v>
      </c>
      <c r="F187">
        <f t="shared" si="14"/>
        <v>0</v>
      </c>
      <c r="G187">
        <v>0</v>
      </c>
      <c r="H187">
        <f t="shared" si="14"/>
        <v>0</v>
      </c>
      <c r="I187">
        <v>0</v>
      </c>
      <c r="J187">
        <f t="shared" si="10"/>
        <v>0</v>
      </c>
      <c r="K187">
        <v>0</v>
      </c>
      <c r="L187">
        <f t="shared" si="11"/>
        <v>0</v>
      </c>
      <c r="M187">
        <v>0</v>
      </c>
      <c r="N187">
        <f t="shared" si="12"/>
        <v>0</v>
      </c>
      <c r="O187">
        <v>3</v>
      </c>
      <c r="P187">
        <f t="shared" si="13"/>
        <v>1</v>
      </c>
    </row>
    <row r="188" spans="1:16" x14ac:dyDescent="0.25">
      <c r="A188" t="s">
        <v>114</v>
      </c>
      <c r="B188">
        <v>90</v>
      </c>
      <c r="C188">
        <v>1</v>
      </c>
      <c r="D188" t="s">
        <v>322</v>
      </c>
      <c r="E188">
        <v>0</v>
      </c>
      <c r="F188">
        <f t="shared" si="14"/>
        <v>0</v>
      </c>
      <c r="G188">
        <v>0</v>
      </c>
      <c r="H188">
        <f t="shared" si="14"/>
        <v>0</v>
      </c>
      <c r="I188">
        <v>3</v>
      </c>
      <c r="J188">
        <f t="shared" si="10"/>
        <v>1</v>
      </c>
      <c r="K188">
        <v>0</v>
      </c>
      <c r="L188">
        <f t="shared" si="11"/>
        <v>0</v>
      </c>
      <c r="M188">
        <v>0</v>
      </c>
      <c r="N188">
        <f t="shared" si="12"/>
        <v>0</v>
      </c>
      <c r="O188">
        <v>0</v>
      </c>
      <c r="P188">
        <f t="shared" si="13"/>
        <v>0</v>
      </c>
    </row>
    <row r="189" spans="1:16" x14ac:dyDescent="0.25">
      <c r="A189" t="s">
        <v>114</v>
      </c>
      <c r="B189">
        <v>35</v>
      </c>
      <c r="C189">
        <v>15</v>
      </c>
      <c r="D189" t="s">
        <v>323</v>
      </c>
      <c r="E189">
        <v>0</v>
      </c>
      <c r="F189">
        <f t="shared" si="14"/>
        <v>0</v>
      </c>
      <c r="G189">
        <v>0</v>
      </c>
      <c r="H189">
        <f t="shared" si="14"/>
        <v>0</v>
      </c>
      <c r="I189">
        <v>3</v>
      </c>
      <c r="J189">
        <f t="shared" si="10"/>
        <v>1</v>
      </c>
      <c r="K189">
        <v>0</v>
      </c>
      <c r="L189">
        <f t="shared" si="11"/>
        <v>0</v>
      </c>
      <c r="M189">
        <v>0</v>
      </c>
      <c r="N189">
        <f t="shared" si="12"/>
        <v>0</v>
      </c>
      <c r="O189">
        <v>0</v>
      </c>
      <c r="P189">
        <f t="shared" si="13"/>
        <v>0</v>
      </c>
    </row>
    <row r="190" spans="1:16" x14ac:dyDescent="0.25">
      <c r="A190" t="s">
        <v>114</v>
      </c>
      <c r="B190">
        <v>56</v>
      </c>
      <c r="C190">
        <v>9</v>
      </c>
      <c r="D190" t="s">
        <v>324</v>
      </c>
      <c r="E190">
        <v>0</v>
      </c>
      <c r="F190">
        <f t="shared" si="14"/>
        <v>0</v>
      </c>
      <c r="G190">
        <v>0</v>
      </c>
      <c r="H190">
        <f t="shared" si="14"/>
        <v>0</v>
      </c>
      <c r="I190">
        <v>3</v>
      </c>
      <c r="J190">
        <f t="shared" si="10"/>
        <v>1</v>
      </c>
      <c r="K190">
        <v>0</v>
      </c>
      <c r="L190">
        <f t="shared" si="11"/>
        <v>0</v>
      </c>
      <c r="M190">
        <v>0</v>
      </c>
      <c r="N190">
        <f t="shared" si="12"/>
        <v>0</v>
      </c>
      <c r="O190">
        <v>0</v>
      </c>
      <c r="P190">
        <f t="shared" si="13"/>
        <v>0</v>
      </c>
    </row>
    <row r="191" spans="1:16" x14ac:dyDescent="0.25">
      <c r="A191" t="s">
        <v>114</v>
      </c>
      <c r="B191">
        <v>52</v>
      </c>
      <c r="C191">
        <v>7</v>
      </c>
      <c r="D191" t="s">
        <v>325</v>
      </c>
      <c r="E191">
        <v>0</v>
      </c>
      <c r="F191">
        <f t="shared" si="14"/>
        <v>0</v>
      </c>
      <c r="G191">
        <v>0</v>
      </c>
      <c r="H191">
        <f t="shared" si="14"/>
        <v>0</v>
      </c>
      <c r="I191">
        <v>3</v>
      </c>
      <c r="J191">
        <f t="shared" si="10"/>
        <v>1</v>
      </c>
      <c r="K191">
        <v>0</v>
      </c>
      <c r="L191">
        <f t="shared" si="11"/>
        <v>0</v>
      </c>
      <c r="M191">
        <v>0</v>
      </c>
      <c r="N191">
        <f t="shared" si="12"/>
        <v>0</v>
      </c>
      <c r="O191">
        <v>0</v>
      </c>
      <c r="P191">
        <f t="shared" si="13"/>
        <v>0</v>
      </c>
    </row>
    <row r="192" spans="1:16" x14ac:dyDescent="0.25">
      <c r="A192" t="s">
        <v>114</v>
      </c>
      <c r="B192">
        <v>56</v>
      </c>
      <c r="C192">
        <v>5</v>
      </c>
      <c r="D192" t="s">
        <v>326</v>
      </c>
      <c r="E192">
        <v>0</v>
      </c>
      <c r="F192">
        <f t="shared" si="14"/>
        <v>0</v>
      </c>
      <c r="G192">
        <v>0</v>
      </c>
      <c r="H192">
        <f t="shared" si="14"/>
        <v>0</v>
      </c>
      <c r="I192">
        <v>3</v>
      </c>
      <c r="J192">
        <f t="shared" si="10"/>
        <v>1</v>
      </c>
      <c r="K192">
        <v>0</v>
      </c>
      <c r="L192">
        <f t="shared" si="11"/>
        <v>0</v>
      </c>
      <c r="M192">
        <v>0</v>
      </c>
      <c r="N192">
        <f t="shared" si="12"/>
        <v>0</v>
      </c>
      <c r="O192">
        <v>0</v>
      </c>
      <c r="P192">
        <f t="shared" si="13"/>
        <v>0</v>
      </c>
    </row>
    <row r="193" spans="1:16" x14ac:dyDescent="0.25">
      <c r="A193" t="s">
        <v>114</v>
      </c>
      <c r="B193">
        <v>68</v>
      </c>
      <c r="C193">
        <v>14</v>
      </c>
      <c r="D193" t="s">
        <v>327</v>
      </c>
      <c r="E193">
        <v>0</v>
      </c>
      <c r="F193">
        <f t="shared" si="14"/>
        <v>0</v>
      </c>
      <c r="G193">
        <v>0</v>
      </c>
      <c r="H193">
        <f t="shared" si="14"/>
        <v>0</v>
      </c>
      <c r="I193">
        <v>3</v>
      </c>
      <c r="J193">
        <f t="shared" si="10"/>
        <v>1</v>
      </c>
      <c r="K193">
        <v>0</v>
      </c>
      <c r="L193">
        <f t="shared" si="11"/>
        <v>0</v>
      </c>
      <c r="M193">
        <v>0</v>
      </c>
      <c r="N193">
        <f t="shared" si="12"/>
        <v>0</v>
      </c>
      <c r="O193">
        <v>0</v>
      </c>
      <c r="P193">
        <f t="shared" si="13"/>
        <v>0</v>
      </c>
    </row>
    <row r="194" spans="1:16" x14ac:dyDescent="0.25">
      <c r="A194" t="s">
        <v>114</v>
      </c>
      <c r="B194">
        <v>45</v>
      </c>
      <c r="C194">
        <v>15</v>
      </c>
      <c r="D194" t="s">
        <v>328</v>
      </c>
      <c r="E194">
        <v>0</v>
      </c>
      <c r="F194">
        <f t="shared" si="14"/>
        <v>0</v>
      </c>
      <c r="G194">
        <v>0</v>
      </c>
      <c r="H194">
        <f t="shared" si="14"/>
        <v>0</v>
      </c>
      <c r="I194">
        <v>3</v>
      </c>
      <c r="J194">
        <f t="shared" ref="J194:J257" si="15">IF(I194=0,0,1)</f>
        <v>1</v>
      </c>
      <c r="K194">
        <v>0</v>
      </c>
      <c r="L194">
        <f t="shared" ref="L194:L257" si="16">IF(K194=0,0,1)</f>
        <v>0</v>
      </c>
      <c r="M194">
        <v>0</v>
      </c>
      <c r="N194">
        <f t="shared" ref="N194:N257" si="17">IF(M194=0,0,1)</f>
        <v>0</v>
      </c>
      <c r="O194">
        <v>0</v>
      </c>
      <c r="P194">
        <f t="shared" ref="P194:P257" si="18">IF(O194=0,0,1)</f>
        <v>0</v>
      </c>
    </row>
    <row r="195" spans="1:16" x14ac:dyDescent="0.25">
      <c r="A195" t="s">
        <v>114</v>
      </c>
      <c r="B195">
        <v>130</v>
      </c>
      <c r="C195">
        <v>2</v>
      </c>
      <c r="D195" t="s">
        <v>329</v>
      </c>
      <c r="E195">
        <v>0</v>
      </c>
      <c r="F195">
        <f t="shared" ref="F195:H258" si="19">IF(E195=0,0,1)</f>
        <v>0</v>
      </c>
      <c r="G195">
        <v>0</v>
      </c>
      <c r="H195">
        <f t="shared" si="19"/>
        <v>0</v>
      </c>
      <c r="I195">
        <v>3</v>
      </c>
      <c r="J195">
        <f t="shared" si="15"/>
        <v>1</v>
      </c>
      <c r="K195">
        <v>0</v>
      </c>
      <c r="L195">
        <f t="shared" si="16"/>
        <v>0</v>
      </c>
      <c r="M195">
        <v>0</v>
      </c>
      <c r="N195">
        <f t="shared" si="17"/>
        <v>0</v>
      </c>
      <c r="O195">
        <v>0</v>
      </c>
      <c r="P195">
        <f t="shared" si="18"/>
        <v>0</v>
      </c>
    </row>
    <row r="196" spans="1:16" x14ac:dyDescent="0.25">
      <c r="A196" t="s">
        <v>114</v>
      </c>
      <c r="B196">
        <v>35</v>
      </c>
      <c r="C196">
        <v>17</v>
      </c>
      <c r="D196" t="s">
        <v>329</v>
      </c>
      <c r="E196">
        <v>0</v>
      </c>
      <c r="F196">
        <f t="shared" si="19"/>
        <v>0</v>
      </c>
      <c r="G196">
        <v>0</v>
      </c>
      <c r="H196">
        <f t="shared" si="19"/>
        <v>0</v>
      </c>
      <c r="I196">
        <v>3</v>
      </c>
      <c r="J196">
        <f t="shared" si="15"/>
        <v>1</v>
      </c>
      <c r="K196">
        <v>0</v>
      </c>
      <c r="L196">
        <f t="shared" si="16"/>
        <v>0</v>
      </c>
      <c r="M196">
        <v>0</v>
      </c>
      <c r="N196">
        <f t="shared" si="17"/>
        <v>0</v>
      </c>
      <c r="O196">
        <v>0</v>
      </c>
      <c r="P196">
        <f t="shared" si="18"/>
        <v>0</v>
      </c>
    </row>
    <row r="197" spans="1:16" x14ac:dyDescent="0.25">
      <c r="A197" t="s">
        <v>114</v>
      </c>
      <c r="B197">
        <v>3</v>
      </c>
      <c r="C197">
        <v>3</v>
      </c>
      <c r="D197" t="s">
        <v>330</v>
      </c>
      <c r="E197">
        <v>0</v>
      </c>
      <c r="F197">
        <f t="shared" si="19"/>
        <v>0</v>
      </c>
      <c r="G197">
        <v>0</v>
      </c>
      <c r="H197">
        <f t="shared" si="19"/>
        <v>0</v>
      </c>
      <c r="I197">
        <v>3</v>
      </c>
      <c r="J197">
        <f t="shared" si="15"/>
        <v>1</v>
      </c>
      <c r="K197">
        <v>0</v>
      </c>
      <c r="L197">
        <f t="shared" si="16"/>
        <v>0</v>
      </c>
      <c r="M197">
        <v>0</v>
      </c>
      <c r="N197">
        <f t="shared" si="17"/>
        <v>0</v>
      </c>
      <c r="O197">
        <v>0</v>
      </c>
      <c r="P197">
        <f t="shared" si="18"/>
        <v>0</v>
      </c>
    </row>
    <row r="198" spans="1:16" x14ac:dyDescent="0.25">
      <c r="A198" t="s">
        <v>114</v>
      </c>
      <c r="B198">
        <v>18</v>
      </c>
      <c r="C198">
        <v>51</v>
      </c>
      <c r="D198" t="s">
        <v>331</v>
      </c>
      <c r="E198">
        <v>0</v>
      </c>
      <c r="F198">
        <f t="shared" si="19"/>
        <v>0</v>
      </c>
      <c r="G198">
        <v>0</v>
      </c>
      <c r="H198">
        <f t="shared" si="19"/>
        <v>0</v>
      </c>
      <c r="I198">
        <v>3</v>
      </c>
      <c r="J198">
        <f t="shared" si="15"/>
        <v>1</v>
      </c>
      <c r="K198">
        <v>0</v>
      </c>
      <c r="L198">
        <f t="shared" si="16"/>
        <v>0</v>
      </c>
      <c r="M198">
        <v>0</v>
      </c>
      <c r="N198">
        <f t="shared" si="17"/>
        <v>0</v>
      </c>
      <c r="O198">
        <v>0</v>
      </c>
      <c r="P198">
        <f t="shared" si="18"/>
        <v>0</v>
      </c>
    </row>
    <row r="199" spans="1:16" x14ac:dyDescent="0.25">
      <c r="A199" t="s">
        <v>114</v>
      </c>
      <c r="B199">
        <v>109</v>
      </c>
      <c r="C199">
        <v>28</v>
      </c>
      <c r="D199" t="s">
        <v>332</v>
      </c>
      <c r="E199">
        <v>0</v>
      </c>
      <c r="F199">
        <f t="shared" si="19"/>
        <v>0</v>
      </c>
      <c r="G199">
        <v>0</v>
      </c>
      <c r="H199">
        <f t="shared" si="19"/>
        <v>0</v>
      </c>
      <c r="I199">
        <v>3</v>
      </c>
      <c r="J199">
        <f t="shared" si="15"/>
        <v>1</v>
      </c>
      <c r="K199">
        <v>0</v>
      </c>
      <c r="L199">
        <f t="shared" si="16"/>
        <v>0</v>
      </c>
      <c r="M199">
        <v>0</v>
      </c>
      <c r="N199">
        <f t="shared" si="17"/>
        <v>0</v>
      </c>
      <c r="O199">
        <v>0</v>
      </c>
      <c r="P199">
        <f t="shared" si="18"/>
        <v>0</v>
      </c>
    </row>
    <row r="200" spans="1:16" x14ac:dyDescent="0.25">
      <c r="A200" t="s">
        <v>114</v>
      </c>
      <c r="B200">
        <v>5</v>
      </c>
      <c r="C200">
        <v>13</v>
      </c>
      <c r="D200" t="s">
        <v>333</v>
      </c>
      <c r="E200">
        <v>0</v>
      </c>
      <c r="F200">
        <f t="shared" si="19"/>
        <v>0</v>
      </c>
      <c r="G200">
        <v>0</v>
      </c>
      <c r="H200">
        <f t="shared" si="19"/>
        <v>0</v>
      </c>
      <c r="I200">
        <v>3</v>
      </c>
      <c r="J200">
        <f t="shared" si="15"/>
        <v>1</v>
      </c>
      <c r="K200">
        <v>0</v>
      </c>
      <c r="L200">
        <f t="shared" si="16"/>
        <v>0</v>
      </c>
      <c r="M200">
        <v>0</v>
      </c>
      <c r="N200">
        <f t="shared" si="17"/>
        <v>0</v>
      </c>
      <c r="O200">
        <v>0</v>
      </c>
      <c r="P200">
        <f t="shared" si="18"/>
        <v>0</v>
      </c>
    </row>
    <row r="201" spans="1:16" x14ac:dyDescent="0.25">
      <c r="A201" t="s">
        <v>114</v>
      </c>
      <c r="B201">
        <v>18</v>
      </c>
      <c r="C201">
        <v>36</v>
      </c>
      <c r="D201" t="s">
        <v>334</v>
      </c>
      <c r="E201">
        <v>0</v>
      </c>
      <c r="F201">
        <f t="shared" si="19"/>
        <v>0</v>
      </c>
      <c r="G201">
        <v>0</v>
      </c>
      <c r="H201">
        <f t="shared" si="19"/>
        <v>0</v>
      </c>
      <c r="I201">
        <v>3</v>
      </c>
      <c r="J201">
        <f t="shared" si="15"/>
        <v>1</v>
      </c>
      <c r="K201">
        <v>0</v>
      </c>
      <c r="L201">
        <f t="shared" si="16"/>
        <v>0</v>
      </c>
      <c r="M201">
        <v>0</v>
      </c>
      <c r="N201">
        <f t="shared" si="17"/>
        <v>0</v>
      </c>
      <c r="O201">
        <v>0</v>
      </c>
      <c r="P201">
        <f t="shared" si="18"/>
        <v>0</v>
      </c>
    </row>
    <row r="202" spans="1:16" x14ac:dyDescent="0.25">
      <c r="A202" t="s">
        <v>114</v>
      </c>
      <c r="B202">
        <v>18</v>
      </c>
      <c r="C202">
        <v>31</v>
      </c>
      <c r="D202" t="s">
        <v>335</v>
      </c>
      <c r="E202">
        <v>0</v>
      </c>
      <c r="F202">
        <f t="shared" si="19"/>
        <v>0</v>
      </c>
      <c r="G202">
        <v>0</v>
      </c>
      <c r="H202">
        <f t="shared" si="19"/>
        <v>0</v>
      </c>
      <c r="I202">
        <v>3</v>
      </c>
      <c r="J202">
        <f t="shared" si="15"/>
        <v>1</v>
      </c>
      <c r="K202">
        <v>0</v>
      </c>
      <c r="L202">
        <f t="shared" si="16"/>
        <v>0</v>
      </c>
      <c r="M202">
        <v>0</v>
      </c>
      <c r="N202">
        <f t="shared" si="17"/>
        <v>0</v>
      </c>
      <c r="O202">
        <v>0</v>
      </c>
      <c r="P202">
        <f t="shared" si="18"/>
        <v>0</v>
      </c>
    </row>
    <row r="203" spans="1:16" x14ac:dyDescent="0.25">
      <c r="A203" t="s">
        <v>116</v>
      </c>
      <c r="B203">
        <v>30</v>
      </c>
      <c r="C203">
        <v>12</v>
      </c>
      <c r="D203" t="s">
        <v>336</v>
      </c>
      <c r="E203">
        <v>0</v>
      </c>
      <c r="F203">
        <f t="shared" si="19"/>
        <v>0</v>
      </c>
      <c r="G203">
        <v>0</v>
      </c>
      <c r="H203">
        <f t="shared" si="19"/>
        <v>0</v>
      </c>
      <c r="I203">
        <v>3</v>
      </c>
      <c r="J203">
        <f t="shared" si="15"/>
        <v>1</v>
      </c>
      <c r="K203">
        <v>0</v>
      </c>
      <c r="L203">
        <f t="shared" si="16"/>
        <v>0</v>
      </c>
      <c r="M203">
        <v>0</v>
      </c>
      <c r="N203">
        <f t="shared" si="17"/>
        <v>0</v>
      </c>
      <c r="O203">
        <v>0</v>
      </c>
      <c r="P203">
        <f t="shared" si="18"/>
        <v>0</v>
      </c>
    </row>
    <row r="204" spans="1:16" x14ac:dyDescent="0.25">
      <c r="A204" t="s">
        <v>114</v>
      </c>
      <c r="B204">
        <v>7</v>
      </c>
      <c r="C204">
        <v>9</v>
      </c>
      <c r="D204" t="s">
        <v>337</v>
      </c>
      <c r="E204">
        <v>0</v>
      </c>
      <c r="F204">
        <f t="shared" si="19"/>
        <v>0</v>
      </c>
      <c r="G204">
        <v>0</v>
      </c>
      <c r="H204">
        <f t="shared" si="19"/>
        <v>0</v>
      </c>
      <c r="I204">
        <v>3</v>
      </c>
      <c r="J204">
        <f t="shared" si="15"/>
        <v>1</v>
      </c>
      <c r="K204">
        <v>0</v>
      </c>
      <c r="L204">
        <f t="shared" si="16"/>
        <v>0</v>
      </c>
      <c r="M204">
        <v>0</v>
      </c>
      <c r="N204">
        <f t="shared" si="17"/>
        <v>0</v>
      </c>
      <c r="O204">
        <v>0</v>
      </c>
      <c r="P204">
        <f t="shared" si="18"/>
        <v>0</v>
      </c>
    </row>
    <row r="205" spans="1:16" x14ac:dyDescent="0.25">
      <c r="A205" t="s">
        <v>115</v>
      </c>
      <c r="B205">
        <v>1</v>
      </c>
      <c r="C205">
        <v>11</v>
      </c>
      <c r="D205" t="s">
        <v>337</v>
      </c>
      <c r="E205">
        <v>0</v>
      </c>
      <c r="F205">
        <f t="shared" si="19"/>
        <v>0</v>
      </c>
      <c r="G205">
        <v>0</v>
      </c>
      <c r="H205">
        <f t="shared" si="19"/>
        <v>0</v>
      </c>
      <c r="I205">
        <v>3</v>
      </c>
      <c r="J205">
        <f t="shared" si="15"/>
        <v>1</v>
      </c>
      <c r="K205">
        <v>0</v>
      </c>
      <c r="L205">
        <f t="shared" si="16"/>
        <v>0</v>
      </c>
      <c r="M205">
        <v>0</v>
      </c>
      <c r="N205">
        <f t="shared" si="17"/>
        <v>0</v>
      </c>
      <c r="O205">
        <v>0</v>
      </c>
      <c r="P205">
        <f t="shared" si="18"/>
        <v>0</v>
      </c>
    </row>
    <row r="206" spans="1:16" x14ac:dyDescent="0.25">
      <c r="A206" t="s">
        <v>116</v>
      </c>
      <c r="B206">
        <v>3</v>
      </c>
      <c r="C206">
        <v>9</v>
      </c>
      <c r="D206" t="s">
        <v>338</v>
      </c>
      <c r="E206">
        <v>0</v>
      </c>
      <c r="F206">
        <f t="shared" si="19"/>
        <v>0</v>
      </c>
      <c r="G206">
        <v>0</v>
      </c>
      <c r="H206">
        <f t="shared" si="19"/>
        <v>0</v>
      </c>
      <c r="I206">
        <v>3</v>
      </c>
      <c r="J206">
        <f t="shared" si="15"/>
        <v>1</v>
      </c>
      <c r="K206">
        <v>0</v>
      </c>
      <c r="L206">
        <f t="shared" si="16"/>
        <v>0</v>
      </c>
      <c r="M206">
        <v>0</v>
      </c>
      <c r="N206">
        <f t="shared" si="17"/>
        <v>0</v>
      </c>
      <c r="O206">
        <v>0</v>
      </c>
      <c r="P206">
        <f t="shared" si="18"/>
        <v>0</v>
      </c>
    </row>
    <row r="207" spans="1:16" x14ac:dyDescent="0.25">
      <c r="A207" t="s">
        <v>114</v>
      </c>
      <c r="B207">
        <v>11</v>
      </c>
      <c r="C207">
        <v>5</v>
      </c>
      <c r="D207" t="s">
        <v>339</v>
      </c>
      <c r="E207">
        <v>0</v>
      </c>
      <c r="F207">
        <f t="shared" si="19"/>
        <v>0</v>
      </c>
      <c r="G207">
        <v>0</v>
      </c>
      <c r="H207">
        <f t="shared" si="19"/>
        <v>0</v>
      </c>
      <c r="I207">
        <v>3</v>
      </c>
      <c r="J207">
        <f t="shared" si="15"/>
        <v>1</v>
      </c>
      <c r="K207">
        <v>0</v>
      </c>
      <c r="L207">
        <f t="shared" si="16"/>
        <v>0</v>
      </c>
      <c r="M207">
        <v>0</v>
      </c>
      <c r="N207">
        <f t="shared" si="17"/>
        <v>0</v>
      </c>
      <c r="O207">
        <v>0</v>
      </c>
      <c r="P207">
        <f t="shared" si="18"/>
        <v>0</v>
      </c>
    </row>
    <row r="208" spans="1:16" x14ac:dyDescent="0.25">
      <c r="A208" t="s">
        <v>114</v>
      </c>
      <c r="B208">
        <v>63</v>
      </c>
      <c r="C208">
        <v>12</v>
      </c>
      <c r="D208" t="s">
        <v>340</v>
      </c>
      <c r="E208">
        <v>0</v>
      </c>
      <c r="F208">
        <f t="shared" si="19"/>
        <v>0</v>
      </c>
      <c r="G208">
        <v>0</v>
      </c>
      <c r="H208">
        <f t="shared" si="19"/>
        <v>0</v>
      </c>
      <c r="I208">
        <v>3</v>
      </c>
      <c r="J208">
        <f t="shared" si="15"/>
        <v>1</v>
      </c>
      <c r="K208">
        <v>0</v>
      </c>
      <c r="L208">
        <f t="shared" si="16"/>
        <v>0</v>
      </c>
      <c r="M208">
        <v>0</v>
      </c>
      <c r="N208">
        <f t="shared" si="17"/>
        <v>0</v>
      </c>
      <c r="O208">
        <v>0</v>
      </c>
      <c r="P208">
        <f t="shared" si="18"/>
        <v>0</v>
      </c>
    </row>
    <row r="209" spans="1:16" x14ac:dyDescent="0.25">
      <c r="A209" t="s">
        <v>114</v>
      </c>
      <c r="B209">
        <v>18</v>
      </c>
      <c r="C209">
        <v>44</v>
      </c>
      <c r="D209" t="s">
        <v>341</v>
      </c>
      <c r="E209">
        <v>0</v>
      </c>
      <c r="F209">
        <f t="shared" si="19"/>
        <v>0</v>
      </c>
      <c r="G209">
        <v>0</v>
      </c>
      <c r="H209">
        <f t="shared" si="19"/>
        <v>0</v>
      </c>
      <c r="I209">
        <v>3</v>
      </c>
      <c r="J209">
        <f t="shared" si="15"/>
        <v>1</v>
      </c>
      <c r="K209">
        <v>0</v>
      </c>
      <c r="L209">
        <f t="shared" si="16"/>
        <v>0</v>
      </c>
      <c r="M209">
        <v>0</v>
      </c>
      <c r="N209">
        <f t="shared" si="17"/>
        <v>0</v>
      </c>
      <c r="O209">
        <v>0</v>
      </c>
      <c r="P209">
        <f t="shared" si="18"/>
        <v>0</v>
      </c>
    </row>
    <row r="210" spans="1:16" x14ac:dyDescent="0.25">
      <c r="A210" t="s">
        <v>114</v>
      </c>
      <c r="B210">
        <v>138</v>
      </c>
      <c r="C210">
        <v>8</v>
      </c>
      <c r="D210" t="s">
        <v>341</v>
      </c>
      <c r="E210">
        <v>0</v>
      </c>
      <c r="F210">
        <f t="shared" si="19"/>
        <v>0</v>
      </c>
      <c r="G210">
        <v>0</v>
      </c>
      <c r="H210">
        <f t="shared" si="19"/>
        <v>0</v>
      </c>
      <c r="I210">
        <v>3</v>
      </c>
      <c r="J210">
        <f t="shared" si="15"/>
        <v>1</v>
      </c>
      <c r="K210">
        <v>0</v>
      </c>
      <c r="L210">
        <f t="shared" si="16"/>
        <v>0</v>
      </c>
      <c r="M210">
        <v>0</v>
      </c>
      <c r="N210">
        <f t="shared" si="17"/>
        <v>0</v>
      </c>
      <c r="O210">
        <v>0</v>
      </c>
      <c r="P210">
        <f t="shared" si="18"/>
        <v>0</v>
      </c>
    </row>
    <row r="211" spans="1:16" x14ac:dyDescent="0.25">
      <c r="A211" t="s">
        <v>116</v>
      </c>
      <c r="B211">
        <v>20</v>
      </c>
      <c r="C211">
        <v>26</v>
      </c>
      <c r="D211" t="s">
        <v>341</v>
      </c>
      <c r="E211">
        <v>0</v>
      </c>
      <c r="F211">
        <f t="shared" si="19"/>
        <v>0</v>
      </c>
      <c r="G211">
        <v>0</v>
      </c>
      <c r="H211">
        <f t="shared" si="19"/>
        <v>0</v>
      </c>
      <c r="I211">
        <v>3</v>
      </c>
      <c r="J211">
        <f t="shared" si="15"/>
        <v>1</v>
      </c>
      <c r="K211">
        <v>0</v>
      </c>
      <c r="L211">
        <f t="shared" si="16"/>
        <v>0</v>
      </c>
      <c r="M211">
        <v>0</v>
      </c>
      <c r="N211">
        <f t="shared" si="17"/>
        <v>0</v>
      </c>
      <c r="O211">
        <v>0</v>
      </c>
      <c r="P211">
        <f t="shared" si="18"/>
        <v>0</v>
      </c>
    </row>
    <row r="212" spans="1:16" x14ac:dyDescent="0.25">
      <c r="A212" t="s">
        <v>114</v>
      </c>
      <c r="B212">
        <v>79</v>
      </c>
      <c r="C212">
        <v>8</v>
      </c>
      <c r="D212" t="s">
        <v>341</v>
      </c>
      <c r="E212">
        <v>0</v>
      </c>
      <c r="F212">
        <f t="shared" si="19"/>
        <v>0</v>
      </c>
      <c r="G212">
        <v>0</v>
      </c>
      <c r="H212">
        <f t="shared" si="19"/>
        <v>0</v>
      </c>
      <c r="I212">
        <v>3</v>
      </c>
      <c r="J212">
        <f t="shared" si="15"/>
        <v>1</v>
      </c>
      <c r="K212">
        <v>0</v>
      </c>
      <c r="L212">
        <f t="shared" si="16"/>
        <v>0</v>
      </c>
      <c r="M212">
        <v>0</v>
      </c>
      <c r="N212">
        <f t="shared" si="17"/>
        <v>0</v>
      </c>
      <c r="O212">
        <v>0</v>
      </c>
      <c r="P212">
        <f t="shared" si="18"/>
        <v>0</v>
      </c>
    </row>
    <row r="213" spans="1:16" x14ac:dyDescent="0.25">
      <c r="A213" t="s">
        <v>114</v>
      </c>
      <c r="B213">
        <v>143</v>
      </c>
      <c r="C213">
        <v>12</v>
      </c>
      <c r="D213" t="s">
        <v>342</v>
      </c>
      <c r="E213">
        <v>0</v>
      </c>
      <c r="F213">
        <f t="shared" si="19"/>
        <v>0</v>
      </c>
      <c r="G213">
        <v>0</v>
      </c>
      <c r="H213">
        <f t="shared" si="19"/>
        <v>0</v>
      </c>
      <c r="I213">
        <v>3</v>
      </c>
      <c r="J213">
        <f t="shared" si="15"/>
        <v>1</v>
      </c>
      <c r="K213">
        <v>0</v>
      </c>
      <c r="L213">
        <f t="shared" si="16"/>
        <v>0</v>
      </c>
      <c r="M213">
        <v>0</v>
      </c>
      <c r="N213">
        <f t="shared" si="17"/>
        <v>0</v>
      </c>
      <c r="O213">
        <v>0</v>
      </c>
      <c r="P213">
        <f t="shared" si="18"/>
        <v>0</v>
      </c>
    </row>
    <row r="214" spans="1:16" x14ac:dyDescent="0.25">
      <c r="A214" t="s">
        <v>114</v>
      </c>
      <c r="B214">
        <v>115</v>
      </c>
      <c r="C214">
        <v>12</v>
      </c>
      <c r="D214" t="s">
        <v>343</v>
      </c>
      <c r="E214">
        <v>0</v>
      </c>
      <c r="F214">
        <f t="shared" si="19"/>
        <v>0</v>
      </c>
      <c r="G214">
        <v>0</v>
      </c>
      <c r="H214">
        <f t="shared" si="19"/>
        <v>0</v>
      </c>
      <c r="I214">
        <v>3</v>
      </c>
      <c r="J214">
        <f t="shared" si="15"/>
        <v>1</v>
      </c>
      <c r="K214">
        <v>0</v>
      </c>
      <c r="L214">
        <f t="shared" si="16"/>
        <v>0</v>
      </c>
      <c r="M214">
        <v>0</v>
      </c>
      <c r="N214">
        <f t="shared" si="17"/>
        <v>0</v>
      </c>
      <c r="O214">
        <v>0</v>
      </c>
      <c r="P214">
        <f t="shared" si="18"/>
        <v>0</v>
      </c>
    </row>
    <row r="215" spans="1:16" x14ac:dyDescent="0.25">
      <c r="A215" t="s">
        <v>115</v>
      </c>
      <c r="B215">
        <v>30</v>
      </c>
      <c r="C215">
        <v>16</v>
      </c>
      <c r="D215" t="s">
        <v>343</v>
      </c>
      <c r="E215">
        <v>0</v>
      </c>
      <c r="F215">
        <f t="shared" si="19"/>
        <v>0</v>
      </c>
      <c r="G215">
        <v>0</v>
      </c>
      <c r="H215">
        <f t="shared" si="19"/>
        <v>0</v>
      </c>
      <c r="I215">
        <v>3</v>
      </c>
      <c r="J215">
        <f t="shared" si="15"/>
        <v>1</v>
      </c>
      <c r="K215">
        <v>0</v>
      </c>
      <c r="L215">
        <f t="shared" si="16"/>
        <v>0</v>
      </c>
      <c r="M215">
        <v>0</v>
      </c>
      <c r="N215">
        <f t="shared" si="17"/>
        <v>0</v>
      </c>
      <c r="O215">
        <v>0</v>
      </c>
      <c r="P215">
        <f t="shared" si="18"/>
        <v>0</v>
      </c>
    </row>
    <row r="216" spans="1:16" x14ac:dyDescent="0.25">
      <c r="A216" t="s">
        <v>116</v>
      </c>
      <c r="B216">
        <v>20</v>
      </c>
      <c r="C216">
        <v>25</v>
      </c>
      <c r="D216" t="s">
        <v>344</v>
      </c>
      <c r="E216">
        <v>0</v>
      </c>
      <c r="F216">
        <f t="shared" si="19"/>
        <v>0</v>
      </c>
      <c r="G216">
        <v>0</v>
      </c>
      <c r="H216">
        <f t="shared" si="19"/>
        <v>0</v>
      </c>
      <c r="I216">
        <v>3</v>
      </c>
      <c r="J216">
        <f t="shared" si="15"/>
        <v>1</v>
      </c>
      <c r="K216">
        <v>0</v>
      </c>
      <c r="L216">
        <f t="shared" si="16"/>
        <v>0</v>
      </c>
      <c r="M216">
        <v>0</v>
      </c>
      <c r="N216">
        <f t="shared" si="17"/>
        <v>0</v>
      </c>
      <c r="O216">
        <v>0</v>
      </c>
      <c r="P216">
        <f t="shared" si="18"/>
        <v>0</v>
      </c>
    </row>
    <row r="217" spans="1:16" x14ac:dyDescent="0.25">
      <c r="A217" t="s">
        <v>114</v>
      </c>
      <c r="B217">
        <v>31</v>
      </c>
      <c r="C217">
        <v>6</v>
      </c>
      <c r="D217" t="s">
        <v>345</v>
      </c>
      <c r="E217">
        <v>0</v>
      </c>
      <c r="F217">
        <f t="shared" si="19"/>
        <v>0</v>
      </c>
      <c r="G217">
        <v>0</v>
      </c>
      <c r="H217">
        <f t="shared" si="19"/>
        <v>0</v>
      </c>
      <c r="I217">
        <v>3</v>
      </c>
      <c r="J217">
        <f t="shared" si="15"/>
        <v>1</v>
      </c>
      <c r="K217">
        <v>0</v>
      </c>
      <c r="L217">
        <f t="shared" si="16"/>
        <v>0</v>
      </c>
      <c r="M217">
        <v>0</v>
      </c>
      <c r="N217">
        <f t="shared" si="17"/>
        <v>0</v>
      </c>
      <c r="O217">
        <v>0</v>
      </c>
      <c r="P217">
        <f t="shared" si="18"/>
        <v>0</v>
      </c>
    </row>
    <row r="218" spans="1:16" x14ac:dyDescent="0.25">
      <c r="A218" t="s">
        <v>114</v>
      </c>
      <c r="B218">
        <v>58</v>
      </c>
      <c r="C218">
        <v>3</v>
      </c>
      <c r="D218" t="s">
        <v>346</v>
      </c>
      <c r="E218">
        <v>0</v>
      </c>
      <c r="F218">
        <f t="shared" si="19"/>
        <v>0</v>
      </c>
      <c r="G218">
        <v>0</v>
      </c>
      <c r="H218">
        <f t="shared" si="19"/>
        <v>0</v>
      </c>
      <c r="I218">
        <v>3</v>
      </c>
      <c r="J218">
        <f t="shared" si="15"/>
        <v>1</v>
      </c>
      <c r="K218">
        <v>0</v>
      </c>
      <c r="L218">
        <f t="shared" si="16"/>
        <v>0</v>
      </c>
      <c r="M218">
        <v>0</v>
      </c>
      <c r="N218">
        <f t="shared" si="17"/>
        <v>0</v>
      </c>
      <c r="O218">
        <v>0</v>
      </c>
      <c r="P218">
        <f t="shared" si="18"/>
        <v>0</v>
      </c>
    </row>
    <row r="219" spans="1:16" x14ac:dyDescent="0.25">
      <c r="A219" t="s">
        <v>114</v>
      </c>
      <c r="B219">
        <v>123</v>
      </c>
      <c r="C219">
        <v>4</v>
      </c>
      <c r="D219" t="s">
        <v>347</v>
      </c>
      <c r="E219">
        <v>0</v>
      </c>
      <c r="F219">
        <f t="shared" si="19"/>
        <v>0</v>
      </c>
      <c r="G219">
        <v>0</v>
      </c>
      <c r="H219">
        <f t="shared" si="19"/>
        <v>0</v>
      </c>
      <c r="I219">
        <v>0</v>
      </c>
      <c r="J219">
        <f t="shared" si="15"/>
        <v>0</v>
      </c>
      <c r="K219">
        <v>3</v>
      </c>
      <c r="L219">
        <f t="shared" si="16"/>
        <v>1</v>
      </c>
      <c r="M219">
        <v>0</v>
      </c>
      <c r="N219">
        <f t="shared" si="17"/>
        <v>0</v>
      </c>
      <c r="O219">
        <v>0</v>
      </c>
      <c r="P219">
        <f t="shared" si="18"/>
        <v>0</v>
      </c>
    </row>
    <row r="220" spans="1:16" x14ac:dyDescent="0.25">
      <c r="A220" t="s">
        <v>114</v>
      </c>
      <c r="B220">
        <v>139</v>
      </c>
      <c r="C220">
        <v>12</v>
      </c>
      <c r="D220" t="s">
        <v>348</v>
      </c>
      <c r="E220">
        <v>0</v>
      </c>
      <c r="F220">
        <f t="shared" si="19"/>
        <v>0</v>
      </c>
      <c r="G220">
        <v>0</v>
      </c>
      <c r="H220">
        <f t="shared" si="19"/>
        <v>0</v>
      </c>
      <c r="I220">
        <v>0</v>
      </c>
      <c r="J220">
        <f t="shared" si="15"/>
        <v>0</v>
      </c>
      <c r="K220">
        <v>3</v>
      </c>
      <c r="L220">
        <f t="shared" si="16"/>
        <v>1</v>
      </c>
      <c r="M220">
        <v>0</v>
      </c>
      <c r="N220">
        <f t="shared" si="17"/>
        <v>0</v>
      </c>
      <c r="O220">
        <v>0</v>
      </c>
      <c r="P220">
        <f t="shared" si="18"/>
        <v>0</v>
      </c>
    </row>
    <row r="221" spans="1:16" x14ac:dyDescent="0.25">
      <c r="A221" t="s">
        <v>114</v>
      </c>
      <c r="B221">
        <v>51</v>
      </c>
      <c r="C221">
        <v>19</v>
      </c>
      <c r="D221" t="s">
        <v>349</v>
      </c>
      <c r="E221">
        <v>0</v>
      </c>
      <c r="F221">
        <f t="shared" si="19"/>
        <v>0</v>
      </c>
      <c r="G221">
        <v>0</v>
      </c>
      <c r="H221">
        <f t="shared" si="19"/>
        <v>0</v>
      </c>
      <c r="I221">
        <v>0</v>
      </c>
      <c r="J221">
        <f t="shared" si="15"/>
        <v>0</v>
      </c>
      <c r="K221">
        <v>0</v>
      </c>
      <c r="L221">
        <f t="shared" si="16"/>
        <v>0</v>
      </c>
      <c r="M221">
        <v>0</v>
      </c>
      <c r="N221">
        <f t="shared" si="17"/>
        <v>0</v>
      </c>
      <c r="O221">
        <v>6</v>
      </c>
      <c r="P221">
        <f t="shared" si="18"/>
        <v>1</v>
      </c>
    </row>
    <row r="222" spans="1:16" x14ac:dyDescent="0.25">
      <c r="A222" t="s">
        <v>114</v>
      </c>
      <c r="B222">
        <v>14</v>
      </c>
      <c r="C222">
        <v>7</v>
      </c>
      <c r="D222" t="s">
        <v>350</v>
      </c>
      <c r="E222">
        <v>0</v>
      </c>
      <c r="F222">
        <f t="shared" si="19"/>
        <v>0</v>
      </c>
      <c r="G222">
        <v>0</v>
      </c>
      <c r="H222">
        <f t="shared" si="19"/>
        <v>0</v>
      </c>
      <c r="I222">
        <v>6</v>
      </c>
      <c r="J222">
        <f t="shared" si="15"/>
        <v>1</v>
      </c>
      <c r="K222">
        <v>0</v>
      </c>
      <c r="L222">
        <f t="shared" si="16"/>
        <v>0</v>
      </c>
      <c r="M222">
        <v>0</v>
      </c>
      <c r="N222">
        <f t="shared" si="17"/>
        <v>0</v>
      </c>
      <c r="O222">
        <v>0</v>
      </c>
      <c r="P222">
        <f t="shared" si="18"/>
        <v>0</v>
      </c>
    </row>
    <row r="223" spans="1:16" x14ac:dyDescent="0.25">
      <c r="A223" t="s">
        <v>114</v>
      </c>
      <c r="B223">
        <v>53</v>
      </c>
      <c r="C223">
        <v>7</v>
      </c>
      <c r="D223" t="s">
        <v>350</v>
      </c>
      <c r="E223">
        <v>0</v>
      </c>
      <c r="F223">
        <f t="shared" si="19"/>
        <v>0</v>
      </c>
      <c r="G223">
        <v>0</v>
      </c>
      <c r="H223">
        <f t="shared" si="19"/>
        <v>0</v>
      </c>
      <c r="I223">
        <v>6</v>
      </c>
      <c r="J223">
        <f t="shared" si="15"/>
        <v>1</v>
      </c>
      <c r="K223">
        <v>0</v>
      </c>
      <c r="L223">
        <f t="shared" si="16"/>
        <v>0</v>
      </c>
      <c r="M223">
        <v>0</v>
      </c>
      <c r="N223">
        <f t="shared" si="17"/>
        <v>0</v>
      </c>
      <c r="O223">
        <v>0</v>
      </c>
      <c r="P223">
        <f t="shared" si="18"/>
        <v>0</v>
      </c>
    </row>
    <row r="224" spans="1:16" x14ac:dyDescent="0.25">
      <c r="A224" t="s">
        <v>116</v>
      </c>
      <c r="B224">
        <v>31</v>
      </c>
      <c r="C224">
        <v>7</v>
      </c>
      <c r="D224" t="s">
        <v>351</v>
      </c>
      <c r="E224">
        <v>0</v>
      </c>
      <c r="F224">
        <f t="shared" si="19"/>
        <v>0</v>
      </c>
      <c r="G224">
        <v>0</v>
      </c>
      <c r="H224">
        <f t="shared" si="19"/>
        <v>0</v>
      </c>
      <c r="I224">
        <v>6</v>
      </c>
      <c r="J224">
        <f t="shared" si="15"/>
        <v>1</v>
      </c>
      <c r="K224">
        <v>0</v>
      </c>
      <c r="L224">
        <f t="shared" si="16"/>
        <v>0</v>
      </c>
      <c r="M224">
        <v>0</v>
      </c>
      <c r="N224">
        <f t="shared" si="17"/>
        <v>0</v>
      </c>
      <c r="O224">
        <v>0</v>
      </c>
      <c r="P224">
        <f t="shared" si="18"/>
        <v>0</v>
      </c>
    </row>
    <row r="225" spans="1:16" x14ac:dyDescent="0.25">
      <c r="A225" t="s">
        <v>114</v>
      </c>
      <c r="B225">
        <v>1</v>
      </c>
      <c r="C225">
        <v>1</v>
      </c>
      <c r="D225" t="s">
        <v>352</v>
      </c>
      <c r="E225">
        <v>0</v>
      </c>
      <c r="F225">
        <f t="shared" si="19"/>
        <v>0</v>
      </c>
      <c r="G225">
        <v>0</v>
      </c>
      <c r="H225">
        <f t="shared" si="19"/>
        <v>0</v>
      </c>
      <c r="I225">
        <v>15</v>
      </c>
      <c r="J225">
        <f t="shared" si="15"/>
        <v>1</v>
      </c>
      <c r="K225">
        <v>0</v>
      </c>
      <c r="L225">
        <f t="shared" si="16"/>
        <v>0</v>
      </c>
      <c r="M225">
        <v>0</v>
      </c>
      <c r="N225">
        <f t="shared" si="17"/>
        <v>0</v>
      </c>
      <c r="O225">
        <v>0</v>
      </c>
      <c r="P225">
        <f t="shared" si="18"/>
        <v>0</v>
      </c>
    </row>
    <row r="226" spans="1:16" x14ac:dyDescent="0.25">
      <c r="A226" t="s">
        <v>115</v>
      </c>
      <c r="B226">
        <v>8</v>
      </c>
      <c r="C226">
        <v>34</v>
      </c>
      <c r="D226" t="s">
        <v>353</v>
      </c>
      <c r="E226">
        <v>0</v>
      </c>
      <c r="F226">
        <f t="shared" si="19"/>
        <v>0</v>
      </c>
      <c r="G226">
        <v>0</v>
      </c>
      <c r="H226">
        <f t="shared" si="19"/>
        <v>0</v>
      </c>
      <c r="I226">
        <v>6</v>
      </c>
      <c r="J226">
        <f t="shared" si="15"/>
        <v>1</v>
      </c>
      <c r="K226">
        <v>0</v>
      </c>
      <c r="L226">
        <f t="shared" si="16"/>
        <v>0</v>
      </c>
      <c r="M226">
        <v>0</v>
      </c>
      <c r="N226">
        <f t="shared" si="17"/>
        <v>0</v>
      </c>
      <c r="O226">
        <v>0</v>
      </c>
      <c r="P226">
        <f t="shared" si="18"/>
        <v>0</v>
      </c>
    </row>
    <row r="227" spans="1:16" x14ac:dyDescent="0.25">
      <c r="A227" t="s">
        <v>114</v>
      </c>
      <c r="B227">
        <v>35</v>
      </c>
      <c r="C227">
        <v>10</v>
      </c>
      <c r="D227" t="s">
        <v>354</v>
      </c>
      <c r="E227">
        <v>0</v>
      </c>
      <c r="F227">
        <f t="shared" si="19"/>
        <v>0</v>
      </c>
      <c r="G227">
        <v>0</v>
      </c>
      <c r="H227">
        <f t="shared" si="19"/>
        <v>0</v>
      </c>
      <c r="I227">
        <v>0</v>
      </c>
      <c r="J227">
        <f t="shared" si="15"/>
        <v>0</v>
      </c>
      <c r="K227">
        <v>0</v>
      </c>
      <c r="L227">
        <f t="shared" si="16"/>
        <v>0</v>
      </c>
      <c r="M227">
        <v>0</v>
      </c>
      <c r="N227">
        <f t="shared" si="17"/>
        <v>0</v>
      </c>
      <c r="O227">
        <v>0</v>
      </c>
      <c r="P227">
        <f t="shared" si="18"/>
        <v>0</v>
      </c>
    </row>
    <row r="228" spans="1:16" x14ac:dyDescent="0.25">
      <c r="A228" t="s">
        <v>115</v>
      </c>
      <c r="B228">
        <v>30</v>
      </c>
      <c r="C228">
        <v>9</v>
      </c>
      <c r="D228" t="s">
        <v>355</v>
      </c>
      <c r="E228">
        <v>0</v>
      </c>
      <c r="F228">
        <f t="shared" si="19"/>
        <v>0</v>
      </c>
      <c r="G228">
        <v>0</v>
      </c>
      <c r="H228">
        <f t="shared" si="19"/>
        <v>0</v>
      </c>
      <c r="I228">
        <v>0</v>
      </c>
      <c r="J228">
        <f t="shared" si="15"/>
        <v>0</v>
      </c>
      <c r="K228">
        <v>0</v>
      </c>
      <c r="L228">
        <f t="shared" si="16"/>
        <v>0</v>
      </c>
      <c r="M228">
        <v>0</v>
      </c>
      <c r="N228">
        <f t="shared" si="17"/>
        <v>0</v>
      </c>
      <c r="O228">
        <v>0</v>
      </c>
      <c r="P228">
        <f t="shared" si="18"/>
        <v>0</v>
      </c>
    </row>
    <row r="229" spans="1:16" x14ac:dyDescent="0.25">
      <c r="A229" t="s">
        <v>114</v>
      </c>
      <c r="B229">
        <v>24</v>
      </c>
      <c r="C229">
        <v>8</v>
      </c>
      <c r="D229" t="s">
        <v>356</v>
      </c>
      <c r="E229">
        <v>0</v>
      </c>
      <c r="F229">
        <f t="shared" si="19"/>
        <v>0</v>
      </c>
      <c r="G229">
        <v>0</v>
      </c>
      <c r="H229">
        <f t="shared" si="19"/>
        <v>0</v>
      </c>
      <c r="I229">
        <v>0</v>
      </c>
      <c r="J229">
        <f t="shared" si="15"/>
        <v>0</v>
      </c>
      <c r="K229">
        <v>0</v>
      </c>
      <c r="L229">
        <f t="shared" si="16"/>
        <v>0</v>
      </c>
      <c r="M229">
        <v>0</v>
      </c>
      <c r="N229">
        <f t="shared" si="17"/>
        <v>0</v>
      </c>
      <c r="O229">
        <v>4</v>
      </c>
      <c r="P229">
        <f t="shared" si="18"/>
        <v>1</v>
      </c>
    </row>
    <row r="230" spans="1:16" x14ac:dyDescent="0.25">
      <c r="A230" t="s">
        <v>114</v>
      </c>
      <c r="B230">
        <v>140</v>
      </c>
      <c r="C230">
        <v>12</v>
      </c>
      <c r="D230" t="s">
        <v>357</v>
      </c>
      <c r="E230">
        <v>0</v>
      </c>
      <c r="F230">
        <f t="shared" si="19"/>
        <v>0</v>
      </c>
      <c r="G230">
        <v>0</v>
      </c>
      <c r="H230">
        <f t="shared" si="19"/>
        <v>0</v>
      </c>
      <c r="I230">
        <v>4</v>
      </c>
      <c r="J230">
        <f t="shared" si="15"/>
        <v>1</v>
      </c>
      <c r="K230">
        <v>0</v>
      </c>
      <c r="L230">
        <f t="shared" si="16"/>
        <v>0</v>
      </c>
      <c r="M230">
        <v>0</v>
      </c>
      <c r="N230">
        <f t="shared" si="17"/>
        <v>0</v>
      </c>
      <c r="O230">
        <v>0</v>
      </c>
      <c r="P230">
        <f t="shared" si="18"/>
        <v>0</v>
      </c>
    </row>
    <row r="231" spans="1:16" x14ac:dyDescent="0.25">
      <c r="A231" t="s">
        <v>114</v>
      </c>
      <c r="B231">
        <v>109</v>
      </c>
      <c r="C231">
        <v>16</v>
      </c>
      <c r="D231" t="s">
        <v>358</v>
      </c>
      <c r="E231">
        <v>0</v>
      </c>
      <c r="F231">
        <f t="shared" si="19"/>
        <v>0</v>
      </c>
      <c r="G231">
        <v>0</v>
      </c>
      <c r="H231">
        <f t="shared" si="19"/>
        <v>0</v>
      </c>
      <c r="I231">
        <v>10</v>
      </c>
      <c r="J231">
        <f t="shared" si="15"/>
        <v>1</v>
      </c>
      <c r="K231">
        <v>0</v>
      </c>
      <c r="L231">
        <f t="shared" si="16"/>
        <v>0</v>
      </c>
      <c r="M231">
        <v>0</v>
      </c>
      <c r="N231">
        <f t="shared" si="17"/>
        <v>0</v>
      </c>
      <c r="O231">
        <v>0</v>
      </c>
      <c r="P231">
        <f t="shared" si="18"/>
        <v>0</v>
      </c>
    </row>
    <row r="232" spans="1:16" x14ac:dyDescent="0.25">
      <c r="A232" t="s">
        <v>114</v>
      </c>
      <c r="B232">
        <v>119</v>
      </c>
      <c r="C232">
        <v>55</v>
      </c>
      <c r="D232" t="s">
        <v>359</v>
      </c>
      <c r="E232">
        <v>0</v>
      </c>
      <c r="F232">
        <f t="shared" si="19"/>
        <v>0</v>
      </c>
      <c r="G232">
        <v>1</v>
      </c>
      <c r="H232">
        <f t="shared" si="19"/>
        <v>1</v>
      </c>
      <c r="I232">
        <v>0</v>
      </c>
      <c r="J232">
        <f t="shared" si="15"/>
        <v>0</v>
      </c>
      <c r="K232">
        <v>0</v>
      </c>
      <c r="L232">
        <f t="shared" si="16"/>
        <v>0</v>
      </c>
      <c r="M232">
        <v>0</v>
      </c>
      <c r="N232">
        <f t="shared" si="17"/>
        <v>0</v>
      </c>
      <c r="O232">
        <v>0</v>
      </c>
      <c r="P232">
        <f t="shared" si="18"/>
        <v>0</v>
      </c>
    </row>
    <row r="233" spans="1:16" x14ac:dyDescent="0.25">
      <c r="A233" t="s">
        <v>114</v>
      </c>
      <c r="B233">
        <v>80</v>
      </c>
      <c r="C233">
        <v>20</v>
      </c>
      <c r="D233" t="s">
        <v>360</v>
      </c>
      <c r="E233">
        <v>0</v>
      </c>
      <c r="F233">
        <f t="shared" si="19"/>
        <v>0</v>
      </c>
      <c r="G233">
        <v>3</v>
      </c>
      <c r="H233">
        <f t="shared" si="19"/>
        <v>1</v>
      </c>
      <c r="I233">
        <v>0</v>
      </c>
      <c r="J233">
        <f t="shared" si="15"/>
        <v>0</v>
      </c>
      <c r="K233">
        <v>0</v>
      </c>
      <c r="L233">
        <f t="shared" si="16"/>
        <v>0</v>
      </c>
      <c r="M233">
        <v>0</v>
      </c>
      <c r="N233">
        <f t="shared" si="17"/>
        <v>0</v>
      </c>
      <c r="O233">
        <v>0</v>
      </c>
      <c r="P233">
        <f t="shared" si="18"/>
        <v>0</v>
      </c>
    </row>
    <row r="234" spans="1:16" x14ac:dyDescent="0.25">
      <c r="A234" t="s">
        <v>116</v>
      </c>
      <c r="B234">
        <v>18</v>
      </c>
      <c r="C234">
        <v>19</v>
      </c>
      <c r="D234" t="s">
        <v>361</v>
      </c>
      <c r="E234">
        <v>0</v>
      </c>
      <c r="F234">
        <f t="shared" si="19"/>
        <v>0</v>
      </c>
      <c r="G234">
        <v>1</v>
      </c>
      <c r="H234">
        <f t="shared" si="19"/>
        <v>1</v>
      </c>
      <c r="I234">
        <v>0</v>
      </c>
      <c r="J234">
        <f t="shared" si="15"/>
        <v>0</v>
      </c>
      <c r="K234">
        <v>0</v>
      </c>
      <c r="L234">
        <f t="shared" si="16"/>
        <v>0</v>
      </c>
      <c r="M234">
        <v>0</v>
      </c>
      <c r="N234">
        <f t="shared" si="17"/>
        <v>0</v>
      </c>
      <c r="O234">
        <v>0</v>
      </c>
      <c r="P234">
        <f t="shared" si="18"/>
        <v>0</v>
      </c>
    </row>
    <row r="235" spans="1:16" x14ac:dyDescent="0.25">
      <c r="A235" t="s">
        <v>114</v>
      </c>
      <c r="B235">
        <v>96</v>
      </c>
      <c r="C235">
        <v>4</v>
      </c>
      <c r="D235" t="s">
        <v>362</v>
      </c>
      <c r="E235">
        <v>0</v>
      </c>
      <c r="F235">
        <f t="shared" si="19"/>
        <v>0</v>
      </c>
      <c r="G235">
        <v>4</v>
      </c>
      <c r="H235">
        <f t="shared" si="19"/>
        <v>1</v>
      </c>
      <c r="I235">
        <v>0</v>
      </c>
      <c r="J235">
        <f t="shared" si="15"/>
        <v>0</v>
      </c>
      <c r="K235">
        <v>0</v>
      </c>
      <c r="L235">
        <f t="shared" si="16"/>
        <v>0</v>
      </c>
      <c r="M235">
        <v>0</v>
      </c>
      <c r="N235">
        <f t="shared" si="17"/>
        <v>0</v>
      </c>
      <c r="O235">
        <v>0</v>
      </c>
      <c r="P235">
        <f t="shared" si="18"/>
        <v>0</v>
      </c>
    </row>
    <row r="236" spans="1:16" x14ac:dyDescent="0.25">
      <c r="A236" t="s">
        <v>114</v>
      </c>
      <c r="B236">
        <v>48</v>
      </c>
      <c r="C236">
        <v>2</v>
      </c>
      <c r="D236" t="s">
        <v>361</v>
      </c>
      <c r="E236">
        <v>0</v>
      </c>
      <c r="F236">
        <f t="shared" si="19"/>
        <v>0</v>
      </c>
      <c r="G236">
        <v>1</v>
      </c>
      <c r="H236">
        <f t="shared" si="19"/>
        <v>1</v>
      </c>
      <c r="I236">
        <v>0</v>
      </c>
      <c r="J236">
        <f t="shared" si="15"/>
        <v>0</v>
      </c>
      <c r="K236">
        <v>0</v>
      </c>
      <c r="L236">
        <f t="shared" si="16"/>
        <v>0</v>
      </c>
      <c r="M236">
        <v>0</v>
      </c>
      <c r="N236">
        <f t="shared" si="17"/>
        <v>0</v>
      </c>
      <c r="O236">
        <v>0</v>
      </c>
      <c r="P236">
        <f t="shared" si="18"/>
        <v>0</v>
      </c>
    </row>
    <row r="237" spans="1:16" x14ac:dyDescent="0.25">
      <c r="A237" t="s">
        <v>115</v>
      </c>
      <c r="B237">
        <v>25</v>
      </c>
      <c r="C237">
        <v>27</v>
      </c>
      <c r="D237" t="s">
        <v>363</v>
      </c>
      <c r="E237">
        <v>0</v>
      </c>
      <c r="F237">
        <f t="shared" si="19"/>
        <v>0</v>
      </c>
      <c r="G237">
        <v>1</v>
      </c>
      <c r="H237">
        <f t="shared" si="19"/>
        <v>1</v>
      </c>
      <c r="I237">
        <v>0</v>
      </c>
      <c r="J237">
        <f t="shared" si="15"/>
        <v>0</v>
      </c>
      <c r="K237">
        <v>0</v>
      </c>
      <c r="L237">
        <f t="shared" si="16"/>
        <v>0</v>
      </c>
      <c r="M237">
        <v>0</v>
      </c>
      <c r="N237">
        <f t="shared" si="17"/>
        <v>0</v>
      </c>
      <c r="O237">
        <v>0</v>
      </c>
      <c r="P237">
        <f t="shared" si="18"/>
        <v>0</v>
      </c>
    </row>
    <row r="238" spans="1:16" x14ac:dyDescent="0.25">
      <c r="A238" t="s">
        <v>114</v>
      </c>
      <c r="B238">
        <v>136</v>
      </c>
      <c r="C238">
        <v>15</v>
      </c>
      <c r="D238" t="s">
        <v>364</v>
      </c>
      <c r="E238">
        <v>0</v>
      </c>
      <c r="F238">
        <f t="shared" si="19"/>
        <v>0</v>
      </c>
      <c r="G238">
        <v>3</v>
      </c>
      <c r="H238">
        <f t="shared" si="19"/>
        <v>1</v>
      </c>
      <c r="I238">
        <v>0</v>
      </c>
      <c r="J238">
        <f t="shared" si="15"/>
        <v>0</v>
      </c>
      <c r="K238">
        <v>0</v>
      </c>
      <c r="L238">
        <f t="shared" si="16"/>
        <v>0</v>
      </c>
      <c r="M238">
        <v>0</v>
      </c>
      <c r="N238">
        <f t="shared" si="17"/>
        <v>0</v>
      </c>
      <c r="O238">
        <v>0</v>
      </c>
      <c r="P238">
        <f t="shared" si="18"/>
        <v>0</v>
      </c>
    </row>
    <row r="239" spans="1:16" x14ac:dyDescent="0.25">
      <c r="A239" t="s">
        <v>114</v>
      </c>
      <c r="B239">
        <v>88</v>
      </c>
      <c r="C239">
        <v>16</v>
      </c>
      <c r="D239" t="s">
        <v>363</v>
      </c>
      <c r="E239">
        <v>0</v>
      </c>
      <c r="F239">
        <f t="shared" si="19"/>
        <v>0</v>
      </c>
      <c r="G239">
        <v>1</v>
      </c>
      <c r="H239">
        <f t="shared" si="19"/>
        <v>1</v>
      </c>
      <c r="I239">
        <v>0</v>
      </c>
      <c r="J239">
        <f t="shared" si="15"/>
        <v>0</v>
      </c>
      <c r="K239">
        <v>0</v>
      </c>
      <c r="L239">
        <f t="shared" si="16"/>
        <v>0</v>
      </c>
      <c r="M239">
        <v>0</v>
      </c>
      <c r="N239">
        <f t="shared" si="17"/>
        <v>0</v>
      </c>
      <c r="O239">
        <v>0</v>
      </c>
      <c r="P239">
        <f t="shared" si="18"/>
        <v>0</v>
      </c>
    </row>
    <row r="240" spans="1:16" x14ac:dyDescent="0.25">
      <c r="A240" t="s">
        <v>114</v>
      </c>
      <c r="B240">
        <v>109</v>
      </c>
      <c r="C240">
        <v>30</v>
      </c>
      <c r="D240" t="s">
        <v>363</v>
      </c>
      <c r="E240">
        <v>0</v>
      </c>
      <c r="F240">
        <f t="shared" si="19"/>
        <v>0</v>
      </c>
      <c r="G240">
        <v>1</v>
      </c>
      <c r="H240">
        <f t="shared" si="19"/>
        <v>1</v>
      </c>
      <c r="I240">
        <v>0</v>
      </c>
      <c r="J240">
        <f t="shared" si="15"/>
        <v>0</v>
      </c>
      <c r="K240">
        <v>0</v>
      </c>
      <c r="L240">
        <f t="shared" si="16"/>
        <v>0</v>
      </c>
      <c r="M240">
        <v>0</v>
      </c>
      <c r="N240">
        <f t="shared" si="17"/>
        <v>0</v>
      </c>
      <c r="O240">
        <v>0</v>
      </c>
      <c r="P240">
        <f t="shared" si="18"/>
        <v>0</v>
      </c>
    </row>
    <row r="241" spans="1:16" x14ac:dyDescent="0.25">
      <c r="A241" t="s">
        <v>114</v>
      </c>
      <c r="B241">
        <v>136</v>
      </c>
      <c r="C241">
        <v>4</v>
      </c>
      <c r="D241" t="s">
        <v>364</v>
      </c>
      <c r="E241">
        <v>0</v>
      </c>
      <c r="F241">
        <f t="shared" si="19"/>
        <v>0</v>
      </c>
      <c r="G241">
        <v>3</v>
      </c>
      <c r="H241">
        <f t="shared" si="19"/>
        <v>1</v>
      </c>
      <c r="I241">
        <v>0</v>
      </c>
      <c r="J241">
        <f t="shared" si="15"/>
        <v>0</v>
      </c>
      <c r="K241">
        <v>0</v>
      </c>
      <c r="L241">
        <f t="shared" si="16"/>
        <v>0</v>
      </c>
      <c r="M241">
        <v>0</v>
      </c>
      <c r="N241">
        <f t="shared" si="17"/>
        <v>0</v>
      </c>
      <c r="O241">
        <v>0</v>
      </c>
      <c r="P241">
        <f t="shared" si="18"/>
        <v>0</v>
      </c>
    </row>
    <row r="242" spans="1:16" x14ac:dyDescent="0.25">
      <c r="A242" t="s">
        <v>114</v>
      </c>
      <c r="B242">
        <v>89</v>
      </c>
      <c r="C242">
        <v>6</v>
      </c>
      <c r="D242" t="s">
        <v>365</v>
      </c>
      <c r="E242">
        <v>0</v>
      </c>
      <c r="F242">
        <f t="shared" si="19"/>
        <v>0</v>
      </c>
      <c r="G242">
        <v>3</v>
      </c>
      <c r="H242">
        <f t="shared" si="19"/>
        <v>1</v>
      </c>
      <c r="I242">
        <v>0</v>
      </c>
      <c r="J242">
        <f t="shared" si="15"/>
        <v>0</v>
      </c>
      <c r="K242">
        <v>0</v>
      </c>
      <c r="L242">
        <f t="shared" si="16"/>
        <v>0</v>
      </c>
      <c r="M242">
        <v>0</v>
      </c>
      <c r="N242">
        <f t="shared" si="17"/>
        <v>0</v>
      </c>
      <c r="O242">
        <v>0</v>
      </c>
      <c r="P242">
        <f t="shared" si="18"/>
        <v>0</v>
      </c>
    </row>
    <row r="243" spans="1:16" x14ac:dyDescent="0.25">
      <c r="A243" t="s">
        <v>114</v>
      </c>
      <c r="B243">
        <v>145</v>
      </c>
      <c r="C243">
        <v>3</v>
      </c>
      <c r="D243" t="s">
        <v>366</v>
      </c>
      <c r="E243">
        <v>0</v>
      </c>
      <c r="F243">
        <f t="shared" si="19"/>
        <v>0</v>
      </c>
      <c r="G243">
        <v>1</v>
      </c>
      <c r="H243">
        <f t="shared" si="19"/>
        <v>1</v>
      </c>
      <c r="I243">
        <v>0</v>
      </c>
      <c r="J243">
        <f t="shared" si="15"/>
        <v>0</v>
      </c>
      <c r="K243">
        <v>0</v>
      </c>
      <c r="L243">
        <f t="shared" si="16"/>
        <v>0</v>
      </c>
      <c r="M243">
        <v>0</v>
      </c>
      <c r="N243">
        <f t="shared" si="17"/>
        <v>0</v>
      </c>
      <c r="O243">
        <v>0</v>
      </c>
      <c r="P243">
        <f t="shared" si="18"/>
        <v>0</v>
      </c>
    </row>
    <row r="244" spans="1:16" x14ac:dyDescent="0.25">
      <c r="A244" t="s">
        <v>114</v>
      </c>
      <c r="B244">
        <v>9</v>
      </c>
      <c r="C244">
        <v>10</v>
      </c>
      <c r="D244" t="s">
        <v>367</v>
      </c>
      <c r="E244">
        <v>0</v>
      </c>
      <c r="F244">
        <f t="shared" si="19"/>
        <v>0</v>
      </c>
      <c r="G244">
        <v>1</v>
      </c>
      <c r="H244">
        <f t="shared" si="19"/>
        <v>1</v>
      </c>
      <c r="I244">
        <v>0</v>
      </c>
      <c r="J244">
        <f t="shared" si="15"/>
        <v>0</v>
      </c>
      <c r="K244">
        <v>0</v>
      </c>
      <c r="L244">
        <f t="shared" si="16"/>
        <v>0</v>
      </c>
      <c r="M244">
        <v>0</v>
      </c>
      <c r="N244">
        <f t="shared" si="17"/>
        <v>0</v>
      </c>
      <c r="O244">
        <v>0</v>
      </c>
      <c r="P244">
        <f t="shared" si="18"/>
        <v>0</v>
      </c>
    </row>
    <row r="245" spans="1:16" x14ac:dyDescent="0.25">
      <c r="A245" t="s">
        <v>116</v>
      </c>
      <c r="B245">
        <v>15</v>
      </c>
      <c r="C245">
        <v>23</v>
      </c>
      <c r="D245" t="s">
        <v>368</v>
      </c>
      <c r="E245">
        <v>0</v>
      </c>
      <c r="F245">
        <f t="shared" si="19"/>
        <v>0</v>
      </c>
      <c r="G245">
        <v>1</v>
      </c>
      <c r="H245">
        <f t="shared" si="19"/>
        <v>1</v>
      </c>
      <c r="I245">
        <v>0</v>
      </c>
      <c r="J245">
        <f t="shared" si="15"/>
        <v>0</v>
      </c>
      <c r="K245">
        <v>0</v>
      </c>
      <c r="L245">
        <f t="shared" si="16"/>
        <v>0</v>
      </c>
      <c r="M245">
        <v>0</v>
      </c>
      <c r="N245">
        <f t="shared" si="17"/>
        <v>0</v>
      </c>
      <c r="O245">
        <v>0</v>
      </c>
      <c r="P245">
        <f t="shared" si="18"/>
        <v>0</v>
      </c>
    </row>
    <row r="246" spans="1:16" x14ac:dyDescent="0.25">
      <c r="A246" t="s">
        <v>114</v>
      </c>
      <c r="B246">
        <v>66</v>
      </c>
      <c r="C246">
        <v>15</v>
      </c>
      <c r="D246" t="s">
        <v>369</v>
      </c>
      <c r="E246">
        <v>0</v>
      </c>
      <c r="F246">
        <f t="shared" si="19"/>
        <v>0</v>
      </c>
      <c r="G246">
        <v>1</v>
      </c>
      <c r="H246">
        <f t="shared" si="19"/>
        <v>1</v>
      </c>
      <c r="I246">
        <v>0</v>
      </c>
      <c r="J246">
        <f t="shared" si="15"/>
        <v>0</v>
      </c>
      <c r="K246">
        <v>0</v>
      </c>
      <c r="L246">
        <f t="shared" si="16"/>
        <v>0</v>
      </c>
      <c r="M246">
        <v>0</v>
      </c>
      <c r="N246">
        <f t="shared" si="17"/>
        <v>0</v>
      </c>
      <c r="O246">
        <v>0</v>
      </c>
      <c r="P246">
        <f t="shared" si="18"/>
        <v>0</v>
      </c>
    </row>
    <row r="247" spans="1:16" x14ac:dyDescent="0.25">
      <c r="A247" t="s">
        <v>115</v>
      </c>
      <c r="B247">
        <v>28</v>
      </c>
      <c r="C247">
        <v>23</v>
      </c>
      <c r="D247" t="s">
        <v>370</v>
      </c>
      <c r="E247">
        <v>0</v>
      </c>
      <c r="F247">
        <f t="shared" si="19"/>
        <v>0</v>
      </c>
      <c r="G247">
        <v>1</v>
      </c>
      <c r="H247">
        <f t="shared" si="19"/>
        <v>1</v>
      </c>
      <c r="I247">
        <v>0</v>
      </c>
      <c r="J247">
        <f t="shared" si="15"/>
        <v>0</v>
      </c>
      <c r="K247">
        <v>0</v>
      </c>
      <c r="L247">
        <f t="shared" si="16"/>
        <v>0</v>
      </c>
      <c r="M247">
        <v>0</v>
      </c>
      <c r="N247">
        <f t="shared" si="17"/>
        <v>0</v>
      </c>
      <c r="O247">
        <v>0</v>
      </c>
      <c r="P247">
        <f t="shared" si="18"/>
        <v>0</v>
      </c>
    </row>
    <row r="248" spans="1:16" x14ac:dyDescent="0.25">
      <c r="A248" t="s">
        <v>114</v>
      </c>
      <c r="B248">
        <v>53</v>
      </c>
      <c r="C248">
        <v>2</v>
      </c>
      <c r="D248" t="s">
        <v>371</v>
      </c>
      <c r="E248">
        <v>0</v>
      </c>
      <c r="F248">
        <f t="shared" si="19"/>
        <v>0</v>
      </c>
      <c r="G248">
        <v>1</v>
      </c>
      <c r="H248">
        <f t="shared" si="19"/>
        <v>1</v>
      </c>
      <c r="I248">
        <v>0</v>
      </c>
      <c r="J248">
        <f t="shared" si="15"/>
        <v>0</v>
      </c>
      <c r="K248">
        <v>0</v>
      </c>
      <c r="L248">
        <f t="shared" si="16"/>
        <v>0</v>
      </c>
      <c r="M248">
        <v>0</v>
      </c>
      <c r="N248">
        <f t="shared" si="17"/>
        <v>0</v>
      </c>
      <c r="O248">
        <v>0</v>
      </c>
      <c r="P248">
        <f t="shared" si="18"/>
        <v>0</v>
      </c>
    </row>
    <row r="249" spans="1:16" x14ac:dyDescent="0.25">
      <c r="A249" t="s">
        <v>114</v>
      </c>
      <c r="B249">
        <v>14</v>
      </c>
      <c r="C249">
        <v>1</v>
      </c>
      <c r="D249" t="s">
        <v>372</v>
      </c>
      <c r="E249">
        <v>0</v>
      </c>
      <c r="F249">
        <f t="shared" si="19"/>
        <v>0</v>
      </c>
      <c r="G249">
        <v>14</v>
      </c>
      <c r="H249">
        <f t="shared" si="19"/>
        <v>1</v>
      </c>
      <c r="I249">
        <v>0</v>
      </c>
      <c r="J249">
        <f t="shared" si="15"/>
        <v>0</v>
      </c>
      <c r="K249">
        <v>0</v>
      </c>
      <c r="L249">
        <f t="shared" si="16"/>
        <v>0</v>
      </c>
      <c r="M249">
        <v>0</v>
      </c>
      <c r="N249">
        <f t="shared" si="17"/>
        <v>0</v>
      </c>
      <c r="O249">
        <v>0</v>
      </c>
      <c r="P249">
        <f t="shared" si="18"/>
        <v>0</v>
      </c>
    </row>
    <row r="250" spans="1:16" x14ac:dyDescent="0.25">
      <c r="A250" t="s">
        <v>114</v>
      </c>
      <c r="B250">
        <v>19</v>
      </c>
      <c r="C250">
        <v>8</v>
      </c>
      <c r="D250" t="s">
        <v>373</v>
      </c>
      <c r="E250">
        <v>0</v>
      </c>
      <c r="F250">
        <f t="shared" si="19"/>
        <v>0</v>
      </c>
      <c r="G250">
        <v>1</v>
      </c>
      <c r="H250">
        <f t="shared" si="19"/>
        <v>1</v>
      </c>
      <c r="I250">
        <v>0</v>
      </c>
      <c r="J250">
        <f t="shared" si="15"/>
        <v>0</v>
      </c>
      <c r="K250">
        <v>0</v>
      </c>
      <c r="L250">
        <f t="shared" si="16"/>
        <v>0</v>
      </c>
      <c r="M250">
        <v>0</v>
      </c>
      <c r="N250">
        <f t="shared" si="17"/>
        <v>0</v>
      </c>
      <c r="O250">
        <v>0</v>
      </c>
      <c r="P250">
        <f t="shared" si="18"/>
        <v>0</v>
      </c>
    </row>
    <row r="251" spans="1:16" x14ac:dyDescent="0.25">
      <c r="A251" t="s">
        <v>116</v>
      </c>
      <c r="B251">
        <v>7</v>
      </c>
      <c r="C251">
        <v>5</v>
      </c>
      <c r="D251" t="s">
        <v>374</v>
      </c>
      <c r="E251">
        <v>0</v>
      </c>
      <c r="F251">
        <f t="shared" si="19"/>
        <v>0</v>
      </c>
      <c r="G251">
        <v>1</v>
      </c>
      <c r="H251">
        <f t="shared" si="19"/>
        <v>1</v>
      </c>
      <c r="I251">
        <v>0</v>
      </c>
      <c r="J251">
        <f t="shared" si="15"/>
        <v>0</v>
      </c>
      <c r="K251">
        <v>0</v>
      </c>
      <c r="L251">
        <f t="shared" si="16"/>
        <v>0</v>
      </c>
      <c r="M251">
        <v>0</v>
      </c>
      <c r="N251">
        <f t="shared" si="17"/>
        <v>0</v>
      </c>
      <c r="O251">
        <v>0</v>
      </c>
      <c r="P251">
        <f t="shared" si="18"/>
        <v>0</v>
      </c>
    </row>
    <row r="252" spans="1:16" x14ac:dyDescent="0.25">
      <c r="A252" t="s">
        <v>114</v>
      </c>
      <c r="B252">
        <v>35</v>
      </c>
      <c r="C252">
        <v>3</v>
      </c>
      <c r="D252" t="s">
        <v>375</v>
      </c>
      <c r="E252">
        <v>0</v>
      </c>
      <c r="F252">
        <f t="shared" si="19"/>
        <v>0</v>
      </c>
      <c r="G252">
        <v>3</v>
      </c>
      <c r="H252">
        <f t="shared" si="19"/>
        <v>1</v>
      </c>
      <c r="I252">
        <v>0</v>
      </c>
      <c r="J252">
        <f t="shared" si="15"/>
        <v>0</v>
      </c>
      <c r="K252">
        <v>0</v>
      </c>
      <c r="L252">
        <f t="shared" si="16"/>
        <v>0</v>
      </c>
      <c r="M252">
        <v>0</v>
      </c>
      <c r="N252">
        <f t="shared" si="17"/>
        <v>0</v>
      </c>
      <c r="O252">
        <v>0</v>
      </c>
      <c r="P252">
        <f t="shared" si="18"/>
        <v>0</v>
      </c>
    </row>
    <row r="253" spans="1:16" x14ac:dyDescent="0.25">
      <c r="A253" t="s">
        <v>116</v>
      </c>
      <c r="B253">
        <v>32</v>
      </c>
      <c r="C253">
        <v>6</v>
      </c>
      <c r="D253" t="s">
        <v>376</v>
      </c>
      <c r="E253">
        <v>0</v>
      </c>
      <c r="F253">
        <f t="shared" si="19"/>
        <v>0</v>
      </c>
      <c r="G253">
        <v>21</v>
      </c>
      <c r="H253">
        <f t="shared" si="19"/>
        <v>1</v>
      </c>
      <c r="I253">
        <v>0</v>
      </c>
      <c r="J253">
        <f t="shared" si="15"/>
        <v>0</v>
      </c>
      <c r="K253">
        <v>0</v>
      </c>
      <c r="L253">
        <f t="shared" si="16"/>
        <v>0</v>
      </c>
      <c r="M253">
        <v>0</v>
      </c>
      <c r="N253">
        <f t="shared" si="17"/>
        <v>0</v>
      </c>
      <c r="O253">
        <v>0</v>
      </c>
      <c r="P253">
        <f t="shared" si="18"/>
        <v>0</v>
      </c>
    </row>
    <row r="254" spans="1:16" x14ac:dyDescent="0.25">
      <c r="A254" t="s">
        <v>114</v>
      </c>
      <c r="B254">
        <v>109</v>
      </c>
      <c r="C254">
        <v>5</v>
      </c>
      <c r="D254" t="s">
        <v>377</v>
      </c>
      <c r="E254">
        <v>0</v>
      </c>
      <c r="F254">
        <f t="shared" si="19"/>
        <v>0</v>
      </c>
      <c r="G254">
        <v>3</v>
      </c>
      <c r="H254">
        <f t="shared" si="19"/>
        <v>1</v>
      </c>
      <c r="I254">
        <v>0</v>
      </c>
      <c r="J254">
        <f t="shared" si="15"/>
        <v>0</v>
      </c>
      <c r="K254">
        <v>0</v>
      </c>
      <c r="L254">
        <f t="shared" si="16"/>
        <v>0</v>
      </c>
      <c r="M254">
        <v>0</v>
      </c>
      <c r="N254">
        <f t="shared" si="17"/>
        <v>0</v>
      </c>
      <c r="O254">
        <v>0</v>
      </c>
      <c r="P254">
        <f t="shared" si="18"/>
        <v>0</v>
      </c>
    </row>
    <row r="255" spans="1:16" x14ac:dyDescent="0.25">
      <c r="A255" t="s">
        <v>114</v>
      </c>
      <c r="B255">
        <v>57</v>
      </c>
      <c r="C255">
        <v>8</v>
      </c>
      <c r="D255" t="s">
        <v>378</v>
      </c>
      <c r="E255">
        <v>0</v>
      </c>
      <c r="F255">
        <f t="shared" si="19"/>
        <v>0</v>
      </c>
      <c r="G255">
        <v>1</v>
      </c>
      <c r="H255">
        <f t="shared" si="19"/>
        <v>1</v>
      </c>
      <c r="I255">
        <v>0</v>
      </c>
      <c r="J255">
        <f t="shared" si="15"/>
        <v>0</v>
      </c>
      <c r="K255">
        <v>0</v>
      </c>
      <c r="L255">
        <f t="shared" si="16"/>
        <v>0</v>
      </c>
      <c r="M255">
        <v>0</v>
      </c>
      <c r="N255">
        <f t="shared" si="17"/>
        <v>0</v>
      </c>
      <c r="O255">
        <v>0</v>
      </c>
      <c r="P255">
        <f t="shared" si="18"/>
        <v>0</v>
      </c>
    </row>
    <row r="256" spans="1:16" x14ac:dyDescent="0.25">
      <c r="A256" t="s">
        <v>114</v>
      </c>
      <c r="B256">
        <v>56</v>
      </c>
      <c r="C256">
        <v>10</v>
      </c>
      <c r="D256" t="s">
        <v>379</v>
      </c>
      <c r="E256">
        <v>0</v>
      </c>
      <c r="F256">
        <f t="shared" si="19"/>
        <v>0</v>
      </c>
      <c r="G256">
        <v>8</v>
      </c>
      <c r="H256">
        <f t="shared" si="19"/>
        <v>1</v>
      </c>
      <c r="I256">
        <v>0</v>
      </c>
      <c r="J256">
        <f t="shared" si="15"/>
        <v>0</v>
      </c>
      <c r="K256">
        <v>0</v>
      </c>
      <c r="L256">
        <f t="shared" si="16"/>
        <v>0</v>
      </c>
      <c r="M256">
        <v>0</v>
      </c>
      <c r="N256">
        <f t="shared" si="17"/>
        <v>0</v>
      </c>
      <c r="O256">
        <v>0</v>
      </c>
      <c r="P256">
        <f t="shared" si="18"/>
        <v>0</v>
      </c>
    </row>
    <row r="257" spans="1:16" x14ac:dyDescent="0.25">
      <c r="A257" t="s">
        <v>116</v>
      </c>
      <c r="B257">
        <v>19</v>
      </c>
      <c r="C257">
        <v>15</v>
      </c>
      <c r="D257" t="s">
        <v>380</v>
      </c>
      <c r="E257">
        <v>0</v>
      </c>
      <c r="F257">
        <f t="shared" si="19"/>
        <v>0</v>
      </c>
      <c r="G257">
        <v>1</v>
      </c>
      <c r="H257">
        <f t="shared" si="19"/>
        <v>1</v>
      </c>
      <c r="I257">
        <v>0</v>
      </c>
      <c r="J257">
        <f t="shared" si="15"/>
        <v>0</v>
      </c>
      <c r="K257">
        <v>0</v>
      </c>
      <c r="L257">
        <f t="shared" si="16"/>
        <v>0</v>
      </c>
      <c r="M257">
        <v>0</v>
      </c>
      <c r="N257">
        <f t="shared" si="17"/>
        <v>0</v>
      </c>
      <c r="O257">
        <v>0</v>
      </c>
      <c r="P257">
        <f t="shared" si="18"/>
        <v>0</v>
      </c>
    </row>
    <row r="258" spans="1:16" x14ac:dyDescent="0.25">
      <c r="A258" t="s">
        <v>114</v>
      </c>
      <c r="B258">
        <v>84</v>
      </c>
      <c r="C258">
        <v>9</v>
      </c>
      <c r="D258" t="s">
        <v>381</v>
      </c>
      <c r="E258">
        <v>0</v>
      </c>
      <c r="F258">
        <f t="shared" si="19"/>
        <v>0</v>
      </c>
      <c r="G258">
        <v>3</v>
      </c>
      <c r="H258">
        <f t="shared" si="19"/>
        <v>1</v>
      </c>
      <c r="I258">
        <v>0</v>
      </c>
      <c r="J258">
        <f t="shared" ref="J258:J321" si="20">IF(I258=0,0,1)</f>
        <v>0</v>
      </c>
      <c r="K258">
        <v>0</v>
      </c>
      <c r="L258">
        <f t="shared" ref="L258:L321" si="21">IF(K258=0,0,1)</f>
        <v>0</v>
      </c>
      <c r="M258">
        <v>0</v>
      </c>
      <c r="N258">
        <f t="shared" ref="N258:N321" si="22">IF(M258=0,0,1)</f>
        <v>0</v>
      </c>
      <c r="O258">
        <v>0</v>
      </c>
      <c r="P258">
        <f t="shared" ref="P258:P321" si="23">IF(O258=0,0,1)</f>
        <v>0</v>
      </c>
    </row>
    <row r="259" spans="1:16" x14ac:dyDescent="0.25">
      <c r="A259" t="s">
        <v>114</v>
      </c>
      <c r="B259">
        <v>55</v>
      </c>
      <c r="C259">
        <v>19</v>
      </c>
      <c r="D259" t="s">
        <v>382</v>
      </c>
      <c r="E259">
        <v>0</v>
      </c>
      <c r="F259">
        <f t="shared" ref="F259:H322" si="24">IF(E259=0,0,1)</f>
        <v>0</v>
      </c>
      <c r="G259">
        <v>1</v>
      </c>
      <c r="H259">
        <f t="shared" si="24"/>
        <v>1</v>
      </c>
      <c r="I259">
        <v>0</v>
      </c>
      <c r="J259">
        <f t="shared" si="20"/>
        <v>0</v>
      </c>
      <c r="K259">
        <v>0</v>
      </c>
      <c r="L259">
        <f t="shared" si="21"/>
        <v>0</v>
      </c>
      <c r="M259">
        <v>0</v>
      </c>
      <c r="N259">
        <f t="shared" si="22"/>
        <v>0</v>
      </c>
      <c r="O259">
        <v>0</v>
      </c>
      <c r="P259">
        <f t="shared" si="23"/>
        <v>0</v>
      </c>
    </row>
    <row r="260" spans="1:16" x14ac:dyDescent="0.25">
      <c r="A260" t="s">
        <v>114</v>
      </c>
      <c r="B260">
        <v>19</v>
      </c>
      <c r="C260">
        <v>9</v>
      </c>
      <c r="D260" t="s">
        <v>383</v>
      </c>
      <c r="E260">
        <v>0</v>
      </c>
      <c r="F260">
        <f t="shared" si="24"/>
        <v>0</v>
      </c>
      <c r="G260">
        <v>3</v>
      </c>
      <c r="H260">
        <f t="shared" si="24"/>
        <v>1</v>
      </c>
      <c r="I260">
        <v>0</v>
      </c>
      <c r="J260">
        <f t="shared" si="20"/>
        <v>0</v>
      </c>
      <c r="K260">
        <v>0</v>
      </c>
      <c r="L260">
        <f t="shared" si="21"/>
        <v>0</v>
      </c>
      <c r="M260">
        <v>0</v>
      </c>
      <c r="N260">
        <f t="shared" si="22"/>
        <v>0</v>
      </c>
      <c r="O260">
        <v>0</v>
      </c>
      <c r="P260">
        <f t="shared" si="23"/>
        <v>0</v>
      </c>
    </row>
    <row r="261" spans="1:16" x14ac:dyDescent="0.25">
      <c r="A261" t="s">
        <v>114</v>
      </c>
      <c r="B261">
        <v>112</v>
      </c>
      <c r="C261">
        <v>4</v>
      </c>
      <c r="D261" t="s">
        <v>384</v>
      </c>
      <c r="E261">
        <v>0</v>
      </c>
      <c r="F261">
        <f t="shared" si="24"/>
        <v>0</v>
      </c>
      <c r="G261">
        <v>1</v>
      </c>
      <c r="H261">
        <f t="shared" si="24"/>
        <v>1</v>
      </c>
      <c r="I261">
        <v>0</v>
      </c>
      <c r="J261">
        <f t="shared" si="20"/>
        <v>0</v>
      </c>
      <c r="K261">
        <v>0</v>
      </c>
      <c r="L261">
        <f t="shared" si="21"/>
        <v>0</v>
      </c>
      <c r="M261">
        <v>0</v>
      </c>
      <c r="N261">
        <f t="shared" si="22"/>
        <v>0</v>
      </c>
      <c r="O261">
        <v>0</v>
      </c>
      <c r="P261">
        <f t="shared" si="23"/>
        <v>0</v>
      </c>
    </row>
    <row r="262" spans="1:16" x14ac:dyDescent="0.25">
      <c r="A262" t="s">
        <v>114</v>
      </c>
      <c r="B262">
        <v>60</v>
      </c>
      <c r="C262">
        <v>6</v>
      </c>
      <c r="D262" t="s">
        <v>385</v>
      </c>
      <c r="E262">
        <v>0</v>
      </c>
      <c r="F262">
        <f t="shared" si="24"/>
        <v>0</v>
      </c>
      <c r="G262">
        <v>1</v>
      </c>
      <c r="H262">
        <f t="shared" si="24"/>
        <v>1</v>
      </c>
      <c r="I262">
        <v>0</v>
      </c>
      <c r="J262">
        <f t="shared" si="20"/>
        <v>0</v>
      </c>
      <c r="K262">
        <v>0</v>
      </c>
      <c r="L262">
        <f t="shared" si="21"/>
        <v>0</v>
      </c>
      <c r="M262">
        <v>0</v>
      </c>
      <c r="N262">
        <f t="shared" si="22"/>
        <v>0</v>
      </c>
      <c r="O262">
        <v>0</v>
      </c>
      <c r="P262">
        <f t="shared" si="23"/>
        <v>0</v>
      </c>
    </row>
    <row r="263" spans="1:16" x14ac:dyDescent="0.25">
      <c r="A263" t="s">
        <v>115</v>
      </c>
      <c r="B263">
        <v>19</v>
      </c>
      <c r="C263">
        <v>24</v>
      </c>
      <c r="D263" t="s">
        <v>385</v>
      </c>
      <c r="E263">
        <v>0</v>
      </c>
      <c r="F263">
        <f t="shared" si="24"/>
        <v>0</v>
      </c>
      <c r="G263">
        <v>1</v>
      </c>
      <c r="H263">
        <f t="shared" si="24"/>
        <v>1</v>
      </c>
      <c r="I263">
        <v>0</v>
      </c>
      <c r="J263">
        <f t="shared" si="20"/>
        <v>0</v>
      </c>
      <c r="K263">
        <v>0</v>
      </c>
      <c r="L263">
        <f t="shared" si="21"/>
        <v>0</v>
      </c>
      <c r="M263">
        <v>0</v>
      </c>
      <c r="N263">
        <f t="shared" si="22"/>
        <v>0</v>
      </c>
      <c r="O263">
        <v>0</v>
      </c>
      <c r="P263">
        <f t="shared" si="23"/>
        <v>0</v>
      </c>
    </row>
    <row r="264" spans="1:16" x14ac:dyDescent="0.25">
      <c r="A264" t="s">
        <v>115</v>
      </c>
      <c r="B264">
        <v>26</v>
      </c>
      <c r="C264">
        <v>15</v>
      </c>
      <c r="D264" t="s">
        <v>386</v>
      </c>
      <c r="E264">
        <v>0</v>
      </c>
      <c r="F264">
        <f t="shared" si="24"/>
        <v>0</v>
      </c>
      <c r="G264">
        <v>1</v>
      </c>
      <c r="H264">
        <f t="shared" si="24"/>
        <v>1</v>
      </c>
      <c r="I264">
        <v>0</v>
      </c>
      <c r="J264">
        <f t="shared" si="20"/>
        <v>0</v>
      </c>
      <c r="K264">
        <v>0</v>
      </c>
      <c r="L264">
        <f t="shared" si="21"/>
        <v>0</v>
      </c>
      <c r="M264">
        <v>0</v>
      </c>
      <c r="N264">
        <f t="shared" si="22"/>
        <v>0</v>
      </c>
      <c r="O264">
        <v>0</v>
      </c>
      <c r="P264">
        <f t="shared" si="23"/>
        <v>0</v>
      </c>
    </row>
    <row r="265" spans="1:16" x14ac:dyDescent="0.25">
      <c r="A265" t="s">
        <v>114</v>
      </c>
      <c r="B265">
        <v>79</v>
      </c>
      <c r="C265">
        <v>12</v>
      </c>
      <c r="D265" t="s">
        <v>387</v>
      </c>
      <c r="E265">
        <v>0</v>
      </c>
      <c r="F265">
        <f t="shared" si="24"/>
        <v>0</v>
      </c>
      <c r="G265">
        <v>3</v>
      </c>
      <c r="H265">
        <f t="shared" si="24"/>
        <v>1</v>
      </c>
      <c r="I265">
        <v>0</v>
      </c>
      <c r="J265">
        <f t="shared" si="20"/>
        <v>0</v>
      </c>
      <c r="K265">
        <v>0</v>
      </c>
      <c r="L265">
        <f t="shared" si="21"/>
        <v>0</v>
      </c>
      <c r="M265">
        <v>0</v>
      </c>
      <c r="N265">
        <f t="shared" si="22"/>
        <v>0</v>
      </c>
      <c r="O265">
        <v>0</v>
      </c>
      <c r="P265">
        <f t="shared" si="23"/>
        <v>0</v>
      </c>
    </row>
    <row r="266" spans="1:16" x14ac:dyDescent="0.25">
      <c r="A266" t="s">
        <v>115</v>
      </c>
      <c r="B266">
        <v>6</v>
      </c>
      <c r="C266">
        <v>3</v>
      </c>
      <c r="D266" t="s">
        <v>388</v>
      </c>
      <c r="E266">
        <v>0</v>
      </c>
      <c r="F266">
        <f t="shared" si="24"/>
        <v>0</v>
      </c>
      <c r="G266">
        <v>22</v>
      </c>
      <c r="H266">
        <f t="shared" si="24"/>
        <v>1</v>
      </c>
      <c r="I266">
        <v>0</v>
      </c>
      <c r="J266">
        <f t="shared" si="20"/>
        <v>0</v>
      </c>
      <c r="K266">
        <v>0</v>
      </c>
      <c r="L266">
        <f t="shared" si="21"/>
        <v>0</v>
      </c>
      <c r="M266">
        <v>0</v>
      </c>
      <c r="N266">
        <f t="shared" si="22"/>
        <v>0</v>
      </c>
      <c r="O266">
        <v>0</v>
      </c>
      <c r="P266">
        <f t="shared" si="23"/>
        <v>0</v>
      </c>
    </row>
    <row r="267" spans="1:16" x14ac:dyDescent="0.25">
      <c r="A267" t="s">
        <v>116</v>
      </c>
      <c r="B267">
        <v>34</v>
      </c>
      <c r="C267">
        <v>37</v>
      </c>
      <c r="D267" t="s">
        <v>389</v>
      </c>
      <c r="E267">
        <v>0</v>
      </c>
      <c r="F267">
        <f t="shared" si="24"/>
        <v>0</v>
      </c>
      <c r="G267">
        <v>4</v>
      </c>
      <c r="H267">
        <f t="shared" si="24"/>
        <v>1</v>
      </c>
      <c r="I267">
        <v>0</v>
      </c>
      <c r="J267">
        <f t="shared" si="20"/>
        <v>0</v>
      </c>
      <c r="K267">
        <v>0</v>
      </c>
      <c r="L267">
        <f t="shared" si="21"/>
        <v>0</v>
      </c>
      <c r="M267">
        <v>0</v>
      </c>
      <c r="N267">
        <f t="shared" si="22"/>
        <v>0</v>
      </c>
      <c r="O267">
        <v>0</v>
      </c>
      <c r="P267">
        <f t="shared" si="23"/>
        <v>0</v>
      </c>
    </row>
    <row r="268" spans="1:16" x14ac:dyDescent="0.25">
      <c r="A268" t="s">
        <v>114</v>
      </c>
      <c r="B268">
        <v>68</v>
      </c>
      <c r="C268">
        <v>20</v>
      </c>
      <c r="D268" t="s">
        <v>390</v>
      </c>
      <c r="E268">
        <v>0</v>
      </c>
      <c r="F268">
        <f t="shared" si="24"/>
        <v>0</v>
      </c>
      <c r="G268">
        <v>18</v>
      </c>
      <c r="H268">
        <f t="shared" si="24"/>
        <v>1</v>
      </c>
      <c r="I268">
        <v>0</v>
      </c>
      <c r="J268">
        <f t="shared" si="20"/>
        <v>0</v>
      </c>
      <c r="K268">
        <v>0</v>
      </c>
      <c r="L268">
        <f t="shared" si="21"/>
        <v>0</v>
      </c>
      <c r="M268">
        <v>0</v>
      </c>
      <c r="N268">
        <f t="shared" si="22"/>
        <v>0</v>
      </c>
      <c r="O268">
        <v>5</v>
      </c>
      <c r="P268">
        <f t="shared" si="23"/>
        <v>1</v>
      </c>
    </row>
    <row r="269" spans="1:16" x14ac:dyDescent="0.25">
      <c r="A269" t="s">
        <v>114</v>
      </c>
      <c r="B269">
        <v>79</v>
      </c>
      <c r="C269">
        <v>3</v>
      </c>
      <c r="D269" t="s">
        <v>391</v>
      </c>
      <c r="E269">
        <v>0</v>
      </c>
      <c r="F269">
        <f t="shared" si="24"/>
        <v>0</v>
      </c>
      <c r="G269">
        <v>17</v>
      </c>
      <c r="H269">
        <f t="shared" si="24"/>
        <v>1</v>
      </c>
      <c r="I269">
        <v>0</v>
      </c>
      <c r="J269">
        <f t="shared" si="20"/>
        <v>0</v>
      </c>
      <c r="K269">
        <v>0</v>
      </c>
      <c r="L269">
        <f t="shared" si="21"/>
        <v>0</v>
      </c>
      <c r="M269">
        <v>0</v>
      </c>
      <c r="N269">
        <f t="shared" si="22"/>
        <v>0</v>
      </c>
      <c r="O269">
        <v>0</v>
      </c>
      <c r="P269">
        <f t="shared" si="23"/>
        <v>0</v>
      </c>
    </row>
    <row r="270" spans="1:16" x14ac:dyDescent="0.25">
      <c r="A270" t="s">
        <v>114</v>
      </c>
      <c r="B270">
        <v>106</v>
      </c>
      <c r="C270">
        <v>38</v>
      </c>
      <c r="D270" t="s">
        <v>392</v>
      </c>
      <c r="E270">
        <v>0</v>
      </c>
      <c r="F270">
        <f t="shared" si="24"/>
        <v>0</v>
      </c>
      <c r="G270">
        <v>13</v>
      </c>
      <c r="H270">
        <f t="shared" si="24"/>
        <v>1</v>
      </c>
      <c r="I270">
        <v>0</v>
      </c>
      <c r="J270">
        <f t="shared" si="20"/>
        <v>0</v>
      </c>
      <c r="K270">
        <v>0</v>
      </c>
      <c r="L270">
        <f t="shared" si="21"/>
        <v>0</v>
      </c>
      <c r="M270">
        <v>0</v>
      </c>
      <c r="N270">
        <f t="shared" si="22"/>
        <v>0</v>
      </c>
      <c r="O270">
        <v>0</v>
      </c>
      <c r="P270">
        <f t="shared" si="23"/>
        <v>0</v>
      </c>
    </row>
    <row r="271" spans="1:16" x14ac:dyDescent="0.25">
      <c r="A271" t="s">
        <v>114</v>
      </c>
      <c r="B271">
        <v>116</v>
      </c>
      <c r="C271">
        <v>19</v>
      </c>
      <c r="D271" t="s">
        <v>393</v>
      </c>
      <c r="E271">
        <v>0</v>
      </c>
      <c r="F271">
        <f t="shared" si="24"/>
        <v>0</v>
      </c>
      <c r="G271">
        <v>13</v>
      </c>
      <c r="H271">
        <f t="shared" si="24"/>
        <v>1</v>
      </c>
      <c r="I271">
        <v>0</v>
      </c>
      <c r="J271">
        <f t="shared" si="20"/>
        <v>0</v>
      </c>
      <c r="K271">
        <v>0</v>
      </c>
      <c r="L271">
        <f t="shared" si="21"/>
        <v>0</v>
      </c>
      <c r="M271">
        <v>0</v>
      </c>
      <c r="N271">
        <f t="shared" si="22"/>
        <v>0</v>
      </c>
      <c r="O271">
        <v>0</v>
      </c>
      <c r="P271">
        <f t="shared" si="23"/>
        <v>0</v>
      </c>
    </row>
    <row r="272" spans="1:16" x14ac:dyDescent="0.25">
      <c r="A272" t="s">
        <v>116</v>
      </c>
      <c r="B272">
        <v>31</v>
      </c>
      <c r="C272">
        <v>35</v>
      </c>
      <c r="D272" t="s">
        <v>394</v>
      </c>
      <c r="E272">
        <v>0</v>
      </c>
      <c r="F272">
        <f t="shared" si="24"/>
        <v>0</v>
      </c>
      <c r="G272">
        <v>7</v>
      </c>
      <c r="H272">
        <f t="shared" si="24"/>
        <v>1</v>
      </c>
      <c r="I272">
        <v>0</v>
      </c>
      <c r="J272">
        <f t="shared" si="20"/>
        <v>0</v>
      </c>
      <c r="K272">
        <v>0</v>
      </c>
      <c r="L272">
        <f t="shared" si="21"/>
        <v>0</v>
      </c>
      <c r="M272">
        <v>0</v>
      </c>
      <c r="N272">
        <f t="shared" si="22"/>
        <v>0</v>
      </c>
      <c r="O272">
        <v>0</v>
      </c>
      <c r="P272">
        <f t="shared" si="23"/>
        <v>0</v>
      </c>
    </row>
    <row r="273" spans="1:16" x14ac:dyDescent="0.25">
      <c r="A273" t="s">
        <v>114</v>
      </c>
      <c r="B273">
        <v>32</v>
      </c>
      <c r="C273">
        <v>5</v>
      </c>
      <c r="D273" t="s">
        <v>395</v>
      </c>
      <c r="E273">
        <v>0</v>
      </c>
      <c r="F273">
        <f t="shared" si="24"/>
        <v>0</v>
      </c>
      <c r="G273">
        <v>13</v>
      </c>
      <c r="H273">
        <f t="shared" si="24"/>
        <v>1</v>
      </c>
      <c r="I273">
        <v>0</v>
      </c>
      <c r="J273">
        <f t="shared" si="20"/>
        <v>0</v>
      </c>
      <c r="K273">
        <v>0</v>
      </c>
      <c r="L273">
        <f t="shared" si="21"/>
        <v>0</v>
      </c>
      <c r="M273">
        <v>0</v>
      </c>
      <c r="N273">
        <f t="shared" si="22"/>
        <v>0</v>
      </c>
      <c r="O273">
        <v>0</v>
      </c>
      <c r="P273">
        <f t="shared" si="23"/>
        <v>0</v>
      </c>
    </row>
    <row r="274" spans="1:16" x14ac:dyDescent="0.25">
      <c r="A274" t="s">
        <v>114</v>
      </c>
      <c r="B274">
        <v>48</v>
      </c>
      <c r="C274">
        <v>9</v>
      </c>
      <c r="D274" t="s">
        <v>396</v>
      </c>
      <c r="E274">
        <v>0</v>
      </c>
      <c r="F274">
        <f t="shared" si="24"/>
        <v>0</v>
      </c>
      <c r="G274">
        <v>24</v>
      </c>
      <c r="H274">
        <f t="shared" si="24"/>
        <v>1</v>
      </c>
      <c r="I274">
        <v>0</v>
      </c>
      <c r="J274">
        <f t="shared" si="20"/>
        <v>0</v>
      </c>
      <c r="K274">
        <v>0</v>
      </c>
      <c r="L274">
        <f t="shared" si="21"/>
        <v>0</v>
      </c>
      <c r="M274">
        <v>0</v>
      </c>
      <c r="N274">
        <f t="shared" si="22"/>
        <v>0</v>
      </c>
      <c r="O274">
        <v>0</v>
      </c>
      <c r="P274">
        <f t="shared" si="23"/>
        <v>0</v>
      </c>
    </row>
    <row r="275" spans="1:16" x14ac:dyDescent="0.25">
      <c r="A275" t="s">
        <v>116</v>
      </c>
      <c r="B275">
        <v>14</v>
      </c>
      <c r="C275">
        <v>3</v>
      </c>
      <c r="D275" t="s">
        <v>397</v>
      </c>
      <c r="E275">
        <v>0</v>
      </c>
      <c r="F275">
        <f t="shared" si="24"/>
        <v>0</v>
      </c>
      <c r="G275">
        <v>10</v>
      </c>
      <c r="H275">
        <f t="shared" si="24"/>
        <v>1</v>
      </c>
      <c r="I275">
        <v>0</v>
      </c>
      <c r="J275">
        <f t="shared" si="20"/>
        <v>0</v>
      </c>
      <c r="K275">
        <v>0</v>
      </c>
      <c r="L275">
        <f t="shared" si="21"/>
        <v>0</v>
      </c>
      <c r="M275">
        <v>0</v>
      </c>
      <c r="N275">
        <f t="shared" si="22"/>
        <v>0</v>
      </c>
      <c r="O275">
        <v>0</v>
      </c>
      <c r="P275">
        <f t="shared" si="23"/>
        <v>0</v>
      </c>
    </row>
    <row r="276" spans="1:16" x14ac:dyDescent="0.25">
      <c r="A276" t="s">
        <v>114</v>
      </c>
      <c r="B276">
        <v>68</v>
      </c>
      <c r="C276">
        <v>25</v>
      </c>
      <c r="D276" t="s">
        <v>398</v>
      </c>
      <c r="E276">
        <v>0</v>
      </c>
      <c r="F276">
        <f t="shared" si="24"/>
        <v>0</v>
      </c>
      <c r="G276">
        <v>10</v>
      </c>
      <c r="H276">
        <f t="shared" si="24"/>
        <v>1</v>
      </c>
      <c r="I276">
        <v>0</v>
      </c>
      <c r="J276">
        <f t="shared" si="20"/>
        <v>0</v>
      </c>
      <c r="K276">
        <v>0</v>
      </c>
      <c r="L276">
        <f t="shared" si="21"/>
        <v>0</v>
      </c>
      <c r="M276">
        <v>0</v>
      </c>
      <c r="N276">
        <f t="shared" si="22"/>
        <v>0</v>
      </c>
      <c r="O276">
        <v>0</v>
      </c>
      <c r="P276">
        <f t="shared" si="23"/>
        <v>0</v>
      </c>
    </row>
    <row r="277" spans="1:16" x14ac:dyDescent="0.25">
      <c r="A277" t="s">
        <v>114</v>
      </c>
      <c r="B277">
        <v>74</v>
      </c>
      <c r="C277">
        <v>10</v>
      </c>
      <c r="D277" t="s">
        <v>399</v>
      </c>
      <c r="E277">
        <v>0</v>
      </c>
      <c r="F277">
        <f t="shared" si="24"/>
        <v>0</v>
      </c>
      <c r="G277">
        <v>12</v>
      </c>
      <c r="H277">
        <f t="shared" si="24"/>
        <v>1</v>
      </c>
      <c r="I277">
        <v>0</v>
      </c>
      <c r="J277">
        <f t="shared" si="20"/>
        <v>0</v>
      </c>
      <c r="K277">
        <v>0</v>
      </c>
      <c r="L277">
        <f t="shared" si="21"/>
        <v>0</v>
      </c>
      <c r="M277">
        <v>0</v>
      </c>
      <c r="N277">
        <f t="shared" si="22"/>
        <v>0</v>
      </c>
      <c r="O277">
        <v>0</v>
      </c>
      <c r="P277">
        <f t="shared" si="23"/>
        <v>0</v>
      </c>
    </row>
    <row r="278" spans="1:16" x14ac:dyDescent="0.25">
      <c r="A278" t="s">
        <v>114</v>
      </c>
      <c r="B278">
        <v>28</v>
      </c>
      <c r="C278">
        <v>8</v>
      </c>
      <c r="D278" t="s">
        <v>400</v>
      </c>
      <c r="E278">
        <v>0</v>
      </c>
      <c r="F278">
        <f t="shared" si="24"/>
        <v>0</v>
      </c>
      <c r="G278">
        <v>11</v>
      </c>
      <c r="H278">
        <f t="shared" si="24"/>
        <v>1</v>
      </c>
      <c r="I278">
        <v>0</v>
      </c>
      <c r="J278">
        <f t="shared" si="20"/>
        <v>0</v>
      </c>
      <c r="K278">
        <v>0</v>
      </c>
      <c r="L278">
        <f t="shared" si="21"/>
        <v>0</v>
      </c>
      <c r="M278">
        <v>0</v>
      </c>
      <c r="N278">
        <f t="shared" si="22"/>
        <v>0</v>
      </c>
      <c r="O278">
        <v>0</v>
      </c>
      <c r="P278">
        <f t="shared" si="23"/>
        <v>0</v>
      </c>
    </row>
    <row r="279" spans="1:16" x14ac:dyDescent="0.25">
      <c r="A279" t="s">
        <v>114</v>
      </c>
      <c r="B279">
        <v>119</v>
      </c>
      <c r="C279">
        <v>52</v>
      </c>
      <c r="D279" t="s">
        <v>401</v>
      </c>
      <c r="E279">
        <v>0</v>
      </c>
      <c r="F279">
        <f t="shared" si="24"/>
        <v>0</v>
      </c>
      <c r="G279">
        <v>1</v>
      </c>
      <c r="H279">
        <f t="shared" si="24"/>
        <v>1</v>
      </c>
      <c r="I279">
        <v>0</v>
      </c>
      <c r="J279">
        <f t="shared" si="20"/>
        <v>0</v>
      </c>
      <c r="K279">
        <v>0</v>
      </c>
      <c r="L279">
        <f t="shared" si="21"/>
        <v>0</v>
      </c>
      <c r="M279">
        <v>0</v>
      </c>
      <c r="N279">
        <f t="shared" si="22"/>
        <v>0</v>
      </c>
      <c r="O279">
        <v>0</v>
      </c>
      <c r="P279">
        <f t="shared" si="23"/>
        <v>0</v>
      </c>
    </row>
    <row r="280" spans="1:16" x14ac:dyDescent="0.25">
      <c r="A280" t="s">
        <v>114</v>
      </c>
      <c r="B280">
        <v>31</v>
      </c>
      <c r="C280">
        <v>16</v>
      </c>
      <c r="D280" t="s">
        <v>402</v>
      </c>
      <c r="E280">
        <v>0</v>
      </c>
      <c r="F280">
        <f t="shared" si="24"/>
        <v>0</v>
      </c>
      <c r="G280">
        <v>9</v>
      </c>
      <c r="H280">
        <f t="shared" si="24"/>
        <v>1</v>
      </c>
      <c r="I280">
        <v>0</v>
      </c>
      <c r="J280">
        <f t="shared" si="20"/>
        <v>0</v>
      </c>
      <c r="K280">
        <v>0</v>
      </c>
      <c r="L280">
        <f t="shared" si="21"/>
        <v>0</v>
      </c>
      <c r="M280">
        <v>0</v>
      </c>
      <c r="N280">
        <f t="shared" si="22"/>
        <v>0</v>
      </c>
      <c r="O280">
        <v>0</v>
      </c>
      <c r="P280">
        <f t="shared" si="23"/>
        <v>0</v>
      </c>
    </row>
    <row r="281" spans="1:16" x14ac:dyDescent="0.25">
      <c r="A281" t="s">
        <v>115</v>
      </c>
      <c r="B281">
        <v>27</v>
      </c>
      <c r="C281">
        <v>14</v>
      </c>
      <c r="D281" t="s">
        <v>403</v>
      </c>
      <c r="E281">
        <v>0</v>
      </c>
      <c r="F281">
        <f t="shared" si="24"/>
        <v>0</v>
      </c>
      <c r="G281">
        <v>3</v>
      </c>
      <c r="H281">
        <f t="shared" si="24"/>
        <v>1</v>
      </c>
      <c r="I281">
        <v>0</v>
      </c>
      <c r="J281">
        <f t="shared" si="20"/>
        <v>0</v>
      </c>
      <c r="K281">
        <v>0</v>
      </c>
      <c r="L281">
        <f t="shared" si="21"/>
        <v>0</v>
      </c>
      <c r="M281">
        <v>0</v>
      </c>
      <c r="N281">
        <f t="shared" si="22"/>
        <v>0</v>
      </c>
      <c r="O281">
        <v>0</v>
      </c>
      <c r="P281">
        <f t="shared" si="23"/>
        <v>0</v>
      </c>
    </row>
    <row r="282" spans="1:16" x14ac:dyDescent="0.25">
      <c r="A282" t="s">
        <v>115</v>
      </c>
      <c r="B282">
        <v>3</v>
      </c>
      <c r="C282">
        <v>28</v>
      </c>
      <c r="D282" t="s">
        <v>404</v>
      </c>
      <c r="E282">
        <v>0</v>
      </c>
      <c r="F282">
        <f t="shared" si="24"/>
        <v>0</v>
      </c>
      <c r="G282">
        <v>3</v>
      </c>
      <c r="H282">
        <f t="shared" si="24"/>
        <v>1</v>
      </c>
      <c r="I282">
        <v>0</v>
      </c>
      <c r="J282">
        <f t="shared" si="20"/>
        <v>0</v>
      </c>
      <c r="K282">
        <v>0</v>
      </c>
      <c r="L282">
        <f t="shared" si="21"/>
        <v>0</v>
      </c>
      <c r="M282">
        <v>0</v>
      </c>
      <c r="N282">
        <f t="shared" si="22"/>
        <v>0</v>
      </c>
      <c r="O282">
        <v>0</v>
      </c>
      <c r="P282">
        <f t="shared" si="23"/>
        <v>0</v>
      </c>
    </row>
    <row r="283" spans="1:16" x14ac:dyDescent="0.25">
      <c r="A283" t="s">
        <v>115</v>
      </c>
      <c r="B283">
        <v>8</v>
      </c>
      <c r="C283">
        <v>13</v>
      </c>
      <c r="D283" t="s">
        <v>405</v>
      </c>
      <c r="E283">
        <v>0</v>
      </c>
      <c r="F283">
        <f t="shared" si="24"/>
        <v>0</v>
      </c>
      <c r="G283">
        <v>18</v>
      </c>
      <c r="H283">
        <f t="shared" si="24"/>
        <v>1</v>
      </c>
      <c r="I283">
        <v>0</v>
      </c>
      <c r="J283">
        <f t="shared" si="20"/>
        <v>0</v>
      </c>
      <c r="K283">
        <v>5</v>
      </c>
      <c r="L283">
        <f t="shared" si="21"/>
        <v>1</v>
      </c>
      <c r="M283">
        <v>0</v>
      </c>
      <c r="N283">
        <f t="shared" si="22"/>
        <v>0</v>
      </c>
      <c r="O283">
        <v>0</v>
      </c>
      <c r="P283">
        <f t="shared" si="23"/>
        <v>0</v>
      </c>
    </row>
    <row r="284" spans="1:16" x14ac:dyDescent="0.25">
      <c r="A284" t="s">
        <v>114</v>
      </c>
      <c r="B284">
        <v>77</v>
      </c>
      <c r="C284">
        <v>17</v>
      </c>
      <c r="D284" t="s">
        <v>406</v>
      </c>
      <c r="E284">
        <v>0</v>
      </c>
      <c r="F284">
        <f t="shared" si="24"/>
        <v>0</v>
      </c>
      <c r="G284">
        <v>1</v>
      </c>
      <c r="H284">
        <f t="shared" si="24"/>
        <v>1</v>
      </c>
      <c r="I284">
        <v>0</v>
      </c>
      <c r="J284">
        <f t="shared" si="20"/>
        <v>0</v>
      </c>
      <c r="K284">
        <v>0</v>
      </c>
      <c r="L284">
        <f t="shared" si="21"/>
        <v>0</v>
      </c>
      <c r="M284">
        <v>0</v>
      </c>
      <c r="N284">
        <f t="shared" si="22"/>
        <v>0</v>
      </c>
      <c r="O284">
        <v>0</v>
      </c>
      <c r="P284">
        <f t="shared" si="23"/>
        <v>0</v>
      </c>
    </row>
    <row r="285" spans="1:16" x14ac:dyDescent="0.25">
      <c r="A285" t="s">
        <v>115</v>
      </c>
      <c r="B285">
        <v>24</v>
      </c>
      <c r="C285">
        <v>12</v>
      </c>
      <c r="D285" t="s">
        <v>407</v>
      </c>
      <c r="E285">
        <v>0</v>
      </c>
      <c r="F285">
        <f t="shared" si="24"/>
        <v>0</v>
      </c>
      <c r="G285">
        <v>22</v>
      </c>
      <c r="H285">
        <f t="shared" si="24"/>
        <v>1</v>
      </c>
      <c r="I285">
        <v>7</v>
      </c>
      <c r="J285">
        <f t="shared" si="20"/>
        <v>1</v>
      </c>
      <c r="K285">
        <v>0</v>
      </c>
      <c r="L285">
        <f t="shared" si="21"/>
        <v>0</v>
      </c>
      <c r="M285">
        <v>0</v>
      </c>
      <c r="N285">
        <f t="shared" si="22"/>
        <v>0</v>
      </c>
      <c r="O285">
        <v>0</v>
      </c>
      <c r="P285">
        <f t="shared" si="23"/>
        <v>0</v>
      </c>
    </row>
    <row r="286" spans="1:16" x14ac:dyDescent="0.25">
      <c r="A286" t="s">
        <v>116</v>
      </c>
      <c r="B286">
        <v>16</v>
      </c>
      <c r="C286">
        <v>12</v>
      </c>
      <c r="D286" t="s">
        <v>408</v>
      </c>
      <c r="E286">
        <v>0</v>
      </c>
      <c r="F286">
        <f t="shared" si="24"/>
        <v>0</v>
      </c>
      <c r="G286">
        <v>1</v>
      </c>
      <c r="H286">
        <f t="shared" si="24"/>
        <v>1</v>
      </c>
      <c r="I286">
        <v>0</v>
      </c>
      <c r="J286">
        <f t="shared" si="20"/>
        <v>0</v>
      </c>
      <c r="K286">
        <v>0</v>
      </c>
      <c r="L286">
        <f t="shared" si="21"/>
        <v>0</v>
      </c>
      <c r="M286">
        <v>0</v>
      </c>
      <c r="N286">
        <f t="shared" si="22"/>
        <v>0</v>
      </c>
      <c r="O286">
        <v>0</v>
      </c>
      <c r="P286">
        <f t="shared" si="23"/>
        <v>0</v>
      </c>
    </row>
    <row r="287" spans="1:16" x14ac:dyDescent="0.25">
      <c r="A287" t="s">
        <v>114</v>
      </c>
      <c r="B287">
        <v>25</v>
      </c>
      <c r="C287">
        <v>5</v>
      </c>
      <c r="D287" t="s">
        <v>409</v>
      </c>
      <c r="E287">
        <v>0</v>
      </c>
      <c r="F287">
        <f t="shared" si="24"/>
        <v>0</v>
      </c>
      <c r="G287">
        <v>3</v>
      </c>
      <c r="H287">
        <f t="shared" si="24"/>
        <v>1</v>
      </c>
      <c r="I287">
        <v>0</v>
      </c>
      <c r="J287">
        <f t="shared" si="20"/>
        <v>0</v>
      </c>
      <c r="K287">
        <v>0</v>
      </c>
      <c r="L287">
        <f t="shared" si="21"/>
        <v>0</v>
      </c>
      <c r="M287">
        <v>0</v>
      </c>
      <c r="N287">
        <f t="shared" si="22"/>
        <v>0</v>
      </c>
      <c r="O287">
        <v>0</v>
      </c>
      <c r="P287">
        <f t="shared" si="23"/>
        <v>0</v>
      </c>
    </row>
    <row r="288" spans="1:16" x14ac:dyDescent="0.25">
      <c r="A288" t="s">
        <v>114</v>
      </c>
      <c r="B288">
        <v>51</v>
      </c>
      <c r="C288">
        <v>16</v>
      </c>
      <c r="D288" t="s">
        <v>410</v>
      </c>
      <c r="E288">
        <v>0</v>
      </c>
      <c r="F288">
        <f t="shared" si="24"/>
        <v>0</v>
      </c>
      <c r="G288">
        <v>3</v>
      </c>
      <c r="H288">
        <f t="shared" si="24"/>
        <v>1</v>
      </c>
      <c r="I288">
        <v>0</v>
      </c>
      <c r="J288">
        <f t="shared" si="20"/>
        <v>0</v>
      </c>
      <c r="K288">
        <v>0</v>
      </c>
      <c r="L288">
        <f t="shared" si="21"/>
        <v>0</v>
      </c>
      <c r="M288">
        <v>0</v>
      </c>
      <c r="N288">
        <f t="shared" si="22"/>
        <v>0</v>
      </c>
      <c r="O288">
        <v>0</v>
      </c>
      <c r="P288">
        <f t="shared" si="23"/>
        <v>0</v>
      </c>
    </row>
    <row r="289" spans="1:16" x14ac:dyDescent="0.25">
      <c r="A289" t="s">
        <v>114</v>
      </c>
      <c r="B289">
        <v>99</v>
      </c>
      <c r="C289">
        <v>6</v>
      </c>
      <c r="D289" t="s">
        <v>411</v>
      </c>
      <c r="E289">
        <v>0</v>
      </c>
      <c r="F289">
        <f t="shared" si="24"/>
        <v>0</v>
      </c>
      <c r="G289">
        <v>1</v>
      </c>
      <c r="H289">
        <f t="shared" si="24"/>
        <v>1</v>
      </c>
      <c r="I289">
        <v>0</v>
      </c>
      <c r="J289">
        <f t="shared" si="20"/>
        <v>0</v>
      </c>
      <c r="K289">
        <v>0</v>
      </c>
      <c r="L289">
        <f t="shared" si="21"/>
        <v>0</v>
      </c>
      <c r="M289">
        <v>0</v>
      </c>
      <c r="N289">
        <f t="shared" si="22"/>
        <v>0</v>
      </c>
      <c r="O289">
        <v>0</v>
      </c>
      <c r="P289">
        <f t="shared" si="23"/>
        <v>0</v>
      </c>
    </row>
    <row r="290" spans="1:16" x14ac:dyDescent="0.25">
      <c r="A290" t="s">
        <v>114</v>
      </c>
      <c r="B290">
        <v>75</v>
      </c>
      <c r="C290">
        <v>2</v>
      </c>
      <c r="D290" t="s">
        <v>412</v>
      </c>
      <c r="E290">
        <v>0</v>
      </c>
      <c r="F290">
        <f t="shared" si="24"/>
        <v>0</v>
      </c>
      <c r="G290">
        <v>1</v>
      </c>
      <c r="H290">
        <f t="shared" si="24"/>
        <v>1</v>
      </c>
      <c r="I290">
        <v>0</v>
      </c>
      <c r="J290">
        <f t="shared" si="20"/>
        <v>0</v>
      </c>
      <c r="K290">
        <v>0</v>
      </c>
      <c r="L290">
        <f t="shared" si="21"/>
        <v>0</v>
      </c>
      <c r="M290">
        <v>0</v>
      </c>
      <c r="N290">
        <f t="shared" si="22"/>
        <v>0</v>
      </c>
      <c r="O290">
        <v>0</v>
      </c>
      <c r="P290">
        <f t="shared" si="23"/>
        <v>0</v>
      </c>
    </row>
    <row r="291" spans="1:16" x14ac:dyDescent="0.25">
      <c r="A291" t="s">
        <v>114</v>
      </c>
      <c r="B291">
        <v>98</v>
      </c>
      <c r="C291">
        <v>3</v>
      </c>
      <c r="D291" t="s">
        <v>413</v>
      </c>
      <c r="E291">
        <v>0</v>
      </c>
      <c r="F291">
        <f t="shared" si="24"/>
        <v>0</v>
      </c>
      <c r="G291">
        <v>1</v>
      </c>
      <c r="H291">
        <f t="shared" si="24"/>
        <v>1</v>
      </c>
      <c r="I291">
        <v>16</v>
      </c>
      <c r="J291">
        <f t="shared" si="20"/>
        <v>1</v>
      </c>
      <c r="K291">
        <v>0</v>
      </c>
      <c r="L291">
        <f t="shared" si="21"/>
        <v>0</v>
      </c>
      <c r="M291">
        <v>0</v>
      </c>
      <c r="N291">
        <f t="shared" si="22"/>
        <v>0</v>
      </c>
      <c r="O291">
        <v>0</v>
      </c>
      <c r="P291">
        <f t="shared" si="23"/>
        <v>0</v>
      </c>
    </row>
    <row r="292" spans="1:16" x14ac:dyDescent="0.25">
      <c r="A292" t="s">
        <v>114</v>
      </c>
      <c r="B292">
        <v>39</v>
      </c>
      <c r="C292">
        <v>12</v>
      </c>
      <c r="D292" t="s">
        <v>414</v>
      </c>
      <c r="E292">
        <v>0</v>
      </c>
      <c r="F292">
        <f t="shared" si="24"/>
        <v>0</v>
      </c>
      <c r="G292">
        <v>3</v>
      </c>
      <c r="H292">
        <f t="shared" si="24"/>
        <v>1</v>
      </c>
      <c r="I292">
        <v>0</v>
      </c>
      <c r="J292">
        <f t="shared" si="20"/>
        <v>0</v>
      </c>
      <c r="K292">
        <v>0</v>
      </c>
      <c r="L292">
        <f t="shared" si="21"/>
        <v>0</v>
      </c>
      <c r="M292">
        <v>0</v>
      </c>
      <c r="N292">
        <f t="shared" si="22"/>
        <v>0</v>
      </c>
      <c r="O292">
        <v>0</v>
      </c>
      <c r="P292">
        <f t="shared" si="23"/>
        <v>0</v>
      </c>
    </row>
    <row r="293" spans="1:16" x14ac:dyDescent="0.25">
      <c r="A293" t="s">
        <v>114</v>
      </c>
      <c r="B293">
        <v>106</v>
      </c>
      <c r="C293">
        <v>7</v>
      </c>
      <c r="D293" t="s">
        <v>415</v>
      </c>
      <c r="E293">
        <v>0</v>
      </c>
      <c r="F293">
        <f t="shared" si="24"/>
        <v>0</v>
      </c>
      <c r="G293">
        <v>3</v>
      </c>
      <c r="H293">
        <f t="shared" si="24"/>
        <v>1</v>
      </c>
      <c r="I293">
        <v>0</v>
      </c>
      <c r="J293">
        <f t="shared" si="20"/>
        <v>0</v>
      </c>
      <c r="K293">
        <v>0</v>
      </c>
      <c r="L293">
        <f t="shared" si="21"/>
        <v>0</v>
      </c>
      <c r="M293">
        <v>0</v>
      </c>
      <c r="N293">
        <f t="shared" si="22"/>
        <v>0</v>
      </c>
      <c r="O293">
        <v>0</v>
      </c>
      <c r="P293">
        <f t="shared" si="23"/>
        <v>0</v>
      </c>
    </row>
    <row r="294" spans="1:16" x14ac:dyDescent="0.25">
      <c r="A294" t="s">
        <v>114</v>
      </c>
      <c r="B294">
        <v>111</v>
      </c>
      <c r="C294">
        <v>10</v>
      </c>
      <c r="D294" t="s">
        <v>416</v>
      </c>
      <c r="E294">
        <v>0</v>
      </c>
      <c r="F294">
        <f t="shared" si="24"/>
        <v>0</v>
      </c>
      <c r="G294">
        <v>1</v>
      </c>
      <c r="H294">
        <f t="shared" si="24"/>
        <v>1</v>
      </c>
      <c r="I294">
        <v>0</v>
      </c>
      <c r="J294">
        <f t="shared" si="20"/>
        <v>0</v>
      </c>
      <c r="K294">
        <v>0</v>
      </c>
      <c r="L294">
        <f t="shared" si="21"/>
        <v>0</v>
      </c>
      <c r="M294">
        <v>0</v>
      </c>
      <c r="N294">
        <f t="shared" si="22"/>
        <v>0</v>
      </c>
      <c r="O294">
        <v>0</v>
      </c>
      <c r="P294">
        <f t="shared" si="23"/>
        <v>0</v>
      </c>
    </row>
    <row r="295" spans="1:16" x14ac:dyDescent="0.25">
      <c r="A295" t="s">
        <v>114</v>
      </c>
      <c r="B295">
        <v>80</v>
      </c>
      <c r="C295">
        <v>2</v>
      </c>
      <c r="D295" t="s">
        <v>417</v>
      </c>
      <c r="E295">
        <v>0</v>
      </c>
      <c r="F295">
        <f t="shared" si="24"/>
        <v>0</v>
      </c>
      <c r="G295">
        <v>1</v>
      </c>
      <c r="H295">
        <f t="shared" si="24"/>
        <v>1</v>
      </c>
      <c r="I295">
        <v>0</v>
      </c>
      <c r="J295">
        <f t="shared" si="20"/>
        <v>0</v>
      </c>
      <c r="K295">
        <v>0</v>
      </c>
      <c r="L295">
        <f t="shared" si="21"/>
        <v>0</v>
      </c>
      <c r="M295">
        <v>0</v>
      </c>
      <c r="N295">
        <f t="shared" si="22"/>
        <v>0</v>
      </c>
      <c r="O295">
        <v>0</v>
      </c>
      <c r="P295">
        <f t="shared" si="23"/>
        <v>0</v>
      </c>
    </row>
    <row r="296" spans="1:16" x14ac:dyDescent="0.25">
      <c r="A296" t="s">
        <v>114</v>
      </c>
      <c r="B296">
        <v>112</v>
      </c>
      <c r="C296">
        <v>10</v>
      </c>
      <c r="D296" t="s">
        <v>417</v>
      </c>
      <c r="E296">
        <v>0</v>
      </c>
      <c r="F296">
        <f t="shared" si="24"/>
        <v>0</v>
      </c>
      <c r="G296">
        <v>1</v>
      </c>
      <c r="H296">
        <f t="shared" si="24"/>
        <v>1</v>
      </c>
      <c r="I296">
        <v>0</v>
      </c>
      <c r="J296">
        <f t="shared" si="20"/>
        <v>0</v>
      </c>
      <c r="K296">
        <v>0</v>
      </c>
      <c r="L296">
        <f t="shared" si="21"/>
        <v>0</v>
      </c>
      <c r="M296">
        <v>0</v>
      </c>
      <c r="N296">
        <f t="shared" si="22"/>
        <v>0</v>
      </c>
      <c r="O296">
        <v>0</v>
      </c>
      <c r="P296">
        <f t="shared" si="23"/>
        <v>0</v>
      </c>
    </row>
    <row r="297" spans="1:16" x14ac:dyDescent="0.25">
      <c r="A297" t="s">
        <v>115</v>
      </c>
      <c r="B297">
        <v>24</v>
      </c>
      <c r="C297">
        <v>31</v>
      </c>
      <c r="D297" t="s">
        <v>418</v>
      </c>
      <c r="E297">
        <v>0</v>
      </c>
      <c r="F297">
        <f t="shared" si="24"/>
        <v>0</v>
      </c>
      <c r="G297">
        <v>7</v>
      </c>
      <c r="H297">
        <f t="shared" si="24"/>
        <v>1</v>
      </c>
      <c r="I297">
        <v>0</v>
      </c>
      <c r="J297">
        <f t="shared" si="20"/>
        <v>0</v>
      </c>
      <c r="K297">
        <v>0</v>
      </c>
      <c r="L297">
        <f t="shared" si="21"/>
        <v>0</v>
      </c>
      <c r="M297">
        <v>0</v>
      </c>
      <c r="N297">
        <f t="shared" si="22"/>
        <v>0</v>
      </c>
      <c r="O297">
        <v>0</v>
      </c>
      <c r="P297">
        <f t="shared" si="23"/>
        <v>0</v>
      </c>
    </row>
    <row r="298" spans="1:16" x14ac:dyDescent="0.25">
      <c r="A298" t="s">
        <v>114</v>
      </c>
      <c r="B298">
        <v>39</v>
      </c>
      <c r="C298">
        <v>5</v>
      </c>
      <c r="D298" t="s">
        <v>419</v>
      </c>
      <c r="E298">
        <v>0</v>
      </c>
      <c r="F298">
        <f t="shared" si="24"/>
        <v>0</v>
      </c>
      <c r="G298">
        <v>3</v>
      </c>
      <c r="H298">
        <f t="shared" si="24"/>
        <v>1</v>
      </c>
      <c r="I298">
        <v>0</v>
      </c>
      <c r="J298">
        <f t="shared" si="20"/>
        <v>0</v>
      </c>
      <c r="K298">
        <v>0</v>
      </c>
      <c r="L298">
        <f t="shared" si="21"/>
        <v>0</v>
      </c>
      <c r="M298">
        <v>0</v>
      </c>
      <c r="N298">
        <f t="shared" si="22"/>
        <v>0</v>
      </c>
      <c r="O298">
        <v>0</v>
      </c>
      <c r="P298">
        <f t="shared" si="23"/>
        <v>0</v>
      </c>
    </row>
    <row r="299" spans="1:16" x14ac:dyDescent="0.25">
      <c r="A299" t="s">
        <v>115</v>
      </c>
      <c r="B299">
        <v>24</v>
      </c>
      <c r="C299">
        <v>27</v>
      </c>
      <c r="D299" t="s">
        <v>420</v>
      </c>
      <c r="E299">
        <v>0</v>
      </c>
      <c r="F299">
        <f t="shared" si="24"/>
        <v>0</v>
      </c>
      <c r="G299">
        <v>1</v>
      </c>
      <c r="H299">
        <f t="shared" si="24"/>
        <v>1</v>
      </c>
      <c r="I299">
        <v>0</v>
      </c>
      <c r="J299">
        <f t="shared" si="20"/>
        <v>0</v>
      </c>
      <c r="K299">
        <v>0</v>
      </c>
      <c r="L299">
        <f t="shared" si="21"/>
        <v>0</v>
      </c>
      <c r="M299">
        <v>0</v>
      </c>
      <c r="N299">
        <f t="shared" si="22"/>
        <v>0</v>
      </c>
      <c r="O299">
        <v>0</v>
      </c>
      <c r="P299">
        <f t="shared" si="23"/>
        <v>0</v>
      </c>
    </row>
    <row r="300" spans="1:16" x14ac:dyDescent="0.25">
      <c r="A300" t="s">
        <v>116</v>
      </c>
      <c r="B300">
        <v>16</v>
      </c>
      <c r="C300">
        <v>13</v>
      </c>
      <c r="D300" t="s">
        <v>421</v>
      </c>
      <c r="E300">
        <v>0</v>
      </c>
      <c r="F300">
        <f t="shared" si="24"/>
        <v>0</v>
      </c>
      <c r="G300">
        <v>1</v>
      </c>
      <c r="H300">
        <f t="shared" si="24"/>
        <v>1</v>
      </c>
      <c r="I300">
        <v>0</v>
      </c>
      <c r="J300">
        <f t="shared" si="20"/>
        <v>0</v>
      </c>
      <c r="K300">
        <v>0</v>
      </c>
      <c r="L300">
        <f t="shared" si="21"/>
        <v>0</v>
      </c>
      <c r="M300">
        <v>0</v>
      </c>
      <c r="N300">
        <f t="shared" si="22"/>
        <v>0</v>
      </c>
      <c r="O300">
        <v>0</v>
      </c>
      <c r="P300">
        <f t="shared" si="23"/>
        <v>0</v>
      </c>
    </row>
    <row r="301" spans="1:16" x14ac:dyDescent="0.25">
      <c r="A301" t="s">
        <v>114</v>
      </c>
      <c r="B301">
        <v>143</v>
      </c>
      <c r="C301">
        <v>3</v>
      </c>
      <c r="D301" t="s">
        <v>422</v>
      </c>
      <c r="E301">
        <v>0</v>
      </c>
      <c r="F301">
        <f t="shared" si="24"/>
        <v>0</v>
      </c>
      <c r="G301">
        <v>4</v>
      </c>
      <c r="H301">
        <f t="shared" si="24"/>
        <v>1</v>
      </c>
      <c r="I301">
        <v>0</v>
      </c>
      <c r="J301">
        <f t="shared" si="20"/>
        <v>0</v>
      </c>
      <c r="K301">
        <v>0</v>
      </c>
      <c r="L301">
        <f t="shared" si="21"/>
        <v>0</v>
      </c>
      <c r="M301">
        <v>0</v>
      </c>
      <c r="N301">
        <f t="shared" si="22"/>
        <v>0</v>
      </c>
      <c r="O301">
        <v>0</v>
      </c>
      <c r="P301">
        <f t="shared" si="23"/>
        <v>0</v>
      </c>
    </row>
    <row r="302" spans="1:16" x14ac:dyDescent="0.25">
      <c r="A302" t="s">
        <v>114</v>
      </c>
      <c r="B302">
        <v>68</v>
      </c>
      <c r="C302">
        <v>7</v>
      </c>
      <c r="D302" t="s">
        <v>423</v>
      </c>
      <c r="E302">
        <v>0</v>
      </c>
      <c r="F302">
        <f t="shared" si="24"/>
        <v>0</v>
      </c>
      <c r="G302">
        <v>5</v>
      </c>
      <c r="H302">
        <f t="shared" si="24"/>
        <v>1</v>
      </c>
      <c r="I302">
        <v>0</v>
      </c>
      <c r="J302">
        <f t="shared" si="20"/>
        <v>0</v>
      </c>
      <c r="K302">
        <v>0</v>
      </c>
      <c r="L302">
        <f t="shared" si="21"/>
        <v>0</v>
      </c>
      <c r="M302">
        <v>0</v>
      </c>
      <c r="N302">
        <f t="shared" si="22"/>
        <v>0</v>
      </c>
      <c r="O302">
        <v>0</v>
      </c>
      <c r="P302">
        <f t="shared" si="23"/>
        <v>0</v>
      </c>
    </row>
    <row r="303" spans="1:16" x14ac:dyDescent="0.25">
      <c r="A303" t="s">
        <v>114</v>
      </c>
      <c r="B303">
        <v>10</v>
      </c>
      <c r="C303">
        <v>5</v>
      </c>
      <c r="D303" t="s">
        <v>424</v>
      </c>
      <c r="E303">
        <v>0</v>
      </c>
      <c r="F303">
        <f t="shared" si="24"/>
        <v>0</v>
      </c>
      <c r="G303">
        <v>1</v>
      </c>
      <c r="H303">
        <f t="shared" si="24"/>
        <v>1</v>
      </c>
      <c r="I303">
        <v>0</v>
      </c>
      <c r="J303">
        <f t="shared" si="20"/>
        <v>0</v>
      </c>
      <c r="K303">
        <v>0</v>
      </c>
      <c r="L303">
        <f t="shared" si="21"/>
        <v>0</v>
      </c>
      <c r="M303">
        <v>0</v>
      </c>
      <c r="N303">
        <f t="shared" si="22"/>
        <v>0</v>
      </c>
      <c r="O303">
        <v>0</v>
      </c>
      <c r="P303">
        <f t="shared" si="23"/>
        <v>0</v>
      </c>
    </row>
    <row r="304" spans="1:16" x14ac:dyDescent="0.25">
      <c r="A304" t="s">
        <v>114</v>
      </c>
      <c r="B304">
        <v>144</v>
      </c>
      <c r="C304">
        <v>1</v>
      </c>
      <c r="D304" t="s">
        <v>425</v>
      </c>
      <c r="E304">
        <v>0</v>
      </c>
      <c r="F304">
        <f t="shared" si="24"/>
        <v>0</v>
      </c>
      <c r="G304">
        <v>7</v>
      </c>
      <c r="H304">
        <f t="shared" si="24"/>
        <v>1</v>
      </c>
      <c r="I304">
        <v>0</v>
      </c>
      <c r="J304">
        <f t="shared" si="20"/>
        <v>0</v>
      </c>
      <c r="K304">
        <v>0</v>
      </c>
      <c r="L304">
        <f t="shared" si="21"/>
        <v>0</v>
      </c>
      <c r="M304">
        <v>0</v>
      </c>
      <c r="N304">
        <f t="shared" si="22"/>
        <v>0</v>
      </c>
      <c r="O304">
        <v>0</v>
      </c>
      <c r="P304">
        <f t="shared" si="23"/>
        <v>0</v>
      </c>
    </row>
    <row r="305" spans="1:16" x14ac:dyDescent="0.25">
      <c r="A305" t="s">
        <v>114</v>
      </c>
      <c r="B305">
        <v>62</v>
      </c>
      <c r="C305">
        <v>9</v>
      </c>
      <c r="D305" t="s">
        <v>426</v>
      </c>
      <c r="E305">
        <v>0</v>
      </c>
      <c r="F305">
        <f t="shared" si="24"/>
        <v>0</v>
      </c>
      <c r="G305">
        <v>3</v>
      </c>
      <c r="H305">
        <f t="shared" si="24"/>
        <v>1</v>
      </c>
      <c r="I305">
        <v>0</v>
      </c>
      <c r="J305">
        <f t="shared" si="20"/>
        <v>0</v>
      </c>
      <c r="K305">
        <v>0</v>
      </c>
      <c r="L305">
        <f t="shared" si="21"/>
        <v>0</v>
      </c>
      <c r="M305">
        <v>0</v>
      </c>
      <c r="N305">
        <f t="shared" si="22"/>
        <v>0</v>
      </c>
      <c r="O305">
        <v>0</v>
      </c>
      <c r="P305">
        <f t="shared" si="23"/>
        <v>0</v>
      </c>
    </row>
    <row r="306" spans="1:16" x14ac:dyDescent="0.25">
      <c r="A306" t="s">
        <v>116</v>
      </c>
      <c r="B306">
        <v>24</v>
      </c>
      <c r="C306">
        <v>12</v>
      </c>
      <c r="D306" t="s">
        <v>427</v>
      </c>
      <c r="E306">
        <v>0</v>
      </c>
      <c r="F306">
        <f t="shared" si="24"/>
        <v>0</v>
      </c>
      <c r="G306">
        <v>1</v>
      </c>
      <c r="H306">
        <f t="shared" si="24"/>
        <v>1</v>
      </c>
      <c r="I306">
        <v>0</v>
      </c>
      <c r="J306">
        <f t="shared" si="20"/>
        <v>0</v>
      </c>
      <c r="K306">
        <v>0</v>
      </c>
      <c r="L306">
        <f t="shared" si="21"/>
        <v>0</v>
      </c>
      <c r="M306">
        <v>0</v>
      </c>
      <c r="N306">
        <f t="shared" si="22"/>
        <v>0</v>
      </c>
      <c r="O306">
        <v>0</v>
      </c>
      <c r="P306">
        <f t="shared" si="23"/>
        <v>0</v>
      </c>
    </row>
    <row r="307" spans="1:16" x14ac:dyDescent="0.25">
      <c r="A307" t="s">
        <v>114</v>
      </c>
      <c r="B307">
        <v>70</v>
      </c>
      <c r="C307">
        <v>5</v>
      </c>
      <c r="D307" t="s">
        <v>428</v>
      </c>
      <c r="E307">
        <v>0</v>
      </c>
      <c r="F307">
        <f t="shared" si="24"/>
        <v>0</v>
      </c>
      <c r="G307">
        <v>1</v>
      </c>
      <c r="H307">
        <f t="shared" si="24"/>
        <v>1</v>
      </c>
      <c r="I307">
        <v>0</v>
      </c>
      <c r="J307">
        <f t="shared" si="20"/>
        <v>0</v>
      </c>
      <c r="K307">
        <v>0</v>
      </c>
      <c r="L307">
        <f t="shared" si="21"/>
        <v>0</v>
      </c>
      <c r="M307">
        <v>0</v>
      </c>
      <c r="N307">
        <f t="shared" si="22"/>
        <v>0</v>
      </c>
      <c r="O307">
        <v>0</v>
      </c>
      <c r="P307">
        <f t="shared" si="23"/>
        <v>0</v>
      </c>
    </row>
    <row r="308" spans="1:16" x14ac:dyDescent="0.25">
      <c r="A308" t="s">
        <v>114</v>
      </c>
      <c r="B308">
        <v>40</v>
      </c>
      <c r="C308">
        <v>17</v>
      </c>
      <c r="D308" t="s">
        <v>428</v>
      </c>
      <c r="E308">
        <v>0</v>
      </c>
      <c r="F308">
        <f t="shared" si="24"/>
        <v>0</v>
      </c>
      <c r="G308">
        <v>1</v>
      </c>
      <c r="H308">
        <f t="shared" si="24"/>
        <v>1</v>
      </c>
      <c r="I308">
        <v>0</v>
      </c>
      <c r="J308">
        <f t="shared" si="20"/>
        <v>0</v>
      </c>
      <c r="K308">
        <v>0</v>
      </c>
      <c r="L308">
        <f t="shared" si="21"/>
        <v>0</v>
      </c>
      <c r="M308">
        <v>0</v>
      </c>
      <c r="N308">
        <f t="shared" si="22"/>
        <v>0</v>
      </c>
      <c r="O308">
        <v>0</v>
      </c>
      <c r="P308">
        <f t="shared" si="23"/>
        <v>0</v>
      </c>
    </row>
    <row r="309" spans="1:16" x14ac:dyDescent="0.25">
      <c r="A309" t="s">
        <v>114</v>
      </c>
      <c r="B309">
        <v>143</v>
      </c>
      <c r="C309">
        <v>5</v>
      </c>
      <c r="D309" t="s">
        <v>429</v>
      </c>
      <c r="E309">
        <v>0</v>
      </c>
      <c r="F309">
        <f t="shared" si="24"/>
        <v>0</v>
      </c>
      <c r="G309">
        <v>1</v>
      </c>
      <c r="H309">
        <f t="shared" si="24"/>
        <v>1</v>
      </c>
      <c r="I309">
        <v>0</v>
      </c>
      <c r="J309">
        <f t="shared" si="20"/>
        <v>0</v>
      </c>
      <c r="K309">
        <v>0</v>
      </c>
      <c r="L309">
        <f t="shared" si="21"/>
        <v>0</v>
      </c>
      <c r="M309">
        <v>0</v>
      </c>
      <c r="N309">
        <f t="shared" si="22"/>
        <v>0</v>
      </c>
      <c r="O309">
        <v>0</v>
      </c>
      <c r="P309">
        <f t="shared" si="23"/>
        <v>0</v>
      </c>
    </row>
    <row r="310" spans="1:16" x14ac:dyDescent="0.25">
      <c r="A310" t="s">
        <v>116</v>
      </c>
      <c r="B310">
        <v>13</v>
      </c>
      <c r="C310">
        <v>27</v>
      </c>
      <c r="D310" t="s">
        <v>430</v>
      </c>
      <c r="E310">
        <v>0</v>
      </c>
      <c r="F310">
        <f t="shared" si="24"/>
        <v>0</v>
      </c>
      <c r="G310">
        <v>3</v>
      </c>
      <c r="H310">
        <f t="shared" si="24"/>
        <v>1</v>
      </c>
      <c r="I310">
        <v>0</v>
      </c>
      <c r="J310">
        <f t="shared" si="20"/>
        <v>0</v>
      </c>
      <c r="K310">
        <v>0</v>
      </c>
      <c r="L310">
        <f t="shared" si="21"/>
        <v>0</v>
      </c>
      <c r="M310">
        <v>0</v>
      </c>
      <c r="N310">
        <f t="shared" si="22"/>
        <v>0</v>
      </c>
      <c r="O310">
        <v>0</v>
      </c>
      <c r="P310">
        <f t="shared" si="23"/>
        <v>0</v>
      </c>
    </row>
    <row r="311" spans="1:16" x14ac:dyDescent="0.25">
      <c r="A311" t="s">
        <v>114</v>
      </c>
      <c r="B311">
        <v>86</v>
      </c>
      <c r="C311">
        <v>11</v>
      </c>
      <c r="D311" t="s">
        <v>431</v>
      </c>
      <c r="E311">
        <v>0</v>
      </c>
      <c r="F311">
        <f t="shared" si="24"/>
        <v>0</v>
      </c>
      <c r="G311">
        <v>1</v>
      </c>
      <c r="H311">
        <f t="shared" si="24"/>
        <v>1</v>
      </c>
      <c r="I311">
        <v>0</v>
      </c>
      <c r="J311">
        <f t="shared" si="20"/>
        <v>0</v>
      </c>
      <c r="K311">
        <v>0</v>
      </c>
      <c r="L311">
        <f t="shared" si="21"/>
        <v>0</v>
      </c>
      <c r="M311">
        <v>0</v>
      </c>
      <c r="N311">
        <f t="shared" si="22"/>
        <v>0</v>
      </c>
      <c r="O311">
        <v>0</v>
      </c>
      <c r="P311">
        <f t="shared" si="23"/>
        <v>0</v>
      </c>
    </row>
    <row r="312" spans="1:16" x14ac:dyDescent="0.25">
      <c r="A312" t="s">
        <v>114</v>
      </c>
      <c r="B312">
        <v>18</v>
      </c>
      <c r="C312">
        <v>9</v>
      </c>
      <c r="D312" t="s">
        <v>432</v>
      </c>
      <c r="E312">
        <v>0</v>
      </c>
      <c r="F312">
        <f t="shared" si="24"/>
        <v>0</v>
      </c>
      <c r="G312">
        <v>1</v>
      </c>
      <c r="H312">
        <f t="shared" si="24"/>
        <v>1</v>
      </c>
      <c r="I312">
        <v>0</v>
      </c>
      <c r="J312">
        <f t="shared" si="20"/>
        <v>0</v>
      </c>
      <c r="K312">
        <v>0</v>
      </c>
      <c r="L312">
        <f t="shared" si="21"/>
        <v>0</v>
      </c>
      <c r="M312">
        <v>0</v>
      </c>
      <c r="N312">
        <f t="shared" si="22"/>
        <v>0</v>
      </c>
      <c r="O312">
        <v>0</v>
      </c>
      <c r="P312">
        <f t="shared" si="23"/>
        <v>0</v>
      </c>
    </row>
    <row r="313" spans="1:16" x14ac:dyDescent="0.25">
      <c r="A313" t="s">
        <v>114</v>
      </c>
      <c r="B313">
        <v>141</v>
      </c>
      <c r="C313">
        <v>4</v>
      </c>
      <c r="D313" t="s">
        <v>433</v>
      </c>
      <c r="E313">
        <v>0</v>
      </c>
      <c r="F313">
        <f t="shared" si="24"/>
        <v>0</v>
      </c>
      <c r="G313">
        <v>13</v>
      </c>
      <c r="H313">
        <f t="shared" si="24"/>
        <v>1</v>
      </c>
      <c r="I313">
        <v>0</v>
      </c>
      <c r="J313">
        <f t="shared" si="20"/>
        <v>0</v>
      </c>
      <c r="K313">
        <v>0</v>
      </c>
      <c r="L313">
        <f t="shared" si="21"/>
        <v>0</v>
      </c>
      <c r="M313">
        <v>0</v>
      </c>
      <c r="N313">
        <f t="shared" si="22"/>
        <v>0</v>
      </c>
      <c r="O313">
        <v>0</v>
      </c>
      <c r="P313">
        <f t="shared" si="23"/>
        <v>0</v>
      </c>
    </row>
    <row r="314" spans="1:16" x14ac:dyDescent="0.25">
      <c r="A314" t="s">
        <v>114</v>
      </c>
      <c r="B314">
        <v>117</v>
      </c>
      <c r="C314">
        <v>2</v>
      </c>
      <c r="D314" t="s">
        <v>434</v>
      </c>
      <c r="E314">
        <v>0</v>
      </c>
      <c r="F314">
        <f t="shared" si="24"/>
        <v>0</v>
      </c>
      <c r="G314">
        <v>4</v>
      </c>
      <c r="H314">
        <f t="shared" si="24"/>
        <v>1</v>
      </c>
      <c r="I314">
        <v>0</v>
      </c>
      <c r="J314">
        <f t="shared" si="20"/>
        <v>0</v>
      </c>
      <c r="K314">
        <v>0</v>
      </c>
      <c r="L314">
        <f t="shared" si="21"/>
        <v>0</v>
      </c>
      <c r="M314">
        <v>0</v>
      </c>
      <c r="N314">
        <f t="shared" si="22"/>
        <v>0</v>
      </c>
      <c r="O314">
        <v>0</v>
      </c>
      <c r="P314">
        <f t="shared" si="23"/>
        <v>0</v>
      </c>
    </row>
    <row r="315" spans="1:16" x14ac:dyDescent="0.25">
      <c r="A315" t="s">
        <v>114</v>
      </c>
      <c r="B315">
        <v>147</v>
      </c>
      <c r="C315">
        <v>20</v>
      </c>
      <c r="D315" t="s">
        <v>435</v>
      </c>
      <c r="E315">
        <v>0</v>
      </c>
      <c r="F315">
        <f t="shared" si="24"/>
        <v>0</v>
      </c>
      <c r="G315">
        <v>1</v>
      </c>
      <c r="H315">
        <f t="shared" si="24"/>
        <v>1</v>
      </c>
      <c r="I315">
        <v>0</v>
      </c>
      <c r="J315">
        <f t="shared" si="20"/>
        <v>0</v>
      </c>
      <c r="K315">
        <v>0</v>
      </c>
      <c r="L315">
        <f t="shared" si="21"/>
        <v>0</v>
      </c>
      <c r="M315">
        <v>0</v>
      </c>
      <c r="N315">
        <f t="shared" si="22"/>
        <v>0</v>
      </c>
      <c r="O315">
        <v>0</v>
      </c>
      <c r="P315">
        <f t="shared" si="23"/>
        <v>0</v>
      </c>
    </row>
    <row r="316" spans="1:16" x14ac:dyDescent="0.25">
      <c r="A316" t="s">
        <v>114</v>
      </c>
      <c r="B316">
        <v>22</v>
      </c>
      <c r="C316">
        <v>16</v>
      </c>
      <c r="D316" t="s">
        <v>436</v>
      </c>
      <c r="E316">
        <v>0</v>
      </c>
      <c r="F316">
        <f t="shared" si="24"/>
        <v>0</v>
      </c>
      <c r="G316">
        <v>1</v>
      </c>
      <c r="H316">
        <f t="shared" si="24"/>
        <v>1</v>
      </c>
      <c r="I316">
        <v>0</v>
      </c>
      <c r="J316">
        <f t="shared" si="20"/>
        <v>0</v>
      </c>
      <c r="K316">
        <v>0</v>
      </c>
      <c r="L316">
        <f t="shared" si="21"/>
        <v>0</v>
      </c>
      <c r="M316">
        <v>0</v>
      </c>
      <c r="N316">
        <f t="shared" si="22"/>
        <v>0</v>
      </c>
      <c r="O316">
        <v>0</v>
      </c>
      <c r="P316">
        <f t="shared" si="23"/>
        <v>0</v>
      </c>
    </row>
    <row r="317" spans="1:16" x14ac:dyDescent="0.25">
      <c r="A317" t="s">
        <v>114</v>
      </c>
      <c r="B317">
        <v>7</v>
      </c>
      <c r="C317">
        <v>7</v>
      </c>
      <c r="D317" t="s">
        <v>437</v>
      </c>
      <c r="E317">
        <v>0</v>
      </c>
      <c r="F317">
        <f t="shared" si="24"/>
        <v>0</v>
      </c>
      <c r="G317">
        <v>1</v>
      </c>
      <c r="H317">
        <f t="shared" si="24"/>
        <v>1</v>
      </c>
      <c r="I317">
        <v>0</v>
      </c>
      <c r="J317">
        <f t="shared" si="20"/>
        <v>0</v>
      </c>
      <c r="K317">
        <v>0</v>
      </c>
      <c r="L317">
        <f t="shared" si="21"/>
        <v>0</v>
      </c>
      <c r="M317">
        <v>0</v>
      </c>
      <c r="N317">
        <f t="shared" si="22"/>
        <v>0</v>
      </c>
      <c r="O317">
        <v>0</v>
      </c>
      <c r="P317">
        <f t="shared" si="23"/>
        <v>0</v>
      </c>
    </row>
    <row r="318" spans="1:16" x14ac:dyDescent="0.25">
      <c r="A318" t="s">
        <v>114</v>
      </c>
      <c r="B318">
        <v>66</v>
      </c>
      <c r="C318">
        <v>7</v>
      </c>
      <c r="D318" t="s">
        <v>438</v>
      </c>
      <c r="E318">
        <v>0</v>
      </c>
      <c r="F318">
        <f t="shared" si="24"/>
        <v>0</v>
      </c>
      <c r="G318">
        <v>1</v>
      </c>
      <c r="H318">
        <f t="shared" si="24"/>
        <v>1</v>
      </c>
      <c r="I318">
        <v>0</v>
      </c>
      <c r="J318">
        <f t="shared" si="20"/>
        <v>0</v>
      </c>
      <c r="K318">
        <v>0</v>
      </c>
      <c r="L318">
        <f t="shared" si="21"/>
        <v>0</v>
      </c>
      <c r="M318">
        <v>0</v>
      </c>
      <c r="N318">
        <f t="shared" si="22"/>
        <v>0</v>
      </c>
      <c r="O318">
        <v>0</v>
      </c>
      <c r="P318">
        <f t="shared" si="23"/>
        <v>0</v>
      </c>
    </row>
    <row r="319" spans="1:16" x14ac:dyDescent="0.25">
      <c r="A319" t="s">
        <v>115</v>
      </c>
      <c r="B319">
        <v>8</v>
      </c>
      <c r="C319">
        <v>29</v>
      </c>
      <c r="D319" t="s">
        <v>439</v>
      </c>
      <c r="E319">
        <v>0</v>
      </c>
      <c r="F319">
        <f t="shared" si="24"/>
        <v>0</v>
      </c>
      <c r="G319">
        <v>3</v>
      </c>
      <c r="H319">
        <f t="shared" si="24"/>
        <v>1</v>
      </c>
      <c r="I319">
        <v>0</v>
      </c>
      <c r="J319">
        <f t="shared" si="20"/>
        <v>0</v>
      </c>
      <c r="K319">
        <v>0</v>
      </c>
      <c r="L319">
        <f t="shared" si="21"/>
        <v>0</v>
      </c>
      <c r="M319">
        <v>0</v>
      </c>
      <c r="N319">
        <f t="shared" si="22"/>
        <v>0</v>
      </c>
      <c r="O319">
        <v>0</v>
      </c>
      <c r="P319">
        <f t="shared" si="23"/>
        <v>0</v>
      </c>
    </row>
    <row r="320" spans="1:16" x14ac:dyDescent="0.25">
      <c r="A320" t="s">
        <v>114</v>
      </c>
      <c r="B320">
        <v>49</v>
      </c>
      <c r="C320">
        <v>15</v>
      </c>
      <c r="D320" t="s">
        <v>440</v>
      </c>
      <c r="E320">
        <v>0</v>
      </c>
      <c r="F320">
        <f t="shared" si="24"/>
        <v>0</v>
      </c>
      <c r="G320">
        <v>23</v>
      </c>
      <c r="H320">
        <f t="shared" si="24"/>
        <v>1</v>
      </c>
      <c r="I320">
        <v>0</v>
      </c>
      <c r="J320">
        <f t="shared" si="20"/>
        <v>0</v>
      </c>
      <c r="K320">
        <v>0</v>
      </c>
      <c r="L320">
        <f t="shared" si="21"/>
        <v>0</v>
      </c>
      <c r="M320">
        <v>0</v>
      </c>
      <c r="N320">
        <f t="shared" si="22"/>
        <v>0</v>
      </c>
      <c r="O320">
        <v>10</v>
      </c>
      <c r="P320">
        <f t="shared" si="23"/>
        <v>1</v>
      </c>
    </row>
    <row r="321" spans="1:16" x14ac:dyDescent="0.25">
      <c r="A321" t="s">
        <v>114</v>
      </c>
      <c r="B321">
        <v>9</v>
      </c>
      <c r="C321">
        <v>21</v>
      </c>
      <c r="D321" t="s">
        <v>441</v>
      </c>
      <c r="E321">
        <v>0</v>
      </c>
      <c r="F321">
        <f t="shared" si="24"/>
        <v>0</v>
      </c>
      <c r="G321">
        <v>1</v>
      </c>
      <c r="H321">
        <f t="shared" si="24"/>
        <v>1</v>
      </c>
      <c r="I321">
        <v>0</v>
      </c>
      <c r="J321">
        <f t="shared" si="20"/>
        <v>0</v>
      </c>
      <c r="K321">
        <v>0</v>
      </c>
      <c r="L321">
        <f t="shared" si="21"/>
        <v>0</v>
      </c>
      <c r="M321">
        <v>0</v>
      </c>
      <c r="N321">
        <f t="shared" si="22"/>
        <v>0</v>
      </c>
      <c r="O321">
        <v>0</v>
      </c>
      <c r="P321">
        <f t="shared" si="23"/>
        <v>0</v>
      </c>
    </row>
    <row r="322" spans="1:16" x14ac:dyDescent="0.25">
      <c r="A322" t="s">
        <v>114</v>
      </c>
      <c r="B322">
        <v>47</v>
      </c>
      <c r="C322">
        <v>10</v>
      </c>
      <c r="D322" t="s">
        <v>442</v>
      </c>
      <c r="E322">
        <v>0</v>
      </c>
      <c r="F322">
        <f t="shared" si="24"/>
        <v>0</v>
      </c>
      <c r="G322">
        <v>3</v>
      </c>
      <c r="H322">
        <f t="shared" si="24"/>
        <v>1</v>
      </c>
      <c r="I322">
        <v>17</v>
      </c>
      <c r="J322">
        <f t="shared" ref="J322:J385" si="25">IF(I322=0,0,1)</f>
        <v>1</v>
      </c>
      <c r="K322">
        <v>0</v>
      </c>
      <c r="L322">
        <f t="shared" ref="L322:L385" si="26">IF(K322=0,0,1)</f>
        <v>0</v>
      </c>
      <c r="M322">
        <v>0</v>
      </c>
      <c r="N322">
        <f t="shared" ref="N322:N385" si="27">IF(M322=0,0,1)</f>
        <v>0</v>
      </c>
      <c r="O322">
        <v>0</v>
      </c>
      <c r="P322">
        <f t="shared" ref="P322:P385" si="28">IF(O322=0,0,1)</f>
        <v>0</v>
      </c>
    </row>
    <row r="323" spans="1:16" x14ac:dyDescent="0.25">
      <c r="A323" t="s">
        <v>114</v>
      </c>
      <c r="B323">
        <v>28</v>
      </c>
      <c r="C323">
        <v>1</v>
      </c>
      <c r="D323" t="s">
        <v>443</v>
      </c>
      <c r="E323">
        <v>0</v>
      </c>
      <c r="F323">
        <f t="shared" ref="F323:H386" si="29">IF(E323=0,0,1)</f>
        <v>0</v>
      </c>
      <c r="G323">
        <v>7</v>
      </c>
      <c r="H323">
        <f t="shared" si="29"/>
        <v>1</v>
      </c>
      <c r="I323">
        <v>0</v>
      </c>
      <c r="J323">
        <f t="shared" si="25"/>
        <v>0</v>
      </c>
      <c r="K323">
        <v>21</v>
      </c>
      <c r="L323">
        <f t="shared" si="26"/>
        <v>1</v>
      </c>
      <c r="M323">
        <v>0</v>
      </c>
      <c r="N323">
        <f t="shared" si="27"/>
        <v>0</v>
      </c>
      <c r="O323">
        <v>0</v>
      </c>
      <c r="P323">
        <f t="shared" si="28"/>
        <v>0</v>
      </c>
    </row>
    <row r="324" spans="1:16" x14ac:dyDescent="0.25">
      <c r="A324" t="s">
        <v>114</v>
      </c>
      <c r="B324">
        <v>135</v>
      </c>
      <c r="C324">
        <v>21</v>
      </c>
      <c r="D324" t="s">
        <v>444</v>
      </c>
      <c r="E324">
        <v>0</v>
      </c>
      <c r="F324">
        <f t="shared" si="29"/>
        <v>0</v>
      </c>
      <c r="G324">
        <v>1</v>
      </c>
      <c r="H324">
        <f t="shared" si="29"/>
        <v>1</v>
      </c>
      <c r="I324">
        <v>0</v>
      </c>
      <c r="J324">
        <f t="shared" si="25"/>
        <v>0</v>
      </c>
      <c r="K324">
        <v>0</v>
      </c>
      <c r="L324">
        <f t="shared" si="26"/>
        <v>0</v>
      </c>
      <c r="M324">
        <v>0</v>
      </c>
      <c r="N324">
        <f t="shared" si="27"/>
        <v>0</v>
      </c>
      <c r="O324">
        <v>0</v>
      </c>
      <c r="P324">
        <f t="shared" si="28"/>
        <v>0</v>
      </c>
    </row>
    <row r="325" spans="1:16" x14ac:dyDescent="0.25">
      <c r="A325" t="s">
        <v>114</v>
      </c>
      <c r="B325">
        <v>143</v>
      </c>
      <c r="C325">
        <v>7</v>
      </c>
      <c r="D325" t="s">
        <v>445</v>
      </c>
      <c r="E325">
        <v>0</v>
      </c>
      <c r="F325">
        <f t="shared" si="29"/>
        <v>0</v>
      </c>
      <c r="G325">
        <v>1</v>
      </c>
      <c r="H325">
        <f t="shared" si="29"/>
        <v>1</v>
      </c>
      <c r="I325">
        <v>11</v>
      </c>
      <c r="J325">
        <f t="shared" si="25"/>
        <v>1</v>
      </c>
      <c r="K325">
        <v>0</v>
      </c>
      <c r="L325">
        <f t="shared" si="26"/>
        <v>0</v>
      </c>
      <c r="M325">
        <v>0</v>
      </c>
      <c r="N325">
        <f t="shared" si="27"/>
        <v>0</v>
      </c>
      <c r="O325">
        <v>0</v>
      </c>
      <c r="P325">
        <f t="shared" si="28"/>
        <v>0</v>
      </c>
    </row>
    <row r="326" spans="1:16" x14ac:dyDescent="0.25">
      <c r="A326" t="s">
        <v>114</v>
      </c>
      <c r="B326">
        <v>35</v>
      </c>
      <c r="C326">
        <v>26</v>
      </c>
      <c r="D326" t="s">
        <v>446</v>
      </c>
      <c r="E326">
        <v>0</v>
      </c>
      <c r="F326">
        <f t="shared" si="29"/>
        <v>0</v>
      </c>
      <c r="G326">
        <v>1</v>
      </c>
      <c r="H326">
        <f t="shared" si="29"/>
        <v>1</v>
      </c>
      <c r="I326">
        <v>11</v>
      </c>
      <c r="J326">
        <f t="shared" si="25"/>
        <v>1</v>
      </c>
      <c r="K326">
        <v>0</v>
      </c>
      <c r="L326">
        <f t="shared" si="26"/>
        <v>0</v>
      </c>
      <c r="M326">
        <v>0</v>
      </c>
      <c r="N326">
        <f t="shared" si="27"/>
        <v>0</v>
      </c>
      <c r="O326">
        <v>0</v>
      </c>
      <c r="P326">
        <f t="shared" si="28"/>
        <v>0</v>
      </c>
    </row>
    <row r="327" spans="1:16" x14ac:dyDescent="0.25">
      <c r="A327" t="s">
        <v>114</v>
      </c>
      <c r="B327">
        <v>126</v>
      </c>
      <c r="C327">
        <v>6</v>
      </c>
      <c r="D327" t="s">
        <v>447</v>
      </c>
      <c r="E327">
        <v>0</v>
      </c>
      <c r="F327">
        <f t="shared" si="29"/>
        <v>0</v>
      </c>
      <c r="G327">
        <v>1</v>
      </c>
      <c r="H327">
        <f t="shared" si="29"/>
        <v>1</v>
      </c>
      <c r="I327">
        <v>11</v>
      </c>
      <c r="J327">
        <f t="shared" si="25"/>
        <v>1</v>
      </c>
      <c r="K327">
        <v>0</v>
      </c>
      <c r="L327">
        <f t="shared" si="26"/>
        <v>0</v>
      </c>
      <c r="M327">
        <v>0</v>
      </c>
      <c r="N327">
        <f t="shared" si="27"/>
        <v>0</v>
      </c>
      <c r="O327">
        <v>0</v>
      </c>
      <c r="P327">
        <f t="shared" si="28"/>
        <v>0</v>
      </c>
    </row>
    <row r="328" spans="1:16" x14ac:dyDescent="0.25">
      <c r="A328" t="s">
        <v>114</v>
      </c>
      <c r="B328">
        <v>142</v>
      </c>
      <c r="C328">
        <v>8</v>
      </c>
      <c r="D328" t="s">
        <v>448</v>
      </c>
      <c r="E328">
        <v>0</v>
      </c>
      <c r="F328">
        <f t="shared" si="29"/>
        <v>0</v>
      </c>
      <c r="G328">
        <v>1</v>
      </c>
      <c r="H328">
        <f t="shared" si="29"/>
        <v>1</v>
      </c>
      <c r="I328">
        <v>11</v>
      </c>
      <c r="J328">
        <f t="shared" si="25"/>
        <v>1</v>
      </c>
      <c r="K328">
        <v>0</v>
      </c>
      <c r="L328">
        <f t="shared" si="26"/>
        <v>0</v>
      </c>
      <c r="M328">
        <v>0</v>
      </c>
      <c r="N328">
        <f t="shared" si="27"/>
        <v>0</v>
      </c>
      <c r="O328">
        <v>0</v>
      </c>
      <c r="P328">
        <f t="shared" si="28"/>
        <v>0</v>
      </c>
    </row>
    <row r="329" spans="1:16" x14ac:dyDescent="0.25">
      <c r="A329" t="s">
        <v>114</v>
      </c>
      <c r="B329">
        <v>10</v>
      </c>
      <c r="C329">
        <v>14</v>
      </c>
      <c r="D329" t="s">
        <v>449</v>
      </c>
      <c r="E329">
        <v>0</v>
      </c>
      <c r="F329">
        <f t="shared" si="29"/>
        <v>0</v>
      </c>
      <c r="G329">
        <v>11</v>
      </c>
      <c r="H329">
        <f t="shared" si="29"/>
        <v>1</v>
      </c>
      <c r="I329">
        <v>21</v>
      </c>
      <c r="J329">
        <f t="shared" si="25"/>
        <v>1</v>
      </c>
      <c r="K329">
        <v>0</v>
      </c>
      <c r="L329">
        <f t="shared" si="26"/>
        <v>0</v>
      </c>
      <c r="M329">
        <v>0</v>
      </c>
      <c r="N329">
        <f t="shared" si="27"/>
        <v>0</v>
      </c>
      <c r="O329">
        <v>0</v>
      </c>
      <c r="P329">
        <f t="shared" si="28"/>
        <v>0</v>
      </c>
    </row>
    <row r="330" spans="1:16" x14ac:dyDescent="0.25">
      <c r="A330" t="s">
        <v>114</v>
      </c>
      <c r="B330">
        <v>143</v>
      </c>
      <c r="C330">
        <v>8</v>
      </c>
      <c r="D330" t="s">
        <v>450</v>
      </c>
      <c r="E330">
        <v>0</v>
      </c>
      <c r="F330">
        <f t="shared" si="29"/>
        <v>0</v>
      </c>
      <c r="G330">
        <v>3</v>
      </c>
      <c r="H330">
        <f t="shared" si="29"/>
        <v>1</v>
      </c>
      <c r="I330">
        <v>0</v>
      </c>
      <c r="J330">
        <f t="shared" si="25"/>
        <v>0</v>
      </c>
      <c r="K330">
        <v>13</v>
      </c>
      <c r="L330">
        <f t="shared" si="26"/>
        <v>1</v>
      </c>
      <c r="M330">
        <v>0</v>
      </c>
      <c r="N330">
        <f t="shared" si="27"/>
        <v>0</v>
      </c>
      <c r="O330">
        <v>0</v>
      </c>
      <c r="P330">
        <f t="shared" si="28"/>
        <v>0</v>
      </c>
    </row>
    <row r="331" spans="1:16" x14ac:dyDescent="0.25">
      <c r="A331" t="s">
        <v>114</v>
      </c>
      <c r="B331">
        <v>69</v>
      </c>
      <c r="C331">
        <v>7</v>
      </c>
      <c r="D331" t="s">
        <v>451</v>
      </c>
      <c r="E331">
        <v>0</v>
      </c>
      <c r="F331">
        <f t="shared" si="29"/>
        <v>0</v>
      </c>
      <c r="G331">
        <v>3</v>
      </c>
      <c r="H331">
        <f t="shared" si="29"/>
        <v>1</v>
      </c>
      <c r="I331">
        <v>0</v>
      </c>
      <c r="J331">
        <f t="shared" si="25"/>
        <v>0</v>
      </c>
      <c r="K331">
        <v>0</v>
      </c>
      <c r="L331">
        <f t="shared" si="26"/>
        <v>0</v>
      </c>
      <c r="M331">
        <v>13</v>
      </c>
      <c r="N331">
        <f t="shared" si="27"/>
        <v>1</v>
      </c>
      <c r="O331">
        <v>0</v>
      </c>
      <c r="P331">
        <f t="shared" si="28"/>
        <v>0</v>
      </c>
    </row>
    <row r="332" spans="1:16" x14ac:dyDescent="0.25">
      <c r="A332" t="s">
        <v>114</v>
      </c>
      <c r="B332">
        <v>40</v>
      </c>
      <c r="C332">
        <v>15</v>
      </c>
      <c r="D332" t="s">
        <v>452</v>
      </c>
      <c r="E332">
        <v>0</v>
      </c>
      <c r="F332">
        <f t="shared" si="29"/>
        <v>0</v>
      </c>
      <c r="G332">
        <v>1</v>
      </c>
      <c r="H332">
        <f t="shared" si="29"/>
        <v>1</v>
      </c>
      <c r="I332">
        <v>0</v>
      </c>
      <c r="J332">
        <f t="shared" si="25"/>
        <v>0</v>
      </c>
      <c r="K332">
        <v>0</v>
      </c>
      <c r="L332">
        <f t="shared" si="26"/>
        <v>0</v>
      </c>
      <c r="M332">
        <v>11</v>
      </c>
      <c r="N332">
        <f t="shared" si="27"/>
        <v>1</v>
      </c>
      <c r="O332">
        <v>0</v>
      </c>
      <c r="P332">
        <f t="shared" si="28"/>
        <v>0</v>
      </c>
    </row>
    <row r="333" spans="1:16" x14ac:dyDescent="0.25">
      <c r="A333" t="s">
        <v>114</v>
      </c>
      <c r="B333">
        <v>45</v>
      </c>
      <c r="C333">
        <v>2</v>
      </c>
      <c r="D333" t="s">
        <v>453</v>
      </c>
      <c r="E333">
        <v>0</v>
      </c>
      <c r="F333">
        <f t="shared" si="29"/>
        <v>0</v>
      </c>
      <c r="G333">
        <v>1</v>
      </c>
      <c r="H333">
        <f t="shared" si="29"/>
        <v>1</v>
      </c>
      <c r="I333">
        <v>0</v>
      </c>
      <c r="J333">
        <f t="shared" si="25"/>
        <v>0</v>
      </c>
      <c r="K333">
        <v>0</v>
      </c>
      <c r="L333">
        <f t="shared" si="26"/>
        <v>0</v>
      </c>
      <c r="M333">
        <v>0</v>
      </c>
      <c r="N333">
        <f t="shared" si="27"/>
        <v>0</v>
      </c>
      <c r="O333">
        <v>0</v>
      </c>
      <c r="P333">
        <f t="shared" si="28"/>
        <v>0</v>
      </c>
    </row>
    <row r="334" spans="1:16" x14ac:dyDescent="0.25">
      <c r="A334" t="s">
        <v>114</v>
      </c>
      <c r="B334">
        <v>68</v>
      </c>
      <c r="C334">
        <v>19</v>
      </c>
      <c r="D334" t="s">
        <v>454</v>
      </c>
      <c r="E334">
        <v>0</v>
      </c>
      <c r="F334">
        <f t="shared" si="29"/>
        <v>0</v>
      </c>
      <c r="G334">
        <v>1</v>
      </c>
      <c r="H334">
        <f t="shared" si="29"/>
        <v>1</v>
      </c>
      <c r="I334">
        <v>0</v>
      </c>
      <c r="J334">
        <f t="shared" si="25"/>
        <v>0</v>
      </c>
      <c r="K334">
        <v>0</v>
      </c>
      <c r="L334">
        <f t="shared" si="26"/>
        <v>0</v>
      </c>
      <c r="M334">
        <v>0</v>
      </c>
      <c r="N334">
        <f t="shared" si="27"/>
        <v>0</v>
      </c>
      <c r="O334">
        <v>0</v>
      </c>
      <c r="P334">
        <f t="shared" si="28"/>
        <v>0</v>
      </c>
    </row>
    <row r="335" spans="1:16" x14ac:dyDescent="0.25">
      <c r="A335" t="s">
        <v>114</v>
      </c>
      <c r="B335">
        <v>3</v>
      </c>
      <c r="C335">
        <v>8</v>
      </c>
      <c r="D335" t="s">
        <v>455</v>
      </c>
      <c r="E335">
        <v>0</v>
      </c>
      <c r="F335">
        <f t="shared" si="29"/>
        <v>0</v>
      </c>
      <c r="G335">
        <v>1</v>
      </c>
      <c r="H335">
        <f t="shared" si="29"/>
        <v>1</v>
      </c>
      <c r="I335">
        <v>0</v>
      </c>
      <c r="J335">
        <f t="shared" si="25"/>
        <v>0</v>
      </c>
      <c r="K335">
        <v>0</v>
      </c>
      <c r="L335">
        <f t="shared" si="26"/>
        <v>0</v>
      </c>
      <c r="M335">
        <v>0</v>
      </c>
      <c r="N335">
        <f t="shared" si="27"/>
        <v>0</v>
      </c>
      <c r="O335">
        <v>0</v>
      </c>
      <c r="P335">
        <f t="shared" si="28"/>
        <v>0</v>
      </c>
    </row>
    <row r="336" spans="1:16" x14ac:dyDescent="0.25">
      <c r="A336" t="s">
        <v>114</v>
      </c>
      <c r="B336">
        <v>17</v>
      </c>
      <c r="C336">
        <v>3</v>
      </c>
      <c r="D336" t="s">
        <v>456</v>
      </c>
      <c r="E336">
        <v>0</v>
      </c>
      <c r="F336">
        <f t="shared" si="29"/>
        <v>0</v>
      </c>
      <c r="G336">
        <v>1</v>
      </c>
      <c r="H336">
        <f t="shared" si="29"/>
        <v>1</v>
      </c>
      <c r="I336">
        <v>0</v>
      </c>
      <c r="J336">
        <f t="shared" si="25"/>
        <v>0</v>
      </c>
      <c r="K336">
        <v>0</v>
      </c>
      <c r="L336">
        <f t="shared" si="26"/>
        <v>0</v>
      </c>
      <c r="M336">
        <v>0</v>
      </c>
      <c r="N336">
        <f t="shared" si="27"/>
        <v>0</v>
      </c>
      <c r="O336">
        <v>0</v>
      </c>
      <c r="P336">
        <f t="shared" si="28"/>
        <v>0</v>
      </c>
    </row>
    <row r="337" spans="1:16" x14ac:dyDescent="0.25">
      <c r="A337" t="s">
        <v>116</v>
      </c>
      <c r="B337">
        <v>24</v>
      </c>
      <c r="C337">
        <v>20</v>
      </c>
      <c r="D337" t="s">
        <v>457</v>
      </c>
      <c r="E337">
        <v>0</v>
      </c>
      <c r="F337">
        <f t="shared" si="29"/>
        <v>0</v>
      </c>
      <c r="G337">
        <v>3</v>
      </c>
      <c r="H337">
        <f t="shared" si="29"/>
        <v>1</v>
      </c>
      <c r="I337">
        <v>0</v>
      </c>
      <c r="J337">
        <f t="shared" si="25"/>
        <v>0</v>
      </c>
      <c r="K337">
        <v>0</v>
      </c>
      <c r="L337">
        <f t="shared" si="26"/>
        <v>0</v>
      </c>
      <c r="M337">
        <v>0</v>
      </c>
      <c r="N337">
        <f t="shared" si="27"/>
        <v>0</v>
      </c>
      <c r="O337">
        <v>0</v>
      </c>
      <c r="P337">
        <f t="shared" si="28"/>
        <v>0</v>
      </c>
    </row>
    <row r="338" spans="1:16" x14ac:dyDescent="0.25">
      <c r="A338" t="s">
        <v>114</v>
      </c>
      <c r="B338">
        <v>41</v>
      </c>
      <c r="C338">
        <v>14</v>
      </c>
      <c r="D338" t="s">
        <v>458</v>
      </c>
      <c r="E338">
        <v>30</v>
      </c>
      <c r="F338">
        <f t="shared" si="29"/>
        <v>1</v>
      </c>
      <c r="G338">
        <v>1</v>
      </c>
      <c r="H338">
        <f t="shared" si="29"/>
        <v>1</v>
      </c>
      <c r="I338">
        <v>0</v>
      </c>
      <c r="J338">
        <f t="shared" si="25"/>
        <v>0</v>
      </c>
      <c r="K338">
        <v>0</v>
      </c>
      <c r="L338">
        <f t="shared" si="26"/>
        <v>0</v>
      </c>
      <c r="M338">
        <v>0</v>
      </c>
      <c r="N338">
        <f t="shared" si="27"/>
        <v>0</v>
      </c>
      <c r="O338">
        <v>0</v>
      </c>
      <c r="P338">
        <f t="shared" si="28"/>
        <v>0</v>
      </c>
    </row>
    <row r="339" spans="1:16" x14ac:dyDescent="0.25">
      <c r="A339" t="s">
        <v>114</v>
      </c>
      <c r="B339">
        <v>95</v>
      </c>
      <c r="C339">
        <v>10</v>
      </c>
      <c r="D339" t="s">
        <v>459</v>
      </c>
      <c r="E339">
        <v>0</v>
      </c>
      <c r="F339">
        <f t="shared" si="29"/>
        <v>0</v>
      </c>
      <c r="G339">
        <v>3</v>
      </c>
      <c r="H339">
        <f t="shared" si="29"/>
        <v>1</v>
      </c>
      <c r="I339">
        <v>0</v>
      </c>
      <c r="J339">
        <f t="shared" si="25"/>
        <v>0</v>
      </c>
      <c r="K339">
        <v>0</v>
      </c>
      <c r="L339">
        <f t="shared" si="26"/>
        <v>0</v>
      </c>
      <c r="M339">
        <v>0</v>
      </c>
      <c r="N339">
        <f t="shared" si="27"/>
        <v>0</v>
      </c>
      <c r="O339">
        <v>0</v>
      </c>
      <c r="P339">
        <f t="shared" si="28"/>
        <v>0</v>
      </c>
    </row>
    <row r="340" spans="1:16" x14ac:dyDescent="0.25">
      <c r="A340" t="s">
        <v>114</v>
      </c>
      <c r="B340">
        <v>39</v>
      </c>
      <c r="C340">
        <v>6</v>
      </c>
      <c r="D340" t="s">
        <v>460</v>
      </c>
      <c r="E340">
        <v>0</v>
      </c>
      <c r="F340">
        <f t="shared" si="29"/>
        <v>0</v>
      </c>
      <c r="G340">
        <v>9</v>
      </c>
      <c r="H340">
        <f t="shared" si="29"/>
        <v>1</v>
      </c>
      <c r="I340">
        <v>0</v>
      </c>
      <c r="J340">
        <f t="shared" si="25"/>
        <v>0</v>
      </c>
      <c r="K340">
        <v>0</v>
      </c>
      <c r="L340">
        <f t="shared" si="26"/>
        <v>0</v>
      </c>
      <c r="M340">
        <v>0</v>
      </c>
      <c r="N340">
        <f t="shared" si="27"/>
        <v>0</v>
      </c>
      <c r="O340">
        <v>0</v>
      </c>
      <c r="P340">
        <f t="shared" si="28"/>
        <v>0</v>
      </c>
    </row>
    <row r="341" spans="1:16" x14ac:dyDescent="0.25">
      <c r="A341" t="s">
        <v>114</v>
      </c>
      <c r="B341">
        <v>15</v>
      </c>
      <c r="C341">
        <v>4</v>
      </c>
      <c r="D341" t="s">
        <v>461</v>
      </c>
      <c r="E341">
        <v>0</v>
      </c>
      <c r="F341">
        <f t="shared" si="29"/>
        <v>0</v>
      </c>
      <c r="G341">
        <v>7</v>
      </c>
      <c r="H341">
        <f t="shared" si="29"/>
        <v>1</v>
      </c>
      <c r="I341">
        <v>0</v>
      </c>
      <c r="J341">
        <f t="shared" si="25"/>
        <v>0</v>
      </c>
      <c r="K341">
        <v>0</v>
      </c>
      <c r="L341">
        <f t="shared" si="26"/>
        <v>0</v>
      </c>
      <c r="M341">
        <v>0</v>
      </c>
      <c r="N341">
        <f t="shared" si="27"/>
        <v>0</v>
      </c>
      <c r="O341">
        <v>0</v>
      </c>
      <c r="P341">
        <f t="shared" si="28"/>
        <v>0</v>
      </c>
    </row>
    <row r="342" spans="1:16" x14ac:dyDescent="0.25">
      <c r="A342" t="s">
        <v>114</v>
      </c>
      <c r="B342">
        <v>106</v>
      </c>
      <c r="C342">
        <v>23</v>
      </c>
      <c r="D342" t="s">
        <v>462</v>
      </c>
      <c r="E342">
        <v>0</v>
      </c>
      <c r="F342">
        <f t="shared" si="29"/>
        <v>0</v>
      </c>
      <c r="G342">
        <v>20</v>
      </c>
      <c r="H342">
        <f t="shared" si="29"/>
        <v>1</v>
      </c>
      <c r="I342">
        <v>0</v>
      </c>
      <c r="J342">
        <f t="shared" si="25"/>
        <v>0</v>
      </c>
      <c r="K342">
        <v>0</v>
      </c>
      <c r="L342">
        <f t="shared" si="26"/>
        <v>0</v>
      </c>
      <c r="M342">
        <v>0</v>
      </c>
      <c r="N342">
        <f t="shared" si="27"/>
        <v>0</v>
      </c>
      <c r="O342">
        <v>0</v>
      </c>
      <c r="P342">
        <f t="shared" si="28"/>
        <v>0</v>
      </c>
    </row>
    <row r="343" spans="1:16" x14ac:dyDescent="0.25">
      <c r="A343" t="s">
        <v>114</v>
      </c>
      <c r="B343">
        <v>140</v>
      </c>
      <c r="C343">
        <v>5</v>
      </c>
      <c r="D343" t="s">
        <v>463</v>
      </c>
      <c r="E343">
        <v>0</v>
      </c>
      <c r="F343">
        <f t="shared" si="29"/>
        <v>0</v>
      </c>
      <c r="G343">
        <v>9</v>
      </c>
      <c r="H343">
        <f t="shared" si="29"/>
        <v>1</v>
      </c>
      <c r="I343">
        <v>0</v>
      </c>
      <c r="J343">
        <f t="shared" si="25"/>
        <v>0</v>
      </c>
      <c r="K343">
        <v>0</v>
      </c>
      <c r="L343">
        <f t="shared" si="26"/>
        <v>0</v>
      </c>
      <c r="M343">
        <v>0</v>
      </c>
      <c r="N343">
        <f t="shared" si="27"/>
        <v>0</v>
      </c>
      <c r="O343">
        <v>0</v>
      </c>
      <c r="P343">
        <f t="shared" si="28"/>
        <v>0</v>
      </c>
    </row>
    <row r="344" spans="1:16" x14ac:dyDescent="0.25">
      <c r="A344" t="s">
        <v>116</v>
      </c>
      <c r="B344">
        <v>19</v>
      </c>
      <c r="C344">
        <v>12</v>
      </c>
      <c r="D344" t="s">
        <v>464</v>
      </c>
      <c r="E344">
        <v>0</v>
      </c>
      <c r="F344">
        <f t="shared" si="29"/>
        <v>0</v>
      </c>
      <c r="G344">
        <v>3</v>
      </c>
      <c r="H344">
        <f t="shared" si="29"/>
        <v>1</v>
      </c>
      <c r="I344">
        <v>0</v>
      </c>
      <c r="J344">
        <f t="shared" si="25"/>
        <v>0</v>
      </c>
      <c r="K344">
        <v>0</v>
      </c>
      <c r="L344">
        <f t="shared" si="26"/>
        <v>0</v>
      </c>
      <c r="M344">
        <v>0</v>
      </c>
      <c r="N344">
        <f t="shared" si="27"/>
        <v>0</v>
      </c>
      <c r="O344">
        <v>0</v>
      </c>
      <c r="P344">
        <f t="shared" si="28"/>
        <v>0</v>
      </c>
    </row>
    <row r="345" spans="1:16" x14ac:dyDescent="0.25">
      <c r="A345" t="s">
        <v>114</v>
      </c>
      <c r="B345">
        <v>146</v>
      </c>
      <c r="C345">
        <v>9</v>
      </c>
      <c r="D345" t="s">
        <v>465</v>
      </c>
      <c r="E345">
        <v>0</v>
      </c>
      <c r="F345">
        <f t="shared" si="29"/>
        <v>0</v>
      </c>
      <c r="G345">
        <v>5</v>
      </c>
      <c r="H345">
        <f t="shared" si="29"/>
        <v>1</v>
      </c>
      <c r="I345">
        <v>0</v>
      </c>
      <c r="J345">
        <f t="shared" si="25"/>
        <v>0</v>
      </c>
      <c r="K345">
        <v>0</v>
      </c>
      <c r="L345">
        <f t="shared" si="26"/>
        <v>0</v>
      </c>
      <c r="M345">
        <v>0</v>
      </c>
      <c r="N345">
        <f t="shared" si="27"/>
        <v>0</v>
      </c>
      <c r="O345">
        <v>0</v>
      </c>
      <c r="P345">
        <f t="shared" si="28"/>
        <v>0</v>
      </c>
    </row>
    <row r="346" spans="1:16" x14ac:dyDescent="0.25">
      <c r="A346" t="s">
        <v>116</v>
      </c>
      <c r="B346">
        <v>21</v>
      </c>
      <c r="C346">
        <v>17</v>
      </c>
      <c r="D346" t="s">
        <v>466</v>
      </c>
      <c r="E346">
        <v>0</v>
      </c>
      <c r="F346">
        <f t="shared" si="29"/>
        <v>0</v>
      </c>
      <c r="G346">
        <v>5</v>
      </c>
      <c r="H346">
        <f t="shared" si="29"/>
        <v>1</v>
      </c>
      <c r="I346">
        <v>0</v>
      </c>
      <c r="J346">
        <f t="shared" si="25"/>
        <v>0</v>
      </c>
      <c r="K346">
        <v>0</v>
      </c>
      <c r="L346">
        <f t="shared" si="26"/>
        <v>0</v>
      </c>
      <c r="M346">
        <v>0</v>
      </c>
      <c r="N346">
        <f t="shared" si="27"/>
        <v>0</v>
      </c>
      <c r="O346">
        <v>0</v>
      </c>
      <c r="P346">
        <f t="shared" si="28"/>
        <v>0</v>
      </c>
    </row>
    <row r="347" spans="1:16" x14ac:dyDescent="0.25">
      <c r="A347" t="s">
        <v>115</v>
      </c>
      <c r="B347">
        <v>7</v>
      </c>
      <c r="C347">
        <v>7</v>
      </c>
      <c r="D347" t="s">
        <v>467</v>
      </c>
      <c r="E347">
        <v>0</v>
      </c>
      <c r="F347">
        <f t="shared" si="29"/>
        <v>0</v>
      </c>
      <c r="G347">
        <v>9</v>
      </c>
      <c r="H347">
        <f t="shared" si="29"/>
        <v>1</v>
      </c>
      <c r="I347">
        <v>0</v>
      </c>
      <c r="J347">
        <f t="shared" si="25"/>
        <v>0</v>
      </c>
      <c r="K347">
        <v>0</v>
      </c>
      <c r="L347">
        <f t="shared" si="26"/>
        <v>0</v>
      </c>
      <c r="M347">
        <v>0</v>
      </c>
      <c r="N347">
        <f t="shared" si="27"/>
        <v>0</v>
      </c>
      <c r="O347">
        <v>0</v>
      </c>
      <c r="P347">
        <f t="shared" si="28"/>
        <v>0</v>
      </c>
    </row>
    <row r="348" spans="1:16" x14ac:dyDescent="0.25">
      <c r="A348" t="s">
        <v>114</v>
      </c>
      <c r="B348">
        <v>90</v>
      </c>
      <c r="C348">
        <v>2</v>
      </c>
      <c r="D348" t="s">
        <v>468</v>
      </c>
      <c r="E348">
        <v>0</v>
      </c>
      <c r="F348">
        <f t="shared" si="29"/>
        <v>0</v>
      </c>
      <c r="G348">
        <v>5</v>
      </c>
      <c r="H348">
        <f t="shared" si="29"/>
        <v>1</v>
      </c>
      <c r="I348">
        <v>0</v>
      </c>
      <c r="J348">
        <f t="shared" si="25"/>
        <v>0</v>
      </c>
      <c r="K348">
        <v>0</v>
      </c>
      <c r="L348">
        <f t="shared" si="26"/>
        <v>0</v>
      </c>
      <c r="M348">
        <v>0</v>
      </c>
      <c r="N348">
        <f t="shared" si="27"/>
        <v>0</v>
      </c>
      <c r="O348">
        <v>0</v>
      </c>
      <c r="P348">
        <f t="shared" si="28"/>
        <v>0</v>
      </c>
    </row>
    <row r="349" spans="1:16" x14ac:dyDescent="0.25">
      <c r="A349" t="s">
        <v>116</v>
      </c>
      <c r="B349">
        <v>6</v>
      </c>
      <c r="C349">
        <v>10</v>
      </c>
      <c r="D349" t="s">
        <v>469</v>
      </c>
      <c r="E349">
        <v>0</v>
      </c>
      <c r="F349">
        <f t="shared" si="29"/>
        <v>0</v>
      </c>
      <c r="G349">
        <v>8</v>
      </c>
      <c r="H349">
        <f t="shared" si="29"/>
        <v>1</v>
      </c>
      <c r="I349">
        <v>0</v>
      </c>
      <c r="J349">
        <f t="shared" si="25"/>
        <v>0</v>
      </c>
      <c r="K349">
        <v>0</v>
      </c>
      <c r="L349">
        <f t="shared" si="26"/>
        <v>0</v>
      </c>
      <c r="M349">
        <v>0</v>
      </c>
      <c r="N349">
        <f t="shared" si="27"/>
        <v>0</v>
      </c>
      <c r="O349">
        <v>0</v>
      </c>
      <c r="P349">
        <f t="shared" si="28"/>
        <v>0</v>
      </c>
    </row>
    <row r="350" spans="1:16" x14ac:dyDescent="0.25">
      <c r="A350" t="s">
        <v>114</v>
      </c>
      <c r="B350">
        <v>37</v>
      </c>
      <c r="C350">
        <v>28</v>
      </c>
      <c r="D350" t="s">
        <v>470</v>
      </c>
      <c r="E350">
        <v>0</v>
      </c>
      <c r="F350">
        <f t="shared" si="29"/>
        <v>0</v>
      </c>
      <c r="G350">
        <v>7</v>
      </c>
      <c r="H350">
        <f t="shared" si="29"/>
        <v>1</v>
      </c>
      <c r="I350">
        <v>0</v>
      </c>
      <c r="J350">
        <f t="shared" si="25"/>
        <v>0</v>
      </c>
      <c r="K350">
        <v>0</v>
      </c>
      <c r="L350">
        <f t="shared" si="26"/>
        <v>0</v>
      </c>
      <c r="M350">
        <v>0</v>
      </c>
      <c r="N350">
        <f t="shared" si="27"/>
        <v>0</v>
      </c>
      <c r="O350">
        <v>0</v>
      </c>
      <c r="P350">
        <f t="shared" si="28"/>
        <v>0</v>
      </c>
    </row>
    <row r="351" spans="1:16" x14ac:dyDescent="0.25">
      <c r="A351" t="s">
        <v>114</v>
      </c>
      <c r="B351">
        <v>86</v>
      </c>
      <c r="C351">
        <v>14</v>
      </c>
      <c r="D351" t="s">
        <v>471</v>
      </c>
      <c r="E351">
        <v>0</v>
      </c>
      <c r="F351">
        <f t="shared" si="29"/>
        <v>0</v>
      </c>
      <c r="G351">
        <v>5</v>
      </c>
      <c r="H351">
        <f t="shared" si="29"/>
        <v>1</v>
      </c>
      <c r="I351">
        <v>0</v>
      </c>
      <c r="J351">
        <f t="shared" si="25"/>
        <v>0</v>
      </c>
      <c r="K351">
        <v>0</v>
      </c>
      <c r="L351">
        <f t="shared" si="26"/>
        <v>0</v>
      </c>
      <c r="M351">
        <v>0</v>
      </c>
      <c r="N351">
        <f t="shared" si="27"/>
        <v>0</v>
      </c>
      <c r="O351">
        <v>0</v>
      </c>
      <c r="P351">
        <f t="shared" si="28"/>
        <v>0</v>
      </c>
    </row>
    <row r="352" spans="1:16" x14ac:dyDescent="0.25">
      <c r="A352" t="s">
        <v>114</v>
      </c>
      <c r="B352">
        <v>40</v>
      </c>
      <c r="C352">
        <v>10</v>
      </c>
      <c r="D352" t="s">
        <v>472</v>
      </c>
      <c r="E352">
        <v>0</v>
      </c>
      <c r="F352">
        <f t="shared" si="29"/>
        <v>0</v>
      </c>
      <c r="G352">
        <v>9</v>
      </c>
      <c r="H352">
        <f t="shared" si="29"/>
        <v>1</v>
      </c>
      <c r="I352">
        <v>0</v>
      </c>
      <c r="J352">
        <f t="shared" si="25"/>
        <v>0</v>
      </c>
      <c r="K352">
        <v>0</v>
      </c>
      <c r="L352">
        <f t="shared" si="26"/>
        <v>0</v>
      </c>
      <c r="M352">
        <v>0</v>
      </c>
      <c r="N352">
        <f t="shared" si="27"/>
        <v>0</v>
      </c>
      <c r="O352">
        <v>0</v>
      </c>
      <c r="P352">
        <f t="shared" si="28"/>
        <v>0</v>
      </c>
    </row>
    <row r="353" spans="1:16" x14ac:dyDescent="0.25">
      <c r="A353" t="s">
        <v>116</v>
      </c>
      <c r="B353">
        <v>37</v>
      </c>
      <c r="C353">
        <v>21</v>
      </c>
      <c r="D353" t="s">
        <v>473</v>
      </c>
      <c r="E353">
        <v>0</v>
      </c>
      <c r="F353">
        <f t="shared" si="29"/>
        <v>0</v>
      </c>
      <c r="G353">
        <v>5</v>
      </c>
      <c r="H353">
        <f t="shared" si="29"/>
        <v>1</v>
      </c>
      <c r="I353">
        <v>0</v>
      </c>
      <c r="J353">
        <f t="shared" si="25"/>
        <v>0</v>
      </c>
      <c r="K353">
        <v>0</v>
      </c>
      <c r="L353">
        <f t="shared" si="26"/>
        <v>0</v>
      </c>
      <c r="M353">
        <v>0</v>
      </c>
      <c r="N353">
        <f t="shared" si="27"/>
        <v>0</v>
      </c>
      <c r="O353">
        <v>0</v>
      </c>
      <c r="P353">
        <f t="shared" si="28"/>
        <v>0</v>
      </c>
    </row>
    <row r="354" spans="1:16" x14ac:dyDescent="0.25">
      <c r="A354" t="s">
        <v>114</v>
      </c>
      <c r="B354">
        <v>96</v>
      </c>
      <c r="C354">
        <v>10</v>
      </c>
      <c r="D354" t="s">
        <v>474</v>
      </c>
      <c r="E354">
        <v>0</v>
      </c>
      <c r="F354">
        <f t="shared" si="29"/>
        <v>0</v>
      </c>
      <c r="G354">
        <v>9</v>
      </c>
      <c r="H354">
        <f t="shared" si="29"/>
        <v>1</v>
      </c>
      <c r="I354">
        <v>0</v>
      </c>
      <c r="J354">
        <f t="shared" si="25"/>
        <v>0</v>
      </c>
      <c r="K354">
        <v>0</v>
      </c>
      <c r="L354">
        <f t="shared" si="26"/>
        <v>0</v>
      </c>
      <c r="M354">
        <v>0</v>
      </c>
      <c r="N354">
        <f t="shared" si="27"/>
        <v>0</v>
      </c>
      <c r="O354">
        <v>0</v>
      </c>
      <c r="P354">
        <f t="shared" si="28"/>
        <v>0</v>
      </c>
    </row>
    <row r="355" spans="1:16" x14ac:dyDescent="0.25">
      <c r="A355" t="s">
        <v>114</v>
      </c>
      <c r="B355">
        <v>19</v>
      </c>
      <c r="C355">
        <v>5</v>
      </c>
      <c r="D355" t="s">
        <v>475</v>
      </c>
      <c r="E355">
        <v>0</v>
      </c>
      <c r="F355">
        <f t="shared" si="29"/>
        <v>0</v>
      </c>
      <c r="G355">
        <v>7</v>
      </c>
      <c r="H355">
        <f t="shared" si="29"/>
        <v>1</v>
      </c>
      <c r="I355">
        <v>0</v>
      </c>
      <c r="J355">
        <f t="shared" si="25"/>
        <v>0</v>
      </c>
      <c r="K355">
        <v>0</v>
      </c>
      <c r="L355">
        <f t="shared" si="26"/>
        <v>0</v>
      </c>
      <c r="M355">
        <v>0</v>
      </c>
      <c r="N355">
        <f t="shared" si="27"/>
        <v>0</v>
      </c>
      <c r="O355">
        <v>0</v>
      </c>
      <c r="P355">
        <f t="shared" si="28"/>
        <v>0</v>
      </c>
    </row>
    <row r="356" spans="1:16" x14ac:dyDescent="0.25">
      <c r="A356" t="s">
        <v>114</v>
      </c>
      <c r="B356">
        <v>49</v>
      </c>
      <c r="C356">
        <v>11</v>
      </c>
      <c r="D356" t="s">
        <v>476</v>
      </c>
      <c r="E356">
        <v>0</v>
      </c>
      <c r="F356">
        <f t="shared" si="29"/>
        <v>0</v>
      </c>
      <c r="G356">
        <v>7</v>
      </c>
      <c r="H356">
        <f t="shared" si="29"/>
        <v>1</v>
      </c>
      <c r="I356">
        <v>0</v>
      </c>
      <c r="J356">
        <f t="shared" si="25"/>
        <v>0</v>
      </c>
      <c r="K356">
        <v>0</v>
      </c>
      <c r="L356">
        <f t="shared" si="26"/>
        <v>0</v>
      </c>
      <c r="M356">
        <v>0</v>
      </c>
      <c r="N356">
        <f t="shared" si="27"/>
        <v>0</v>
      </c>
      <c r="O356">
        <v>0</v>
      </c>
      <c r="P356">
        <f t="shared" si="28"/>
        <v>0</v>
      </c>
    </row>
    <row r="357" spans="1:16" x14ac:dyDescent="0.25">
      <c r="A357" t="s">
        <v>114</v>
      </c>
      <c r="B357">
        <v>95</v>
      </c>
      <c r="C357">
        <v>7</v>
      </c>
      <c r="D357" t="s">
        <v>477</v>
      </c>
      <c r="E357">
        <v>0</v>
      </c>
      <c r="F357">
        <f t="shared" si="29"/>
        <v>0</v>
      </c>
      <c r="G357">
        <v>1</v>
      </c>
      <c r="H357">
        <f t="shared" si="29"/>
        <v>1</v>
      </c>
      <c r="I357">
        <v>0</v>
      </c>
      <c r="J357">
        <f t="shared" si="25"/>
        <v>0</v>
      </c>
      <c r="K357">
        <v>0</v>
      </c>
      <c r="L357">
        <f t="shared" si="26"/>
        <v>0</v>
      </c>
      <c r="M357">
        <v>0</v>
      </c>
      <c r="N357">
        <f t="shared" si="27"/>
        <v>0</v>
      </c>
      <c r="O357">
        <v>0</v>
      </c>
      <c r="P357">
        <f t="shared" si="28"/>
        <v>0</v>
      </c>
    </row>
    <row r="358" spans="1:16" x14ac:dyDescent="0.25">
      <c r="A358" t="s">
        <v>114</v>
      </c>
      <c r="B358">
        <v>34</v>
      </c>
      <c r="C358">
        <v>8</v>
      </c>
      <c r="D358" t="s">
        <v>478</v>
      </c>
      <c r="E358">
        <v>0</v>
      </c>
      <c r="F358">
        <f t="shared" si="29"/>
        <v>0</v>
      </c>
      <c r="G358">
        <v>9</v>
      </c>
      <c r="H358">
        <f t="shared" si="29"/>
        <v>1</v>
      </c>
      <c r="I358">
        <v>0</v>
      </c>
      <c r="J358">
        <f t="shared" si="25"/>
        <v>0</v>
      </c>
      <c r="K358">
        <v>0</v>
      </c>
      <c r="L358">
        <f t="shared" si="26"/>
        <v>0</v>
      </c>
      <c r="M358">
        <v>0</v>
      </c>
      <c r="N358">
        <f t="shared" si="27"/>
        <v>0</v>
      </c>
      <c r="O358">
        <v>0</v>
      </c>
      <c r="P358">
        <f t="shared" si="28"/>
        <v>0</v>
      </c>
    </row>
    <row r="359" spans="1:16" x14ac:dyDescent="0.25">
      <c r="A359" t="s">
        <v>114</v>
      </c>
      <c r="B359">
        <v>20</v>
      </c>
      <c r="C359">
        <v>6</v>
      </c>
      <c r="D359" t="s">
        <v>479</v>
      </c>
      <c r="E359">
        <v>0</v>
      </c>
      <c r="F359">
        <f t="shared" si="29"/>
        <v>0</v>
      </c>
      <c r="G359">
        <v>5</v>
      </c>
      <c r="H359">
        <f t="shared" si="29"/>
        <v>1</v>
      </c>
      <c r="I359">
        <v>0</v>
      </c>
      <c r="J359">
        <f t="shared" si="25"/>
        <v>0</v>
      </c>
      <c r="K359">
        <v>0</v>
      </c>
      <c r="L359">
        <f t="shared" si="26"/>
        <v>0</v>
      </c>
      <c r="M359">
        <v>0</v>
      </c>
      <c r="N359">
        <f t="shared" si="27"/>
        <v>0</v>
      </c>
      <c r="O359">
        <v>0</v>
      </c>
      <c r="P359">
        <f t="shared" si="28"/>
        <v>0</v>
      </c>
    </row>
    <row r="360" spans="1:16" x14ac:dyDescent="0.25">
      <c r="A360" t="s">
        <v>114</v>
      </c>
      <c r="B360">
        <v>111</v>
      </c>
      <c r="C360">
        <v>9</v>
      </c>
      <c r="D360" t="s">
        <v>480</v>
      </c>
      <c r="E360">
        <v>0</v>
      </c>
      <c r="F360">
        <f t="shared" si="29"/>
        <v>0</v>
      </c>
      <c r="G360">
        <v>5</v>
      </c>
      <c r="H360">
        <f t="shared" si="29"/>
        <v>1</v>
      </c>
      <c r="I360">
        <v>0</v>
      </c>
      <c r="J360">
        <f t="shared" si="25"/>
        <v>0</v>
      </c>
      <c r="K360">
        <v>0</v>
      </c>
      <c r="L360">
        <f t="shared" si="26"/>
        <v>0</v>
      </c>
      <c r="M360">
        <v>0</v>
      </c>
      <c r="N360">
        <f t="shared" si="27"/>
        <v>0</v>
      </c>
      <c r="O360">
        <v>0</v>
      </c>
      <c r="P360">
        <f t="shared" si="28"/>
        <v>0</v>
      </c>
    </row>
    <row r="361" spans="1:16" x14ac:dyDescent="0.25">
      <c r="A361" t="s">
        <v>116</v>
      </c>
      <c r="B361">
        <v>5</v>
      </c>
      <c r="C361">
        <v>5</v>
      </c>
      <c r="D361" t="s">
        <v>481</v>
      </c>
      <c r="E361">
        <v>0</v>
      </c>
      <c r="F361">
        <f t="shared" si="29"/>
        <v>0</v>
      </c>
      <c r="G361">
        <v>9</v>
      </c>
      <c r="H361">
        <f t="shared" si="29"/>
        <v>1</v>
      </c>
      <c r="I361">
        <v>0</v>
      </c>
      <c r="J361">
        <f t="shared" si="25"/>
        <v>0</v>
      </c>
      <c r="K361">
        <v>0</v>
      </c>
      <c r="L361">
        <f t="shared" si="26"/>
        <v>0</v>
      </c>
      <c r="M361">
        <v>0</v>
      </c>
      <c r="N361">
        <f t="shared" si="27"/>
        <v>0</v>
      </c>
      <c r="O361">
        <v>0</v>
      </c>
      <c r="P361">
        <f t="shared" si="28"/>
        <v>0</v>
      </c>
    </row>
    <row r="362" spans="1:16" x14ac:dyDescent="0.25">
      <c r="A362" t="s">
        <v>115</v>
      </c>
      <c r="B362">
        <v>22</v>
      </c>
      <c r="C362">
        <v>29</v>
      </c>
      <c r="D362" t="s">
        <v>482</v>
      </c>
      <c r="E362">
        <v>0</v>
      </c>
      <c r="F362">
        <f t="shared" si="29"/>
        <v>0</v>
      </c>
      <c r="G362">
        <v>9</v>
      </c>
      <c r="H362">
        <f t="shared" si="29"/>
        <v>1</v>
      </c>
      <c r="I362">
        <v>0</v>
      </c>
      <c r="J362">
        <f t="shared" si="25"/>
        <v>0</v>
      </c>
      <c r="K362">
        <v>0</v>
      </c>
      <c r="L362">
        <f t="shared" si="26"/>
        <v>0</v>
      </c>
      <c r="M362">
        <v>0</v>
      </c>
      <c r="N362">
        <f t="shared" si="27"/>
        <v>0</v>
      </c>
      <c r="O362">
        <v>0</v>
      </c>
      <c r="P362">
        <f t="shared" si="28"/>
        <v>0</v>
      </c>
    </row>
    <row r="363" spans="1:16" x14ac:dyDescent="0.25">
      <c r="A363" t="s">
        <v>116</v>
      </c>
      <c r="B363">
        <v>24</v>
      </c>
      <c r="C363">
        <v>14</v>
      </c>
      <c r="D363" t="s">
        <v>483</v>
      </c>
      <c r="E363">
        <v>0</v>
      </c>
      <c r="F363">
        <f t="shared" si="29"/>
        <v>0</v>
      </c>
      <c r="G363">
        <v>7</v>
      </c>
      <c r="H363">
        <f t="shared" si="29"/>
        <v>1</v>
      </c>
      <c r="I363">
        <v>0</v>
      </c>
      <c r="J363">
        <f t="shared" si="25"/>
        <v>0</v>
      </c>
      <c r="K363">
        <v>0</v>
      </c>
      <c r="L363">
        <f t="shared" si="26"/>
        <v>0</v>
      </c>
      <c r="M363">
        <v>0</v>
      </c>
      <c r="N363">
        <f t="shared" si="27"/>
        <v>0</v>
      </c>
      <c r="O363">
        <v>0</v>
      </c>
      <c r="P363">
        <f t="shared" si="28"/>
        <v>0</v>
      </c>
    </row>
    <row r="364" spans="1:16" x14ac:dyDescent="0.25">
      <c r="A364" t="s">
        <v>115</v>
      </c>
      <c r="B364">
        <v>30</v>
      </c>
      <c r="C364">
        <v>33</v>
      </c>
      <c r="D364" t="s">
        <v>484</v>
      </c>
      <c r="E364">
        <v>0</v>
      </c>
      <c r="F364">
        <f t="shared" si="29"/>
        <v>0</v>
      </c>
      <c r="G364">
        <v>9</v>
      </c>
      <c r="H364">
        <f t="shared" si="29"/>
        <v>1</v>
      </c>
      <c r="I364">
        <v>0</v>
      </c>
      <c r="J364">
        <f t="shared" si="25"/>
        <v>0</v>
      </c>
      <c r="K364">
        <v>0</v>
      </c>
      <c r="L364">
        <f t="shared" si="26"/>
        <v>0</v>
      </c>
      <c r="M364">
        <v>0</v>
      </c>
      <c r="N364">
        <f t="shared" si="27"/>
        <v>0</v>
      </c>
      <c r="O364">
        <v>0</v>
      </c>
      <c r="P364">
        <f t="shared" si="28"/>
        <v>0</v>
      </c>
    </row>
    <row r="365" spans="1:16" x14ac:dyDescent="0.25">
      <c r="A365" t="s">
        <v>114</v>
      </c>
      <c r="B365">
        <v>109</v>
      </c>
      <c r="C365">
        <v>21</v>
      </c>
      <c r="D365" t="s">
        <v>485</v>
      </c>
      <c r="E365">
        <v>0</v>
      </c>
      <c r="F365">
        <f t="shared" si="29"/>
        <v>0</v>
      </c>
      <c r="G365">
        <v>5</v>
      </c>
      <c r="H365">
        <f t="shared" si="29"/>
        <v>1</v>
      </c>
      <c r="I365">
        <v>0</v>
      </c>
      <c r="J365">
        <f t="shared" si="25"/>
        <v>0</v>
      </c>
      <c r="K365">
        <v>0</v>
      </c>
      <c r="L365">
        <f t="shared" si="26"/>
        <v>0</v>
      </c>
      <c r="M365">
        <v>0</v>
      </c>
      <c r="N365">
        <f t="shared" si="27"/>
        <v>0</v>
      </c>
      <c r="O365">
        <v>0</v>
      </c>
      <c r="P365">
        <f t="shared" si="28"/>
        <v>0</v>
      </c>
    </row>
    <row r="366" spans="1:16" x14ac:dyDescent="0.25">
      <c r="A366" t="s">
        <v>114</v>
      </c>
      <c r="B366">
        <v>139</v>
      </c>
      <c r="C366">
        <v>16</v>
      </c>
      <c r="D366" t="s">
        <v>486</v>
      </c>
      <c r="E366">
        <v>0</v>
      </c>
      <c r="F366">
        <f t="shared" si="29"/>
        <v>0</v>
      </c>
      <c r="G366">
        <v>5</v>
      </c>
      <c r="H366">
        <f t="shared" si="29"/>
        <v>1</v>
      </c>
      <c r="I366">
        <v>17</v>
      </c>
      <c r="J366">
        <f t="shared" si="25"/>
        <v>1</v>
      </c>
      <c r="K366">
        <v>0</v>
      </c>
      <c r="L366">
        <f t="shared" si="26"/>
        <v>0</v>
      </c>
      <c r="M366">
        <v>0</v>
      </c>
      <c r="N366">
        <f t="shared" si="27"/>
        <v>0</v>
      </c>
      <c r="O366">
        <v>0</v>
      </c>
      <c r="P366">
        <f t="shared" si="28"/>
        <v>0</v>
      </c>
    </row>
    <row r="367" spans="1:16" x14ac:dyDescent="0.25">
      <c r="A367" t="s">
        <v>114</v>
      </c>
      <c r="B367">
        <v>138</v>
      </c>
      <c r="C367">
        <v>2</v>
      </c>
      <c r="D367" t="s">
        <v>487</v>
      </c>
      <c r="E367">
        <v>0</v>
      </c>
      <c r="F367">
        <f t="shared" si="29"/>
        <v>0</v>
      </c>
      <c r="G367">
        <v>13</v>
      </c>
      <c r="H367">
        <f t="shared" si="29"/>
        <v>1</v>
      </c>
      <c r="I367">
        <v>0</v>
      </c>
      <c r="J367">
        <f t="shared" si="25"/>
        <v>0</v>
      </c>
      <c r="K367">
        <v>0</v>
      </c>
      <c r="L367">
        <f t="shared" si="26"/>
        <v>0</v>
      </c>
      <c r="M367">
        <v>0</v>
      </c>
      <c r="N367">
        <f t="shared" si="27"/>
        <v>0</v>
      </c>
      <c r="O367">
        <v>0</v>
      </c>
      <c r="P367">
        <f t="shared" si="28"/>
        <v>0</v>
      </c>
    </row>
    <row r="368" spans="1:16" x14ac:dyDescent="0.25">
      <c r="A368" t="s">
        <v>114</v>
      </c>
      <c r="B368">
        <v>23</v>
      </c>
      <c r="C368">
        <v>4</v>
      </c>
      <c r="D368" t="s">
        <v>488</v>
      </c>
      <c r="E368">
        <v>0</v>
      </c>
      <c r="F368">
        <f t="shared" si="29"/>
        <v>0</v>
      </c>
      <c r="G368">
        <v>15</v>
      </c>
      <c r="H368">
        <f t="shared" si="29"/>
        <v>1</v>
      </c>
      <c r="I368">
        <v>0</v>
      </c>
      <c r="J368">
        <f t="shared" si="25"/>
        <v>0</v>
      </c>
      <c r="K368">
        <v>0</v>
      </c>
      <c r="L368">
        <f t="shared" si="26"/>
        <v>0</v>
      </c>
      <c r="M368">
        <v>0</v>
      </c>
      <c r="N368">
        <f t="shared" si="27"/>
        <v>0</v>
      </c>
      <c r="O368">
        <v>0</v>
      </c>
      <c r="P368">
        <f t="shared" si="28"/>
        <v>0</v>
      </c>
    </row>
    <row r="369" spans="1:16" x14ac:dyDescent="0.25">
      <c r="A369" t="s">
        <v>114</v>
      </c>
      <c r="B369">
        <v>146</v>
      </c>
      <c r="C369">
        <v>6</v>
      </c>
      <c r="D369" t="s">
        <v>489</v>
      </c>
      <c r="E369">
        <v>0</v>
      </c>
      <c r="F369">
        <f t="shared" si="29"/>
        <v>0</v>
      </c>
      <c r="G369">
        <v>5</v>
      </c>
      <c r="H369">
        <f t="shared" si="29"/>
        <v>1</v>
      </c>
      <c r="I369">
        <v>0</v>
      </c>
      <c r="J369">
        <f t="shared" si="25"/>
        <v>0</v>
      </c>
      <c r="K369">
        <v>0</v>
      </c>
      <c r="L369">
        <f t="shared" si="26"/>
        <v>0</v>
      </c>
      <c r="M369">
        <v>0</v>
      </c>
      <c r="N369">
        <f t="shared" si="27"/>
        <v>0</v>
      </c>
      <c r="O369">
        <v>0</v>
      </c>
      <c r="P369">
        <f t="shared" si="28"/>
        <v>0</v>
      </c>
    </row>
    <row r="370" spans="1:16" x14ac:dyDescent="0.25">
      <c r="A370" t="s">
        <v>114</v>
      </c>
      <c r="B370">
        <v>80</v>
      </c>
      <c r="C370">
        <v>3</v>
      </c>
      <c r="D370" t="s">
        <v>490</v>
      </c>
      <c r="E370">
        <v>0</v>
      </c>
      <c r="F370">
        <f t="shared" si="29"/>
        <v>0</v>
      </c>
      <c r="G370">
        <v>9</v>
      </c>
      <c r="H370">
        <f t="shared" si="29"/>
        <v>1</v>
      </c>
      <c r="I370">
        <v>0</v>
      </c>
      <c r="J370">
        <f t="shared" si="25"/>
        <v>0</v>
      </c>
      <c r="K370">
        <v>0</v>
      </c>
      <c r="L370">
        <f t="shared" si="26"/>
        <v>0</v>
      </c>
      <c r="M370">
        <v>0</v>
      </c>
      <c r="N370">
        <f t="shared" si="27"/>
        <v>0</v>
      </c>
      <c r="O370">
        <v>0</v>
      </c>
      <c r="P370">
        <f t="shared" si="28"/>
        <v>0</v>
      </c>
    </row>
    <row r="371" spans="1:16" x14ac:dyDescent="0.25">
      <c r="A371" t="s">
        <v>116</v>
      </c>
      <c r="B371">
        <v>31</v>
      </c>
      <c r="C371">
        <v>34</v>
      </c>
      <c r="D371" t="s">
        <v>491</v>
      </c>
      <c r="E371">
        <v>0</v>
      </c>
      <c r="F371">
        <f t="shared" si="29"/>
        <v>0</v>
      </c>
      <c r="G371">
        <v>9</v>
      </c>
      <c r="H371">
        <f t="shared" si="29"/>
        <v>1</v>
      </c>
      <c r="I371">
        <v>0</v>
      </c>
      <c r="J371">
        <f t="shared" si="25"/>
        <v>0</v>
      </c>
      <c r="K371">
        <v>0</v>
      </c>
      <c r="L371">
        <f t="shared" si="26"/>
        <v>0</v>
      </c>
      <c r="M371">
        <v>0</v>
      </c>
      <c r="N371">
        <f t="shared" si="27"/>
        <v>0</v>
      </c>
      <c r="O371">
        <v>0</v>
      </c>
      <c r="P371">
        <f t="shared" si="28"/>
        <v>0</v>
      </c>
    </row>
    <row r="372" spans="1:16" x14ac:dyDescent="0.25">
      <c r="A372" t="s">
        <v>114</v>
      </c>
      <c r="B372">
        <v>79</v>
      </c>
      <c r="C372">
        <v>9</v>
      </c>
      <c r="D372" t="s">
        <v>492</v>
      </c>
      <c r="E372">
        <v>0</v>
      </c>
      <c r="F372">
        <f t="shared" si="29"/>
        <v>0</v>
      </c>
      <c r="G372">
        <v>5</v>
      </c>
      <c r="H372">
        <f t="shared" si="29"/>
        <v>1</v>
      </c>
      <c r="I372">
        <v>0</v>
      </c>
      <c r="J372">
        <f t="shared" si="25"/>
        <v>0</v>
      </c>
      <c r="K372">
        <v>0</v>
      </c>
      <c r="L372">
        <f t="shared" si="26"/>
        <v>0</v>
      </c>
      <c r="M372">
        <v>0</v>
      </c>
      <c r="N372">
        <f t="shared" si="27"/>
        <v>0</v>
      </c>
      <c r="O372">
        <v>0</v>
      </c>
      <c r="P372">
        <f t="shared" si="28"/>
        <v>0</v>
      </c>
    </row>
    <row r="373" spans="1:16" x14ac:dyDescent="0.25">
      <c r="A373" t="s">
        <v>115</v>
      </c>
      <c r="B373">
        <v>28</v>
      </c>
      <c r="C373">
        <v>24</v>
      </c>
      <c r="D373" t="s">
        <v>493</v>
      </c>
      <c r="E373">
        <v>0</v>
      </c>
      <c r="F373">
        <f t="shared" si="29"/>
        <v>0</v>
      </c>
      <c r="G373">
        <v>5</v>
      </c>
      <c r="H373">
        <f t="shared" si="29"/>
        <v>1</v>
      </c>
      <c r="I373">
        <v>0</v>
      </c>
      <c r="J373">
        <f t="shared" si="25"/>
        <v>0</v>
      </c>
      <c r="K373">
        <v>0</v>
      </c>
      <c r="L373">
        <f t="shared" si="26"/>
        <v>0</v>
      </c>
      <c r="M373">
        <v>0</v>
      </c>
      <c r="N373">
        <f t="shared" si="27"/>
        <v>0</v>
      </c>
      <c r="O373">
        <v>0</v>
      </c>
      <c r="P373">
        <f t="shared" si="28"/>
        <v>0</v>
      </c>
    </row>
    <row r="374" spans="1:16" x14ac:dyDescent="0.25">
      <c r="A374" t="s">
        <v>114</v>
      </c>
      <c r="B374">
        <v>43</v>
      </c>
      <c r="C374">
        <v>1</v>
      </c>
      <c r="D374" t="s">
        <v>494</v>
      </c>
      <c r="E374">
        <v>0</v>
      </c>
      <c r="F374">
        <f t="shared" si="29"/>
        <v>0</v>
      </c>
      <c r="G374">
        <v>9</v>
      </c>
      <c r="H374">
        <f t="shared" si="29"/>
        <v>1</v>
      </c>
      <c r="I374">
        <v>0</v>
      </c>
      <c r="J374">
        <f t="shared" si="25"/>
        <v>0</v>
      </c>
      <c r="K374">
        <v>0</v>
      </c>
      <c r="L374">
        <f t="shared" si="26"/>
        <v>0</v>
      </c>
      <c r="M374">
        <v>0</v>
      </c>
      <c r="N374">
        <f t="shared" si="27"/>
        <v>0</v>
      </c>
      <c r="O374">
        <v>0</v>
      </c>
      <c r="P374">
        <f t="shared" si="28"/>
        <v>0</v>
      </c>
    </row>
    <row r="375" spans="1:16" x14ac:dyDescent="0.25">
      <c r="A375" t="s">
        <v>114</v>
      </c>
      <c r="B375">
        <v>115</v>
      </c>
      <c r="C375">
        <v>18</v>
      </c>
      <c r="D375" t="s">
        <v>495</v>
      </c>
      <c r="E375">
        <v>0</v>
      </c>
      <c r="F375">
        <f t="shared" si="29"/>
        <v>0</v>
      </c>
      <c r="G375">
        <v>5</v>
      </c>
      <c r="H375">
        <f t="shared" si="29"/>
        <v>1</v>
      </c>
      <c r="I375">
        <v>0</v>
      </c>
      <c r="J375">
        <f t="shared" si="25"/>
        <v>0</v>
      </c>
      <c r="K375">
        <v>0</v>
      </c>
      <c r="L375">
        <f t="shared" si="26"/>
        <v>0</v>
      </c>
      <c r="M375">
        <v>0</v>
      </c>
      <c r="N375">
        <f t="shared" si="27"/>
        <v>0</v>
      </c>
      <c r="O375">
        <v>0</v>
      </c>
      <c r="P375">
        <f t="shared" si="28"/>
        <v>0</v>
      </c>
    </row>
    <row r="376" spans="1:16" x14ac:dyDescent="0.25">
      <c r="A376" t="s">
        <v>116</v>
      </c>
      <c r="B376">
        <v>39</v>
      </c>
      <c r="C376">
        <v>25</v>
      </c>
      <c r="D376" t="s">
        <v>496</v>
      </c>
      <c r="E376">
        <v>0</v>
      </c>
      <c r="F376">
        <f t="shared" si="29"/>
        <v>0</v>
      </c>
      <c r="G376">
        <v>9</v>
      </c>
      <c r="H376">
        <f t="shared" si="29"/>
        <v>1</v>
      </c>
      <c r="I376">
        <v>0</v>
      </c>
      <c r="J376">
        <f t="shared" si="25"/>
        <v>0</v>
      </c>
      <c r="K376">
        <v>0</v>
      </c>
      <c r="L376">
        <f t="shared" si="26"/>
        <v>0</v>
      </c>
      <c r="M376">
        <v>0</v>
      </c>
      <c r="N376">
        <f t="shared" si="27"/>
        <v>0</v>
      </c>
      <c r="O376">
        <v>0</v>
      </c>
      <c r="P376">
        <f t="shared" si="28"/>
        <v>0</v>
      </c>
    </row>
    <row r="377" spans="1:16" x14ac:dyDescent="0.25">
      <c r="A377" t="s">
        <v>114</v>
      </c>
      <c r="B377">
        <v>90</v>
      </c>
      <c r="C377">
        <v>10</v>
      </c>
      <c r="D377" t="s">
        <v>497</v>
      </c>
      <c r="E377">
        <v>0</v>
      </c>
      <c r="F377">
        <f t="shared" si="29"/>
        <v>0</v>
      </c>
      <c r="G377">
        <v>22</v>
      </c>
      <c r="H377">
        <f t="shared" si="29"/>
        <v>1</v>
      </c>
      <c r="I377">
        <v>0</v>
      </c>
      <c r="J377">
        <f t="shared" si="25"/>
        <v>0</v>
      </c>
      <c r="K377">
        <v>0</v>
      </c>
      <c r="L377">
        <f t="shared" si="26"/>
        <v>0</v>
      </c>
      <c r="M377">
        <v>0</v>
      </c>
      <c r="N377">
        <f t="shared" si="27"/>
        <v>0</v>
      </c>
      <c r="O377">
        <v>0</v>
      </c>
      <c r="P377">
        <f t="shared" si="28"/>
        <v>0</v>
      </c>
    </row>
    <row r="378" spans="1:16" x14ac:dyDescent="0.25">
      <c r="A378" t="s">
        <v>114</v>
      </c>
      <c r="B378">
        <v>69</v>
      </c>
      <c r="C378">
        <v>36</v>
      </c>
      <c r="D378" t="s">
        <v>498</v>
      </c>
      <c r="E378">
        <v>0</v>
      </c>
      <c r="F378">
        <f t="shared" si="29"/>
        <v>0</v>
      </c>
      <c r="G378">
        <v>7</v>
      </c>
      <c r="H378">
        <f t="shared" si="29"/>
        <v>1</v>
      </c>
      <c r="I378">
        <v>0</v>
      </c>
      <c r="J378">
        <f t="shared" si="25"/>
        <v>0</v>
      </c>
      <c r="K378">
        <v>0</v>
      </c>
      <c r="L378">
        <f t="shared" si="26"/>
        <v>0</v>
      </c>
      <c r="M378">
        <v>0</v>
      </c>
      <c r="N378">
        <f t="shared" si="27"/>
        <v>0</v>
      </c>
      <c r="O378">
        <v>0</v>
      </c>
      <c r="P378">
        <f t="shared" si="28"/>
        <v>0</v>
      </c>
    </row>
    <row r="379" spans="1:16" x14ac:dyDescent="0.25">
      <c r="A379" t="s">
        <v>116</v>
      </c>
      <c r="B379">
        <v>15</v>
      </c>
      <c r="C379">
        <v>28</v>
      </c>
      <c r="D379" t="s">
        <v>499</v>
      </c>
      <c r="E379">
        <v>0</v>
      </c>
      <c r="F379">
        <f t="shared" si="29"/>
        <v>0</v>
      </c>
      <c r="G379">
        <v>5</v>
      </c>
      <c r="H379">
        <f t="shared" si="29"/>
        <v>1</v>
      </c>
      <c r="I379">
        <v>0</v>
      </c>
      <c r="J379">
        <f t="shared" si="25"/>
        <v>0</v>
      </c>
      <c r="K379">
        <v>0</v>
      </c>
      <c r="L379">
        <f t="shared" si="26"/>
        <v>0</v>
      </c>
      <c r="M379">
        <v>0</v>
      </c>
      <c r="N379">
        <f t="shared" si="27"/>
        <v>0</v>
      </c>
      <c r="O379">
        <v>0</v>
      </c>
      <c r="P379">
        <f t="shared" si="28"/>
        <v>0</v>
      </c>
    </row>
    <row r="380" spans="1:16" x14ac:dyDescent="0.25">
      <c r="A380" t="s">
        <v>114</v>
      </c>
      <c r="B380">
        <v>50</v>
      </c>
      <c r="C380">
        <v>16</v>
      </c>
      <c r="D380" t="s">
        <v>500</v>
      </c>
      <c r="E380">
        <v>0</v>
      </c>
      <c r="F380">
        <f t="shared" si="29"/>
        <v>0</v>
      </c>
      <c r="G380">
        <v>9</v>
      </c>
      <c r="H380">
        <f t="shared" si="29"/>
        <v>1</v>
      </c>
      <c r="I380">
        <v>0</v>
      </c>
      <c r="J380">
        <f t="shared" si="25"/>
        <v>0</v>
      </c>
      <c r="K380">
        <v>0</v>
      </c>
      <c r="L380">
        <f t="shared" si="26"/>
        <v>0</v>
      </c>
      <c r="M380">
        <v>0</v>
      </c>
      <c r="N380">
        <f t="shared" si="27"/>
        <v>0</v>
      </c>
      <c r="O380">
        <v>0</v>
      </c>
      <c r="P380">
        <f t="shared" si="28"/>
        <v>0</v>
      </c>
    </row>
    <row r="381" spans="1:16" x14ac:dyDescent="0.25">
      <c r="A381" t="s">
        <v>114</v>
      </c>
      <c r="B381">
        <v>81</v>
      </c>
      <c r="C381">
        <v>6</v>
      </c>
      <c r="D381" t="s">
        <v>501</v>
      </c>
      <c r="E381">
        <v>0</v>
      </c>
      <c r="F381">
        <f t="shared" si="29"/>
        <v>0</v>
      </c>
      <c r="G381">
        <v>3</v>
      </c>
      <c r="H381">
        <f t="shared" si="29"/>
        <v>1</v>
      </c>
      <c r="I381">
        <v>0</v>
      </c>
      <c r="J381">
        <f t="shared" si="25"/>
        <v>0</v>
      </c>
      <c r="K381">
        <v>0</v>
      </c>
      <c r="L381">
        <f t="shared" si="26"/>
        <v>0</v>
      </c>
      <c r="M381">
        <v>0</v>
      </c>
      <c r="N381">
        <f t="shared" si="27"/>
        <v>0</v>
      </c>
      <c r="O381">
        <v>0</v>
      </c>
      <c r="P381">
        <f t="shared" si="28"/>
        <v>0</v>
      </c>
    </row>
    <row r="382" spans="1:16" x14ac:dyDescent="0.25">
      <c r="A382" t="s">
        <v>114</v>
      </c>
      <c r="B382">
        <v>64</v>
      </c>
      <c r="C382">
        <v>6</v>
      </c>
      <c r="D382" t="s">
        <v>502</v>
      </c>
      <c r="E382">
        <v>0</v>
      </c>
      <c r="F382">
        <f t="shared" si="29"/>
        <v>0</v>
      </c>
      <c r="G382">
        <v>7</v>
      </c>
      <c r="H382">
        <f t="shared" si="29"/>
        <v>1</v>
      </c>
      <c r="I382">
        <v>0</v>
      </c>
      <c r="J382">
        <f t="shared" si="25"/>
        <v>0</v>
      </c>
      <c r="K382">
        <v>0</v>
      </c>
      <c r="L382">
        <f t="shared" si="26"/>
        <v>0</v>
      </c>
      <c r="M382">
        <v>0</v>
      </c>
      <c r="N382">
        <f t="shared" si="27"/>
        <v>0</v>
      </c>
      <c r="O382">
        <v>0</v>
      </c>
      <c r="P382">
        <f t="shared" si="28"/>
        <v>0</v>
      </c>
    </row>
    <row r="383" spans="1:16" x14ac:dyDescent="0.25">
      <c r="A383" t="s">
        <v>114</v>
      </c>
      <c r="B383">
        <v>74</v>
      </c>
      <c r="C383">
        <v>2</v>
      </c>
      <c r="D383" t="s">
        <v>503</v>
      </c>
      <c r="E383">
        <v>0</v>
      </c>
      <c r="F383">
        <f t="shared" si="29"/>
        <v>0</v>
      </c>
      <c r="G383">
        <v>9</v>
      </c>
      <c r="H383">
        <f t="shared" si="29"/>
        <v>1</v>
      </c>
      <c r="I383">
        <v>0</v>
      </c>
      <c r="J383">
        <f t="shared" si="25"/>
        <v>0</v>
      </c>
      <c r="K383">
        <v>0</v>
      </c>
      <c r="L383">
        <f t="shared" si="26"/>
        <v>0</v>
      </c>
      <c r="M383">
        <v>0</v>
      </c>
      <c r="N383">
        <f t="shared" si="27"/>
        <v>0</v>
      </c>
      <c r="O383">
        <v>0</v>
      </c>
      <c r="P383">
        <f t="shared" si="28"/>
        <v>0</v>
      </c>
    </row>
    <row r="384" spans="1:16" x14ac:dyDescent="0.25">
      <c r="A384" t="s">
        <v>114</v>
      </c>
      <c r="B384">
        <v>81</v>
      </c>
      <c r="C384">
        <v>11</v>
      </c>
      <c r="D384" t="s">
        <v>504</v>
      </c>
      <c r="E384">
        <v>0</v>
      </c>
      <c r="F384">
        <f t="shared" si="29"/>
        <v>0</v>
      </c>
      <c r="G384">
        <v>7</v>
      </c>
      <c r="H384">
        <f t="shared" si="29"/>
        <v>1</v>
      </c>
      <c r="I384">
        <v>0</v>
      </c>
      <c r="J384">
        <f t="shared" si="25"/>
        <v>0</v>
      </c>
      <c r="K384">
        <v>0</v>
      </c>
      <c r="L384">
        <f t="shared" si="26"/>
        <v>0</v>
      </c>
      <c r="M384">
        <v>0</v>
      </c>
      <c r="N384">
        <f t="shared" si="27"/>
        <v>0</v>
      </c>
      <c r="O384">
        <v>0</v>
      </c>
      <c r="P384">
        <f t="shared" si="28"/>
        <v>0</v>
      </c>
    </row>
    <row r="385" spans="1:16" x14ac:dyDescent="0.25">
      <c r="A385" t="s">
        <v>114</v>
      </c>
      <c r="B385">
        <v>106</v>
      </c>
      <c r="C385">
        <v>5</v>
      </c>
      <c r="D385" t="s">
        <v>505</v>
      </c>
      <c r="E385">
        <v>0</v>
      </c>
      <c r="F385">
        <f t="shared" si="29"/>
        <v>0</v>
      </c>
      <c r="G385">
        <v>5</v>
      </c>
      <c r="H385">
        <f t="shared" si="29"/>
        <v>1</v>
      </c>
      <c r="I385">
        <v>0</v>
      </c>
      <c r="J385">
        <f t="shared" si="25"/>
        <v>0</v>
      </c>
      <c r="K385">
        <v>0</v>
      </c>
      <c r="L385">
        <f t="shared" si="26"/>
        <v>0</v>
      </c>
      <c r="M385">
        <v>0</v>
      </c>
      <c r="N385">
        <f t="shared" si="27"/>
        <v>0</v>
      </c>
      <c r="O385">
        <v>0</v>
      </c>
      <c r="P385">
        <f t="shared" si="28"/>
        <v>0</v>
      </c>
    </row>
    <row r="386" spans="1:16" x14ac:dyDescent="0.25">
      <c r="A386" t="s">
        <v>114</v>
      </c>
      <c r="B386">
        <v>112</v>
      </c>
      <c r="C386">
        <v>9</v>
      </c>
      <c r="D386" t="s">
        <v>506</v>
      </c>
      <c r="E386">
        <v>0</v>
      </c>
      <c r="F386">
        <f t="shared" si="29"/>
        <v>0</v>
      </c>
      <c r="G386">
        <v>5</v>
      </c>
      <c r="H386">
        <f t="shared" si="29"/>
        <v>1</v>
      </c>
      <c r="I386">
        <v>0</v>
      </c>
      <c r="J386">
        <f t="shared" ref="J386:J417" si="30">IF(I386=0,0,1)</f>
        <v>0</v>
      </c>
      <c r="K386">
        <v>0</v>
      </c>
      <c r="L386">
        <f t="shared" ref="L386:L417" si="31">IF(K386=0,0,1)</f>
        <v>0</v>
      </c>
      <c r="M386">
        <v>0</v>
      </c>
      <c r="N386">
        <f t="shared" ref="N386:N417" si="32">IF(M386=0,0,1)</f>
        <v>0</v>
      </c>
      <c r="O386">
        <v>0</v>
      </c>
      <c r="P386">
        <f t="shared" ref="P386:P417" si="33">IF(O386=0,0,1)</f>
        <v>0</v>
      </c>
    </row>
    <row r="387" spans="1:16" x14ac:dyDescent="0.25">
      <c r="A387" t="s">
        <v>114</v>
      </c>
      <c r="B387">
        <v>146</v>
      </c>
      <c r="C387">
        <v>8</v>
      </c>
      <c r="D387" t="s">
        <v>506</v>
      </c>
      <c r="E387">
        <v>0</v>
      </c>
      <c r="F387">
        <f t="shared" ref="F387:H417" si="34">IF(E387=0,0,1)</f>
        <v>0</v>
      </c>
      <c r="G387">
        <v>5</v>
      </c>
      <c r="H387">
        <f t="shared" si="34"/>
        <v>1</v>
      </c>
      <c r="I387">
        <v>0</v>
      </c>
      <c r="J387">
        <f t="shared" si="30"/>
        <v>0</v>
      </c>
      <c r="K387">
        <v>0</v>
      </c>
      <c r="L387">
        <f t="shared" si="31"/>
        <v>0</v>
      </c>
      <c r="M387">
        <v>0</v>
      </c>
      <c r="N387">
        <f t="shared" si="32"/>
        <v>0</v>
      </c>
      <c r="O387">
        <v>0</v>
      </c>
      <c r="P387">
        <f t="shared" si="33"/>
        <v>0</v>
      </c>
    </row>
    <row r="388" spans="1:16" x14ac:dyDescent="0.25">
      <c r="A388" t="s">
        <v>114</v>
      </c>
      <c r="B388">
        <v>4</v>
      </c>
      <c r="C388">
        <v>2</v>
      </c>
      <c r="D388" t="s">
        <v>507</v>
      </c>
      <c r="E388">
        <v>0</v>
      </c>
      <c r="F388">
        <f t="shared" si="34"/>
        <v>0</v>
      </c>
      <c r="G388">
        <v>9</v>
      </c>
      <c r="H388">
        <f t="shared" si="34"/>
        <v>1</v>
      </c>
      <c r="I388">
        <v>0</v>
      </c>
      <c r="J388">
        <f t="shared" si="30"/>
        <v>0</v>
      </c>
      <c r="K388">
        <v>0</v>
      </c>
      <c r="L388">
        <f t="shared" si="31"/>
        <v>0</v>
      </c>
      <c r="M388">
        <v>0</v>
      </c>
      <c r="N388">
        <f t="shared" si="32"/>
        <v>0</v>
      </c>
      <c r="O388">
        <v>0</v>
      </c>
      <c r="P388">
        <f t="shared" si="33"/>
        <v>0</v>
      </c>
    </row>
    <row r="389" spans="1:16" x14ac:dyDescent="0.25">
      <c r="A389" t="s">
        <v>114</v>
      </c>
      <c r="B389">
        <v>59</v>
      </c>
      <c r="C389">
        <v>8</v>
      </c>
      <c r="D389" t="s">
        <v>508</v>
      </c>
      <c r="E389">
        <v>0</v>
      </c>
      <c r="F389">
        <f t="shared" si="34"/>
        <v>0</v>
      </c>
      <c r="G389">
        <v>5</v>
      </c>
      <c r="H389">
        <f t="shared" si="34"/>
        <v>1</v>
      </c>
      <c r="I389">
        <v>0</v>
      </c>
      <c r="J389">
        <f t="shared" si="30"/>
        <v>0</v>
      </c>
      <c r="K389">
        <v>0</v>
      </c>
      <c r="L389">
        <f t="shared" si="31"/>
        <v>0</v>
      </c>
      <c r="M389">
        <v>0</v>
      </c>
      <c r="N389">
        <f t="shared" si="32"/>
        <v>0</v>
      </c>
      <c r="O389">
        <v>0</v>
      </c>
      <c r="P389">
        <f t="shared" si="33"/>
        <v>0</v>
      </c>
    </row>
    <row r="390" spans="1:16" x14ac:dyDescent="0.25">
      <c r="A390" t="s">
        <v>114</v>
      </c>
      <c r="B390">
        <v>78</v>
      </c>
      <c r="C390">
        <v>31</v>
      </c>
      <c r="D390" t="s">
        <v>509</v>
      </c>
      <c r="E390">
        <v>0</v>
      </c>
      <c r="F390">
        <f t="shared" si="34"/>
        <v>0</v>
      </c>
      <c r="G390">
        <v>9</v>
      </c>
      <c r="H390">
        <f t="shared" si="34"/>
        <v>1</v>
      </c>
      <c r="I390">
        <v>0</v>
      </c>
      <c r="J390">
        <f t="shared" si="30"/>
        <v>0</v>
      </c>
      <c r="K390">
        <v>0</v>
      </c>
      <c r="L390">
        <f t="shared" si="31"/>
        <v>0</v>
      </c>
      <c r="M390">
        <v>0</v>
      </c>
      <c r="N390">
        <f t="shared" si="32"/>
        <v>0</v>
      </c>
      <c r="O390">
        <v>0</v>
      </c>
      <c r="P390">
        <f t="shared" si="33"/>
        <v>0</v>
      </c>
    </row>
    <row r="391" spans="1:16" x14ac:dyDescent="0.25">
      <c r="A391" t="s">
        <v>114</v>
      </c>
      <c r="B391">
        <v>99</v>
      </c>
      <c r="C391">
        <v>9</v>
      </c>
      <c r="D391" t="s">
        <v>510</v>
      </c>
      <c r="E391">
        <v>0</v>
      </c>
      <c r="F391">
        <f t="shared" si="34"/>
        <v>0</v>
      </c>
      <c r="G391">
        <v>7</v>
      </c>
      <c r="H391">
        <f t="shared" si="34"/>
        <v>1</v>
      </c>
      <c r="I391">
        <v>0</v>
      </c>
      <c r="J391">
        <f t="shared" si="30"/>
        <v>0</v>
      </c>
      <c r="K391">
        <v>0</v>
      </c>
      <c r="L391">
        <f t="shared" si="31"/>
        <v>0</v>
      </c>
      <c r="M391">
        <v>0</v>
      </c>
      <c r="N391">
        <f t="shared" si="32"/>
        <v>0</v>
      </c>
      <c r="O391">
        <v>0</v>
      </c>
      <c r="P391">
        <f t="shared" si="33"/>
        <v>0</v>
      </c>
    </row>
    <row r="392" spans="1:16" x14ac:dyDescent="0.25">
      <c r="A392" t="s">
        <v>114</v>
      </c>
      <c r="B392">
        <v>89</v>
      </c>
      <c r="C392">
        <v>9</v>
      </c>
      <c r="D392" t="s">
        <v>511</v>
      </c>
      <c r="E392">
        <v>0</v>
      </c>
      <c r="F392">
        <f t="shared" si="34"/>
        <v>0</v>
      </c>
      <c r="G392">
        <v>5</v>
      </c>
      <c r="H392">
        <f t="shared" si="34"/>
        <v>1</v>
      </c>
      <c r="I392">
        <v>0</v>
      </c>
      <c r="J392">
        <f t="shared" si="30"/>
        <v>0</v>
      </c>
      <c r="K392">
        <v>0</v>
      </c>
      <c r="L392">
        <f t="shared" si="31"/>
        <v>0</v>
      </c>
      <c r="M392">
        <v>0</v>
      </c>
      <c r="N392">
        <f t="shared" si="32"/>
        <v>0</v>
      </c>
      <c r="O392">
        <v>0</v>
      </c>
      <c r="P392">
        <f t="shared" si="33"/>
        <v>0</v>
      </c>
    </row>
    <row r="393" spans="1:16" x14ac:dyDescent="0.25">
      <c r="A393" t="s">
        <v>116</v>
      </c>
      <c r="B393">
        <v>32</v>
      </c>
      <c r="C393">
        <v>5</v>
      </c>
      <c r="D393" t="s">
        <v>512</v>
      </c>
      <c r="E393">
        <v>0</v>
      </c>
      <c r="F393">
        <f t="shared" si="34"/>
        <v>0</v>
      </c>
      <c r="G393">
        <v>9</v>
      </c>
      <c r="H393">
        <f t="shared" si="34"/>
        <v>1</v>
      </c>
      <c r="I393">
        <v>0</v>
      </c>
      <c r="J393">
        <f t="shared" si="30"/>
        <v>0</v>
      </c>
      <c r="K393">
        <v>0</v>
      </c>
      <c r="L393">
        <f t="shared" si="31"/>
        <v>0</v>
      </c>
      <c r="M393">
        <v>0</v>
      </c>
      <c r="N393">
        <f t="shared" si="32"/>
        <v>0</v>
      </c>
      <c r="O393">
        <v>0</v>
      </c>
      <c r="P393">
        <f t="shared" si="33"/>
        <v>0</v>
      </c>
    </row>
    <row r="394" spans="1:16" x14ac:dyDescent="0.25">
      <c r="A394" t="s">
        <v>114</v>
      </c>
      <c r="B394">
        <v>99</v>
      </c>
      <c r="C394">
        <v>5</v>
      </c>
      <c r="D394" t="s">
        <v>513</v>
      </c>
      <c r="E394">
        <v>0</v>
      </c>
      <c r="F394">
        <f t="shared" si="34"/>
        <v>0</v>
      </c>
      <c r="G394">
        <v>7</v>
      </c>
      <c r="H394">
        <f t="shared" si="34"/>
        <v>1</v>
      </c>
      <c r="I394">
        <v>0</v>
      </c>
      <c r="J394">
        <f t="shared" si="30"/>
        <v>0</v>
      </c>
      <c r="K394">
        <v>0</v>
      </c>
      <c r="L394">
        <f t="shared" si="31"/>
        <v>0</v>
      </c>
      <c r="M394">
        <v>0</v>
      </c>
      <c r="N394">
        <f t="shared" si="32"/>
        <v>0</v>
      </c>
      <c r="O394">
        <v>0</v>
      </c>
      <c r="P394">
        <f t="shared" si="33"/>
        <v>0</v>
      </c>
    </row>
    <row r="395" spans="1:16" x14ac:dyDescent="0.25">
      <c r="A395" t="s">
        <v>114</v>
      </c>
      <c r="B395">
        <v>59</v>
      </c>
      <c r="C395">
        <v>6</v>
      </c>
      <c r="D395" t="s">
        <v>514</v>
      </c>
      <c r="E395">
        <v>0</v>
      </c>
      <c r="F395">
        <f t="shared" si="34"/>
        <v>0</v>
      </c>
      <c r="G395">
        <v>14</v>
      </c>
      <c r="H395">
        <f t="shared" si="34"/>
        <v>1</v>
      </c>
      <c r="I395">
        <v>0</v>
      </c>
      <c r="J395">
        <f t="shared" si="30"/>
        <v>0</v>
      </c>
      <c r="K395">
        <v>0</v>
      </c>
      <c r="L395">
        <f t="shared" si="31"/>
        <v>0</v>
      </c>
      <c r="M395">
        <v>0</v>
      </c>
      <c r="N395">
        <f t="shared" si="32"/>
        <v>0</v>
      </c>
      <c r="O395">
        <v>0</v>
      </c>
      <c r="P395">
        <f t="shared" si="33"/>
        <v>0</v>
      </c>
    </row>
    <row r="396" spans="1:16" x14ac:dyDescent="0.25">
      <c r="A396" t="s">
        <v>114</v>
      </c>
      <c r="B396">
        <v>11</v>
      </c>
      <c r="C396">
        <v>4</v>
      </c>
      <c r="D396" t="s">
        <v>515</v>
      </c>
      <c r="E396">
        <v>0</v>
      </c>
      <c r="F396">
        <f t="shared" si="34"/>
        <v>0</v>
      </c>
      <c r="G396">
        <v>7</v>
      </c>
      <c r="H396">
        <f t="shared" si="34"/>
        <v>1</v>
      </c>
      <c r="I396">
        <v>17</v>
      </c>
      <c r="J396">
        <f t="shared" si="30"/>
        <v>1</v>
      </c>
      <c r="K396">
        <v>0</v>
      </c>
      <c r="L396">
        <f t="shared" si="31"/>
        <v>0</v>
      </c>
      <c r="M396">
        <v>0</v>
      </c>
      <c r="N396">
        <f t="shared" si="32"/>
        <v>0</v>
      </c>
      <c r="O396">
        <v>0</v>
      </c>
      <c r="P396">
        <f t="shared" si="33"/>
        <v>0</v>
      </c>
    </row>
    <row r="397" spans="1:16" x14ac:dyDescent="0.25">
      <c r="A397" t="s">
        <v>114</v>
      </c>
      <c r="B397">
        <v>31</v>
      </c>
      <c r="C397">
        <v>23</v>
      </c>
      <c r="D397" t="s">
        <v>516</v>
      </c>
      <c r="E397">
        <v>0</v>
      </c>
      <c r="F397">
        <f t="shared" si="34"/>
        <v>0</v>
      </c>
      <c r="G397">
        <v>5</v>
      </c>
      <c r="H397">
        <f t="shared" si="34"/>
        <v>1</v>
      </c>
      <c r="I397">
        <v>15</v>
      </c>
      <c r="J397">
        <f t="shared" si="30"/>
        <v>1</v>
      </c>
      <c r="K397">
        <v>0</v>
      </c>
      <c r="L397">
        <f t="shared" si="31"/>
        <v>0</v>
      </c>
      <c r="M397">
        <v>0</v>
      </c>
      <c r="N397">
        <f t="shared" si="32"/>
        <v>0</v>
      </c>
      <c r="O397">
        <v>0</v>
      </c>
      <c r="P397">
        <f t="shared" si="33"/>
        <v>0</v>
      </c>
    </row>
    <row r="398" spans="1:16" x14ac:dyDescent="0.25">
      <c r="A398" t="s">
        <v>114</v>
      </c>
      <c r="B398">
        <v>106</v>
      </c>
      <c r="C398">
        <v>47</v>
      </c>
      <c r="D398" t="s">
        <v>517</v>
      </c>
      <c r="E398">
        <v>0</v>
      </c>
      <c r="F398">
        <f t="shared" si="34"/>
        <v>0</v>
      </c>
      <c r="G398">
        <v>7</v>
      </c>
      <c r="H398">
        <f t="shared" si="34"/>
        <v>1</v>
      </c>
      <c r="I398">
        <v>0</v>
      </c>
      <c r="J398">
        <f t="shared" si="30"/>
        <v>0</v>
      </c>
      <c r="K398">
        <v>17</v>
      </c>
      <c r="L398">
        <f t="shared" si="31"/>
        <v>1</v>
      </c>
      <c r="M398">
        <v>0</v>
      </c>
      <c r="N398">
        <f t="shared" si="32"/>
        <v>0</v>
      </c>
      <c r="O398">
        <v>0</v>
      </c>
      <c r="P398">
        <f t="shared" si="33"/>
        <v>0</v>
      </c>
    </row>
    <row r="399" spans="1:16" x14ac:dyDescent="0.25">
      <c r="A399" t="s">
        <v>114</v>
      </c>
      <c r="B399">
        <v>68</v>
      </c>
      <c r="C399">
        <v>15</v>
      </c>
      <c r="D399" t="s">
        <v>518</v>
      </c>
      <c r="E399">
        <v>0</v>
      </c>
      <c r="F399">
        <f t="shared" si="34"/>
        <v>0</v>
      </c>
      <c r="G399">
        <v>3</v>
      </c>
      <c r="H399">
        <f t="shared" si="34"/>
        <v>1</v>
      </c>
      <c r="I399">
        <v>0</v>
      </c>
      <c r="J399">
        <f t="shared" si="30"/>
        <v>0</v>
      </c>
      <c r="K399">
        <v>0</v>
      </c>
      <c r="L399">
        <f t="shared" si="31"/>
        <v>0</v>
      </c>
      <c r="M399">
        <v>0</v>
      </c>
      <c r="N399">
        <f t="shared" si="32"/>
        <v>0</v>
      </c>
      <c r="O399">
        <v>0</v>
      </c>
      <c r="P399">
        <f t="shared" si="33"/>
        <v>0</v>
      </c>
    </row>
    <row r="400" spans="1:16" x14ac:dyDescent="0.25">
      <c r="A400" t="s">
        <v>114</v>
      </c>
      <c r="B400">
        <v>118</v>
      </c>
      <c r="C400">
        <v>25</v>
      </c>
      <c r="D400" t="s">
        <v>519</v>
      </c>
      <c r="E400">
        <v>7</v>
      </c>
      <c r="F400">
        <f t="shared" si="34"/>
        <v>1</v>
      </c>
      <c r="G400">
        <v>0</v>
      </c>
      <c r="H400">
        <f t="shared" si="34"/>
        <v>0</v>
      </c>
      <c r="I400">
        <v>0</v>
      </c>
      <c r="J400">
        <f t="shared" si="30"/>
        <v>0</v>
      </c>
      <c r="K400">
        <v>0</v>
      </c>
      <c r="L400">
        <f t="shared" si="31"/>
        <v>0</v>
      </c>
      <c r="M400">
        <v>0</v>
      </c>
      <c r="N400">
        <f t="shared" si="32"/>
        <v>0</v>
      </c>
      <c r="O400">
        <v>0</v>
      </c>
      <c r="P400">
        <f t="shared" si="33"/>
        <v>0</v>
      </c>
    </row>
    <row r="401" spans="1:16" x14ac:dyDescent="0.25">
      <c r="A401" t="s">
        <v>114</v>
      </c>
      <c r="B401">
        <v>5</v>
      </c>
      <c r="C401">
        <v>5</v>
      </c>
      <c r="D401" t="s">
        <v>520</v>
      </c>
      <c r="E401">
        <v>7</v>
      </c>
      <c r="F401">
        <f t="shared" si="34"/>
        <v>1</v>
      </c>
      <c r="G401">
        <v>0</v>
      </c>
      <c r="H401">
        <f t="shared" si="34"/>
        <v>0</v>
      </c>
      <c r="I401">
        <v>0</v>
      </c>
      <c r="J401">
        <f t="shared" si="30"/>
        <v>0</v>
      </c>
      <c r="K401">
        <v>0</v>
      </c>
      <c r="L401">
        <f t="shared" si="31"/>
        <v>0</v>
      </c>
      <c r="M401">
        <v>0</v>
      </c>
      <c r="N401">
        <f t="shared" si="32"/>
        <v>0</v>
      </c>
      <c r="O401">
        <v>0</v>
      </c>
      <c r="P401">
        <f t="shared" si="33"/>
        <v>0</v>
      </c>
    </row>
    <row r="402" spans="1:16" x14ac:dyDescent="0.25">
      <c r="A402" t="s">
        <v>114</v>
      </c>
      <c r="B402">
        <v>72</v>
      </c>
      <c r="C402">
        <v>3</v>
      </c>
      <c r="D402" t="s">
        <v>521</v>
      </c>
      <c r="E402">
        <v>9</v>
      </c>
      <c r="F402">
        <f t="shared" si="34"/>
        <v>1</v>
      </c>
      <c r="G402">
        <v>0</v>
      </c>
      <c r="H402">
        <f t="shared" si="34"/>
        <v>0</v>
      </c>
      <c r="I402">
        <v>0</v>
      </c>
      <c r="J402">
        <f t="shared" si="30"/>
        <v>0</v>
      </c>
      <c r="K402">
        <v>0</v>
      </c>
      <c r="L402">
        <f t="shared" si="31"/>
        <v>0</v>
      </c>
      <c r="M402">
        <v>0</v>
      </c>
      <c r="N402">
        <f t="shared" si="32"/>
        <v>0</v>
      </c>
      <c r="O402">
        <v>0</v>
      </c>
      <c r="P402">
        <f t="shared" si="33"/>
        <v>0</v>
      </c>
    </row>
    <row r="403" spans="1:16" x14ac:dyDescent="0.25">
      <c r="A403" t="s">
        <v>114</v>
      </c>
      <c r="B403">
        <v>65</v>
      </c>
      <c r="C403">
        <v>2</v>
      </c>
      <c r="D403" t="s">
        <v>522</v>
      </c>
      <c r="E403">
        <v>15</v>
      </c>
      <c r="F403">
        <f t="shared" si="34"/>
        <v>1</v>
      </c>
      <c r="G403">
        <v>0</v>
      </c>
      <c r="H403">
        <f t="shared" si="34"/>
        <v>0</v>
      </c>
      <c r="I403">
        <v>0</v>
      </c>
      <c r="J403">
        <f t="shared" si="30"/>
        <v>0</v>
      </c>
      <c r="K403">
        <v>0</v>
      </c>
      <c r="L403">
        <f t="shared" si="31"/>
        <v>0</v>
      </c>
      <c r="M403">
        <v>0</v>
      </c>
      <c r="N403">
        <f t="shared" si="32"/>
        <v>0</v>
      </c>
      <c r="O403">
        <v>0</v>
      </c>
      <c r="P403">
        <f t="shared" si="33"/>
        <v>0</v>
      </c>
    </row>
    <row r="404" spans="1:16" x14ac:dyDescent="0.25">
      <c r="A404" t="s">
        <v>114</v>
      </c>
      <c r="B404">
        <v>89</v>
      </c>
      <c r="C404">
        <v>53</v>
      </c>
      <c r="D404" t="s">
        <v>523</v>
      </c>
      <c r="E404">
        <v>16</v>
      </c>
      <c r="F404">
        <f t="shared" si="34"/>
        <v>1</v>
      </c>
      <c r="G404">
        <v>0</v>
      </c>
      <c r="H404">
        <f t="shared" si="34"/>
        <v>0</v>
      </c>
      <c r="I404">
        <v>0</v>
      </c>
      <c r="J404">
        <f t="shared" si="30"/>
        <v>0</v>
      </c>
      <c r="K404">
        <v>0</v>
      </c>
      <c r="L404">
        <f t="shared" si="31"/>
        <v>0</v>
      </c>
      <c r="M404">
        <v>0</v>
      </c>
      <c r="N404">
        <f t="shared" si="32"/>
        <v>0</v>
      </c>
      <c r="O404">
        <v>0</v>
      </c>
      <c r="P404">
        <f t="shared" si="33"/>
        <v>0</v>
      </c>
    </row>
    <row r="405" spans="1:16" x14ac:dyDescent="0.25">
      <c r="A405" t="s">
        <v>116</v>
      </c>
      <c r="B405">
        <v>20</v>
      </c>
      <c r="C405">
        <v>27</v>
      </c>
      <c r="D405" t="s">
        <v>524</v>
      </c>
      <c r="E405">
        <v>18</v>
      </c>
      <c r="F405">
        <f t="shared" si="34"/>
        <v>1</v>
      </c>
      <c r="G405">
        <v>0</v>
      </c>
      <c r="H405">
        <f t="shared" si="34"/>
        <v>0</v>
      </c>
      <c r="I405">
        <v>0</v>
      </c>
      <c r="J405">
        <f t="shared" si="30"/>
        <v>0</v>
      </c>
      <c r="K405">
        <v>0</v>
      </c>
      <c r="L405">
        <f t="shared" si="31"/>
        <v>0</v>
      </c>
      <c r="M405">
        <v>0</v>
      </c>
      <c r="N405">
        <f t="shared" si="32"/>
        <v>0</v>
      </c>
      <c r="O405">
        <v>0</v>
      </c>
      <c r="P405">
        <f t="shared" si="33"/>
        <v>0</v>
      </c>
    </row>
    <row r="406" spans="1:16" x14ac:dyDescent="0.25">
      <c r="A406" t="s">
        <v>114</v>
      </c>
      <c r="B406">
        <v>10</v>
      </c>
      <c r="C406">
        <v>3</v>
      </c>
      <c r="D406" t="s">
        <v>525</v>
      </c>
      <c r="E406">
        <v>23</v>
      </c>
      <c r="F406">
        <f t="shared" si="34"/>
        <v>1</v>
      </c>
      <c r="G406">
        <v>0</v>
      </c>
      <c r="H406">
        <f t="shared" si="34"/>
        <v>0</v>
      </c>
      <c r="I406">
        <v>0</v>
      </c>
      <c r="J406">
        <f t="shared" si="30"/>
        <v>0</v>
      </c>
      <c r="K406">
        <v>0</v>
      </c>
      <c r="L406">
        <f t="shared" si="31"/>
        <v>0</v>
      </c>
      <c r="M406">
        <v>0</v>
      </c>
      <c r="N406">
        <f t="shared" si="32"/>
        <v>0</v>
      </c>
      <c r="O406">
        <v>0</v>
      </c>
      <c r="P406">
        <f t="shared" si="33"/>
        <v>0</v>
      </c>
    </row>
    <row r="407" spans="1:16" x14ac:dyDescent="0.25">
      <c r="A407" t="s">
        <v>114</v>
      </c>
      <c r="B407">
        <v>70</v>
      </c>
      <c r="C407">
        <v>4</v>
      </c>
      <c r="D407" t="s">
        <v>526</v>
      </c>
      <c r="E407">
        <v>16</v>
      </c>
      <c r="F407">
        <f t="shared" si="34"/>
        <v>1</v>
      </c>
      <c r="G407">
        <v>0</v>
      </c>
      <c r="H407">
        <f t="shared" si="34"/>
        <v>0</v>
      </c>
      <c r="I407">
        <v>0</v>
      </c>
      <c r="J407">
        <f t="shared" si="30"/>
        <v>0</v>
      </c>
      <c r="K407">
        <v>0</v>
      </c>
      <c r="L407">
        <f t="shared" si="31"/>
        <v>0</v>
      </c>
      <c r="M407">
        <v>0</v>
      </c>
      <c r="N407">
        <f t="shared" si="32"/>
        <v>0</v>
      </c>
      <c r="O407">
        <v>0</v>
      </c>
      <c r="P407">
        <f t="shared" si="33"/>
        <v>0</v>
      </c>
    </row>
    <row r="408" spans="1:16" x14ac:dyDescent="0.25">
      <c r="A408" t="s">
        <v>114</v>
      </c>
      <c r="B408">
        <v>40</v>
      </c>
      <c r="C408">
        <v>16</v>
      </c>
      <c r="D408" t="s">
        <v>527</v>
      </c>
      <c r="E408">
        <v>19</v>
      </c>
      <c r="F408">
        <f t="shared" si="34"/>
        <v>1</v>
      </c>
      <c r="G408">
        <v>0</v>
      </c>
      <c r="H408">
        <f t="shared" si="34"/>
        <v>0</v>
      </c>
      <c r="I408">
        <v>0</v>
      </c>
      <c r="J408">
        <f t="shared" si="30"/>
        <v>0</v>
      </c>
      <c r="K408">
        <v>0</v>
      </c>
      <c r="L408">
        <f t="shared" si="31"/>
        <v>0</v>
      </c>
      <c r="M408">
        <v>0</v>
      </c>
      <c r="N408">
        <f t="shared" si="32"/>
        <v>0</v>
      </c>
      <c r="O408">
        <v>0</v>
      </c>
      <c r="P408">
        <f t="shared" si="33"/>
        <v>0</v>
      </c>
    </row>
    <row r="409" spans="1:16" x14ac:dyDescent="0.25">
      <c r="A409" t="s">
        <v>114</v>
      </c>
      <c r="B409">
        <v>22</v>
      </c>
      <c r="C409">
        <v>9</v>
      </c>
      <c r="D409" t="s">
        <v>528</v>
      </c>
      <c r="E409">
        <v>16</v>
      </c>
      <c r="F409">
        <f t="shared" si="34"/>
        <v>1</v>
      </c>
      <c r="G409">
        <v>0</v>
      </c>
      <c r="H409">
        <f t="shared" si="34"/>
        <v>0</v>
      </c>
      <c r="I409">
        <v>0</v>
      </c>
      <c r="J409">
        <f t="shared" si="30"/>
        <v>0</v>
      </c>
      <c r="K409">
        <v>0</v>
      </c>
      <c r="L409">
        <f t="shared" si="31"/>
        <v>0</v>
      </c>
      <c r="M409">
        <v>0</v>
      </c>
      <c r="N409">
        <f t="shared" si="32"/>
        <v>0</v>
      </c>
      <c r="O409">
        <v>0</v>
      </c>
      <c r="P409">
        <f t="shared" si="33"/>
        <v>0</v>
      </c>
    </row>
    <row r="410" spans="1:16" x14ac:dyDescent="0.25">
      <c r="A410" t="s">
        <v>114</v>
      </c>
      <c r="B410">
        <v>18</v>
      </c>
      <c r="C410">
        <v>20</v>
      </c>
      <c r="D410" t="s">
        <v>529</v>
      </c>
      <c r="E410">
        <v>17</v>
      </c>
      <c r="F410">
        <f t="shared" si="34"/>
        <v>1</v>
      </c>
      <c r="G410">
        <v>0</v>
      </c>
      <c r="H410">
        <f t="shared" si="34"/>
        <v>0</v>
      </c>
      <c r="I410">
        <v>0</v>
      </c>
      <c r="J410">
        <f t="shared" si="30"/>
        <v>0</v>
      </c>
      <c r="K410">
        <v>0</v>
      </c>
      <c r="L410">
        <f t="shared" si="31"/>
        <v>0</v>
      </c>
      <c r="M410">
        <v>0</v>
      </c>
      <c r="N410">
        <f t="shared" si="32"/>
        <v>0</v>
      </c>
      <c r="O410">
        <v>0</v>
      </c>
      <c r="P410">
        <f t="shared" si="33"/>
        <v>0</v>
      </c>
    </row>
    <row r="411" spans="1:16" x14ac:dyDescent="0.25">
      <c r="A411" t="s">
        <v>114</v>
      </c>
      <c r="B411">
        <v>5</v>
      </c>
      <c r="C411">
        <v>7</v>
      </c>
      <c r="D411" t="s">
        <v>530</v>
      </c>
      <c r="E411">
        <v>23</v>
      </c>
      <c r="F411">
        <f t="shared" si="34"/>
        <v>1</v>
      </c>
      <c r="G411">
        <v>0</v>
      </c>
      <c r="H411">
        <f t="shared" si="34"/>
        <v>0</v>
      </c>
      <c r="I411">
        <v>3</v>
      </c>
      <c r="J411">
        <f t="shared" si="30"/>
        <v>1</v>
      </c>
      <c r="K411">
        <v>0</v>
      </c>
      <c r="L411">
        <f t="shared" si="31"/>
        <v>0</v>
      </c>
      <c r="M411">
        <v>0</v>
      </c>
      <c r="N411">
        <f t="shared" si="32"/>
        <v>0</v>
      </c>
      <c r="O411">
        <v>0</v>
      </c>
      <c r="P411">
        <f t="shared" si="33"/>
        <v>0</v>
      </c>
    </row>
    <row r="412" spans="1:16" x14ac:dyDescent="0.25">
      <c r="A412" t="s">
        <v>114</v>
      </c>
      <c r="B412">
        <v>72</v>
      </c>
      <c r="C412">
        <v>19</v>
      </c>
      <c r="D412" t="s">
        <v>531</v>
      </c>
      <c r="E412">
        <v>30</v>
      </c>
      <c r="F412">
        <f t="shared" si="34"/>
        <v>1</v>
      </c>
      <c r="G412">
        <v>0</v>
      </c>
      <c r="H412">
        <f t="shared" si="34"/>
        <v>0</v>
      </c>
      <c r="I412">
        <v>0</v>
      </c>
      <c r="J412">
        <f t="shared" si="30"/>
        <v>0</v>
      </c>
      <c r="K412">
        <v>0</v>
      </c>
      <c r="L412">
        <f t="shared" si="31"/>
        <v>0</v>
      </c>
      <c r="M412">
        <v>0</v>
      </c>
      <c r="N412">
        <f t="shared" si="32"/>
        <v>0</v>
      </c>
      <c r="O412">
        <v>0</v>
      </c>
      <c r="P412">
        <f t="shared" si="33"/>
        <v>0</v>
      </c>
    </row>
    <row r="413" spans="1:16" x14ac:dyDescent="0.25">
      <c r="A413" t="s">
        <v>114</v>
      </c>
      <c r="B413">
        <v>2</v>
      </c>
      <c r="C413">
        <v>7</v>
      </c>
      <c r="D413" t="s">
        <v>532</v>
      </c>
      <c r="E413">
        <v>22</v>
      </c>
      <c r="F413">
        <f t="shared" si="34"/>
        <v>1</v>
      </c>
      <c r="G413">
        <v>0</v>
      </c>
      <c r="H413">
        <f t="shared" si="34"/>
        <v>0</v>
      </c>
      <c r="I413">
        <v>0</v>
      </c>
      <c r="J413">
        <f t="shared" si="30"/>
        <v>0</v>
      </c>
      <c r="K413">
        <v>0</v>
      </c>
      <c r="L413">
        <f t="shared" si="31"/>
        <v>0</v>
      </c>
      <c r="M413">
        <v>0</v>
      </c>
      <c r="N413">
        <f t="shared" si="32"/>
        <v>0</v>
      </c>
      <c r="O413">
        <v>0</v>
      </c>
      <c r="P413">
        <f t="shared" si="33"/>
        <v>0</v>
      </c>
    </row>
    <row r="414" spans="1:16" x14ac:dyDescent="0.25">
      <c r="A414" t="s">
        <v>114</v>
      </c>
      <c r="B414">
        <v>18</v>
      </c>
      <c r="C414">
        <v>1</v>
      </c>
      <c r="D414" t="s">
        <v>533</v>
      </c>
      <c r="E414">
        <v>40</v>
      </c>
      <c r="F414">
        <f t="shared" si="34"/>
        <v>1</v>
      </c>
      <c r="G414">
        <v>0</v>
      </c>
      <c r="H414">
        <f t="shared" si="34"/>
        <v>0</v>
      </c>
      <c r="I414">
        <v>0</v>
      </c>
      <c r="J414">
        <f t="shared" si="30"/>
        <v>0</v>
      </c>
      <c r="K414">
        <v>0</v>
      </c>
      <c r="L414">
        <f t="shared" si="31"/>
        <v>0</v>
      </c>
      <c r="M414">
        <v>0</v>
      </c>
      <c r="N414">
        <f t="shared" si="32"/>
        <v>0</v>
      </c>
      <c r="O414">
        <v>0</v>
      </c>
      <c r="P414">
        <f t="shared" si="33"/>
        <v>0</v>
      </c>
    </row>
    <row r="415" spans="1:16" x14ac:dyDescent="0.25">
      <c r="A415" t="s">
        <v>114</v>
      </c>
      <c r="B415">
        <v>31</v>
      </c>
      <c r="C415">
        <v>22</v>
      </c>
      <c r="D415" t="s">
        <v>534</v>
      </c>
      <c r="E415">
        <v>12</v>
      </c>
      <c r="F415">
        <f t="shared" si="34"/>
        <v>1</v>
      </c>
      <c r="G415">
        <v>0</v>
      </c>
      <c r="H415">
        <f t="shared" si="34"/>
        <v>0</v>
      </c>
      <c r="I415">
        <v>0</v>
      </c>
      <c r="J415">
        <f t="shared" si="30"/>
        <v>0</v>
      </c>
      <c r="K415">
        <v>0</v>
      </c>
      <c r="L415">
        <f t="shared" si="31"/>
        <v>0</v>
      </c>
      <c r="M415">
        <v>0</v>
      </c>
      <c r="N415">
        <f t="shared" si="32"/>
        <v>0</v>
      </c>
      <c r="O415">
        <v>0</v>
      </c>
      <c r="P415">
        <f t="shared" si="33"/>
        <v>0</v>
      </c>
    </row>
    <row r="416" spans="1:16" x14ac:dyDescent="0.25">
      <c r="A416" t="s">
        <v>114</v>
      </c>
      <c r="B416">
        <v>66</v>
      </c>
      <c r="C416">
        <v>20</v>
      </c>
      <c r="D416" t="s">
        <v>535</v>
      </c>
      <c r="E416">
        <v>14</v>
      </c>
      <c r="F416">
        <f t="shared" si="34"/>
        <v>1</v>
      </c>
      <c r="G416">
        <v>0</v>
      </c>
      <c r="H416">
        <f t="shared" si="34"/>
        <v>0</v>
      </c>
      <c r="I416">
        <v>0</v>
      </c>
      <c r="J416">
        <f t="shared" si="30"/>
        <v>0</v>
      </c>
      <c r="K416">
        <v>0</v>
      </c>
      <c r="L416">
        <f t="shared" si="31"/>
        <v>0</v>
      </c>
      <c r="M416">
        <v>0</v>
      </c>
      <c r="N416">
        <f t="shared" si="32"/>
        <v>0</v>
      </c>
      <c r="O416">
        <v>0</v>
      </c>
      <c r="P416">
        <f t="shared" si="33"/>
        <v>0</v>
      </c>
    </row>
    <row r="417" spans="1:16" x14ac:dyDescent="0.25">
      <c r="A417" t="s">
        <v>114</v>
      </c>
      <c r="B417">
        <v>19</v>
      </c>
      <c r="C417">
        <v>2</v>
      </c>
      <c r="D417" t="s">
        <v>536</v>
      </c>
      <c r="E417">
        <v>17</v>
      </c>
      <c r="F417">
        <f t="shared" si="34"/>
        <v>1</v>
      </c>
      <c r="G417">
        <v>0</v>
      </c>
      <c r="H417">
        <f t="shared" si="34"/>
        <v>0</v>
      </c>
      <c r="I417">
        <v>0</v>
      </c>
      <c r="J417">
        <f t="shared" si="30"/>
        <v>0</v>
      </c>
      <c r="K417">
        <v>0</v>
      </c>
      <c r="L417">
        <f t="shared" si="31"/>
        <v>0</v>
      </c>
      <c r="M417">
        <v>0</v>
      </c>
      <c r="N417">
        <f t="shared" si="32"/>
        <v>0</v>
      </c>
      <c r="O417">
        <v>0</v>
      </c>
      <c r="P417">
        <f t="shared" si="33"/>
        <v>0</v>
      </c>
    </row>
    <row r="418" spans="1:16" x14ac:dyDescent="0.25">
      <c r="E418">
        <f>SUM(E2:E417)</f>
        <v>351</v>
      </c>
      <c r="G418">
        <f>SUM(G2:G417)</f>
        <v>926</v>
      </c>
      <c r="I418">
        <f>SUM(I2:I417)</f>
        <v>1403</v>
      </c>
      <c r="K418">
        <f>SUM(K2:K417)</f>
        <v>292</v>
      </c>
      <c r="M418">
        <f>SUM(M2:M417)</f>
        <v>107</v>
      </c>
      <c r="O418">
        <f>SUM(O2:O417)</f>
        <v>168</v>
      </c>
    </row>
    <row r="419" spans="1:16" x14ac:dyDescent="0.25">
      <c r="E419" s="19" t="s">
        <v>131</v>
      </c>
      <c r="F419" s="19">
        <f>SUM(F2:F417)</f>
        <v>19</v>
      </c>
      <c r="G419" s="19" t="s">
        <v>134</v>
      </c>
      <c r="H419" s="19">
        <f>SUM(H2:H417)</f>
        <v>168</v>
      </c>
      <c r="I419" s="18" t="s">
        <v>129</v>
      </c>
      <c r="J419" s="18">
        <f>SUM(J2:J417)</f>
        <v>180</v>
      </c>
      <c r="K419" s="18" t="s">
        <v>130</v>
      </c>
      <c r="L419" s="18">
        <f>SUM(L2:L417)</f>
        <v>31</v>
      </c>
      <c r="M419" s="18" t="s">
        <v>131</v>
      </c>
      <c r="N419" s="18">
        <f>SUM(N2:N417)</f>
        <v>12</v>
      </c>
      <c r="O419" s="18" t="s">
        <v>134</v>
      </c>
      <c r="P419" s="18">
        <f>SUM(P2:P417)</f>
        <v>22</v>
      </c>
    </row>
    <row r="420" spans="1:16" x14ac:dyDescent="0.25">
      <c r="E420" s="19" t="s">
        <v>537</v>
      </c>
      <c r="F420" s="19"/>
      <c r="G420" s="19"/>
      <c r="H420" s="19"/>
      <c r="I420" s="18" t="s">
        <v>539</v>
      </c>
      <c r="J420" s="18"/>
      <c r="K420" s="18"/>
      <c r="L420" s="18"/>
      <c r="M420" s="18"/>
      <c r="N420" s="18"/>
      <c r="O420" s="18"/>
      <c r="P420" s="18"/>
    </row>
    <row r="421" spans="1:16" x14ac:dyDescent="0.25">
      <c r="E421" t="s">
        <v>538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7"/>
  <sheetViews>
    <sheetView topLeftCell="A107" workbookViewId="0">
      <selection activeCell="G103" sqref="G103"/>
    </sheetView>
  </sheetViews>
  <sheetFormatPr defaultRowHeight="15" x14ac:dyDescent="0.25"/>
  <cols>
    <col min="4" max="4" width="15.7109375" customWidth="1"/>
    <col min="8" max="8" width="10.140625" bestFit="1" customWidth="1"/>
    <col min="9" max="9" width="14.85546875" bestFit="1" customWidth="1"/>
    <col min="14" max="14" width="15.140625" bestFit="1" customWidth="1"/>
  </cols>
  <sheetData>
    <row r="1" spans="2:21" x14ac:dyDescent="0.25">
      <c r="E1" t="s">
        <v>17</v>
      </c>
    </row>
    <row r="2" spans="2:21" x14ac:dyDescent="0.25">
      <c r="B2" t="s">
        <v>16</v>
      </c>
      <c r="D2" t="s">
        <v>12</v>
      </c>
      <c r="E2" t="s">
        <v>13</v>
      </c>
      <c r="F2" t="s">
        <v>14</v>
      </c>
      <c r="G2" t="s">
        <v>15</v>
      </c>
      <c r="I2" t="s">
        <v>18</v>
      </c>
    </row>
    <row r="3" spans="2:21" x14ac:dyDescent="0.25">
      <c r="B3">
        <f>SUM(E3:G3)</f>
        <v>3143</v>
      </c>
      <c r="D3" t="s">
        <v>0</v>
      </c>
      <c r="E3">
        <v>1838</v>
      </c>
      <c r="F3">
        <v>599</v>
      </c>
      <c r="G3">
        <v>706</v>
      </c>
      <c r="I3" s="1">
        <f>E3/$E$16</f>
        <v>0.72734467748318166</v>
      </c>
      <c r="J3" s="1">
        <f>F3/$F$16</f>
        <v>0.65464480874316944</v>
      </c>
      <c r="K3" s="1">
        <f>G3/$G$16</f>
        <v>0.70741482965931868</v>
      </c>
      <c r="L3" t="s">
        <v>19</v>
      </c>
    </row>
    <row r="4" spans="2:21" x14ac:dyDescent="0.25">
      <c r="B4" t="s">
        <v>16</v>
      </c>
      <c r="D4" t="s">
        <v>12</v>
      </c>
      <c r="E4" t="s">
        <v>13</v>
      </c>
      <c r="F4" t="s">
        <v>14</v>
      </c>
      <c r="G4" t="s">
        <v>15</v>
      </c>
      <c r="H4" t="str">
        <f>D4</f>
        <v>Opening</v>
      </c>
      <c r="I4" t="str">
        <f>E4</f>
        <v>Psalms</v>
      </c>
      <c r="J4" t="str">
        <f>F4</f>
        <v xml:space="preserve">Proverbs  </v>
      </c>
      <c r="K4" t="str">
        <f>G4</f>
        <v>Job</v>
      </c>
      <c r="N4" t="str">
        <f>H4</f>
        <v>Opening</v>
      </c>
      <c r="O4" t="str">
        <f>I4</f>
        <v>Psalms</v>
      </c>
      <c r="P4" t="str">
        <f>J4</f>
        <v xml:space="preserve">Proverbs  </v>
      </c>
      <c r="Q4" t="str">
        <f>K4</f>
        <v>Job</v>
      </c>
      <c r="R4" t="str">
        <f>N4</f>
        <v>Opening</v>
      </c>
      <c r="S4" t="str">
        <f>O4</f>
        <v>Psalms</v>
      </c>
      <c r="T4" t="str">
        <f>P4</f>
        <v xml:space="preserve">Proverbs  </v>
      </c>
      <c r="U4" t="str">
        <f>Q4</f>
        <v>Job</v>
      </c>
    </row>
    <row r="5" spans="2:21" ht="15.75" thickBot="1" x14ac:dyDescent="0.3">
      <c r="B5">
        <f t="shared" ref="B5:B15" si="0">SUM(E5:G5)</f>
        <v>9</v>
      </c>
      <c r="D5" s="2" t="s">
        <v>6</v>
      </c>
      <c r="E5" s="2">
        <v>9</v>
      </c>
      <c r="F5" s="2">
        <v>0</v>
      </c>
      <c r="G5" s="2">
        <v>0</v>
      </c>
      <c r="H5" s="2" t="s">
        <v>6</v>
      </c>
      <c r="I5" s="3">
        <f t="shared" ref="I5:I15" si="1">E5/$E$16</f>
        <v>3.5615354174910962E-3</v>
      </c>
      <c r="J5" s="3">
        <f t="shared" ref="J5:J15" si="2">F5/$F$16</f>
        <v>0</v>
      </c>
      <c r="K5" s="3">
        <f t="shared" ref="K5:K15" si="3">G5/$G$16</f>
        <v>0</v>
      </c>
      <c r="N5" s="7" t="s">
        <v>21</v>
      </c>
      <c r="O5">
        <f>E5+E3</f>
        <v>1847</v>
      </c>
      <c r="P5">
        <f>F5+F3</f>
        <v>599</v>
      </c>
      <c r="Q5">
        <f>G5+G3</f>
        <v>706</v>
      </c>
      <c r="R5" s="7" t="s">
        <v>21</v>
      </c>
      <c r="S5" s="6">
        <f t="shared" ref="S5:U9" si="4">O5/O$10</f>
        <v>0.7309062129006727</v>
      </c>
      <c r="T5" s="6">
        <f t="shared" si="4"/>
        <v>0.65464480874316944</v>
      </c>
      <c r="U5" s="6">
        <f t="shared" si="4"/>
        <v>0.70741482965931868</v>
      </c>
    </row>
    <row r="6" spans="2:21" x14ac:dyDescent="0.25">
      <c r="B6">
        <f t="shared" si="0"/>
        <v>57</v>
      </c>
      <c r="D6" t="s">
        <v>5</v>
      </c>
      <c r="E6">
        <v>42</v>
      </c>
      <c r="F6">
        <v>9</v>
      </c>
      <c r="G6">
        <v>6</v>
      </c>
      <c r="H6" t="s">
        <v>5</v>
      </c>
      <c r="I6" s="1">
        <f t="shared" si="1"/>
        <v>1.662049861495845E-2</v>
      </c>
      <c r="J6" s="1">
        <f t="shared" si="2"/>
        <v>9.8360655737704927E-3</v>
      </c>
      <c r="K6" s="1">
        <f t="shared" si="3"/>
        <v>6.0120240480961923E-3</v>
      </c>
      <c r="N6" s="7" t="s">
        <v>22</v>
      </c>
      <c r="O6">
        <f>E6+E7+E8</f>
        <v>49</v>
      </c>
      <c r="P6">
        <f>F6+F7+F8</f>
        <v>16</v>
      </c>
      <c r="Q6">
        <f>G6+G7+G8</f>
        <v>7</v>
      </c>
      <c r="R6" s="7" t="s">
        <v>22</v>
      </c>
      <c r="S6" s="6">
        <f t="shared" si="4"/>
        <v>1.9390581717451522E-2</v>
      </c>
      <c r="T6" s="6">
        <f t="shared" si="4"/>
        <v>1.7486338797814208E-2</v>
      </c>
      <c r="U6" s="6">
        <f t="shared" si="4"/>
        <v>7.0140280561122245E-3</v>
      </c>
    </row>
    <row r="7" spans="2:21" x14ac:dyDescent="0.25">
      <c r="B7">
        <f t="shared" si="0"/>
        <v>12</v>
      </c>
      <c r="D7" t="s">
        <v>7</v>
      </c>
      <c r="E7">
        <v>4</v>
      </c>
      <c r="F7">
        <v>7</v>
      </c>
      <c r="G7">
        <v>1</v>
      </c>
      <c r="H7" t="s">
        <v>7</v>
      </c>
      <c r="I7" s="1">
        <f t="shared" si="1"/>
        <v>1.5829046299960427E-3</v>
      </c>
      <c r="J7" s="1">
        <f t="shared" si="2"/>
        <v>7.6502732240437158E-3</v>
      </c>
      <c r="K7" s="1">
        <f t="shared" si="3"/>
        <v>1.002004008016032E-3</v>
      </c>
      <c r="N7" s="7" t="s">
        <v>23</v>
      </c>
      <c r="O7">
        <f>E9+E10</f>
        <v>366</v>
      </c>
      <c r="P7">
        <f>F9+F10</f>
        <v>129</v>
      </c>
      <c r="Q7">
        <f>G9+G10</f>
        <v>184</v>
      </c>
      <c r="R7" s="7" t="s">
        <v>23</v>
      </c>
      <c r="S7" s="6">
        <f t="shared" si="4"/>
        <v>0.1448357736446379</v>
      </c>
      <c r="T7" s="6">
        <f t="shared" si="4"/>
        <v>0.14098360655737704</v>
      </c>
      <c r="U7" s="6">
        <f t="shared" si="4"/>
        <v>0.18436873747494989</v>
      </c>
    </row>
    <row r="8" spans="2:21" x14ac:dyDescent="0.25">
      <c r="B8">
        <f t="shared" si="0"/>
        <v>3</v>
      </c>
      <c r="D8" s="4" t="s">
        <v>8</v>
      </c>
      <c r="E8" s="4">
        <v>3</v>
      </c>
      <c r="F8" s="4">
        <v>0</v>
      </c>
      <c r="G8" s="4">
        <v>0</v>
      </c>
      <c r="H8" s="4" t="s">
        <v>8</v>
      </c>
      <c r="I8" s="5">
        <f t="shared" si="1"/>
        <v>1.1871784724970321E-3</v>
      </c>
      <c r="J8" s="5">
        <f t="shared" si="2"/>
        <v>0</v>
      </c>
      <c r="K8" s="5">
        <f t="shared" si="3"/>
        <v>0</v>
      </c>
      <c r="N8" s="7" t="s">
        <v>24</v>
      </c>
      <c r="O8">
        <f>E11+E12</f>
        <v>86</v>
      </c>
      <c r="P8">
        <f>F11+F12</f>
        <v>116</v>
      </c>
      <c r="Q8">
        <f>G11+G12</f>
        <v>33</v>
      </c>
      <c r="R8" s="7" t="s">
        <v>24</v>
      </c>
      <c r="S8" s="6">
        <f t="shared" si="4"/>
        <v>3.4032449544914918E-2</v>
      </c>
      <c r="T8" s="6">
        <f t="shared" si="4"/>
        <v>0.126775956284153</v>
      </c>
      <c r="U8" s="6">
        <f t="shared" si="4"/>
        <v>3.3066132264529056E-2</v>
      </c>
    </row>
    <row r="9" spans="2:21" x14ac:dyDescent="0.25">
      <c r="B9">
        <f t="shared" si="0"/>
        <v>661</v>
      </c>
      <c r="D9" t="s">
        <v>1</v>
      </c>
      <c r="E9">
        <v>363</v>
      </c>
      <c r="F9">
        <v>118</v>
      </c>
      <c r="G9">
        <v>180</v>
      </c>
      <c r="H9" t="s">
        <v>1</v>
      </c>
      <c r="I9" s="1">
        <f t="shared" si="1"/>
        <v>0.14364859517214087</v>
      </c>
      <c r="J9" s="1">
        <f t="shared" si="2"/>
        <v>0.12896174863387977</v>
      </c>
      <c r="K9" s="1">
        <f t="shared" si="3"/>
        <v>0.18036072144288579</v>
      </c>
      <c r="N9" s="7" t="s">
        <v>25</v>
      </c>
      <c r="O9">
        <f>E13+E14+E15</f>
        <v>179</v>
      </c>
      <c r="P9">
        <f>F13+F14+F15</f>
        <v>55</v>
      </c>
      <c r="Q9">
        <f>G13+G14+G15</f>
        <v>68</v>
      </c>
      <c r="R9" s="7" t="s">
        <v>25</v>
      </c>
      <c r="S9" s="6">
        <f t="shared" si="4"/>
        <v>7.0834982192322912E-2</v>
      </c>
      <c r="T9" s="6">
        <f t="shared" si="4"/>
        <v>6.0109289617486336E-2</v>
      </c>
      <c r="U9" s="6">
        <f t="shared" si="4"/>
        <v>6.8136272545090179E-2</v>
      </c>
    </row>
    <row r="10" spans="2:21" x14ac:dyDescent="0.25">
      <c r="B10">
        <f t="shared" si="0"/>
        <v>18</v>
      </c>
      <c r="D10" s="4" t="s">
        <v>9</v>
      </c>
      <c r="E10" s="4">
        <v>3</v>
      </c>
      <c r="F10" s="4">
        <v>11</v>
      </c>
      <c r="G10" s="4">
        <v>4</v>
      </c>
      <c r="H10" s="4" t="s">
        <v>9</v>
      </c>
      <c r="I10" s="5">
        <f t="shared" si="1"/>
        <v>1.1871784724970321E-3</v>
      </c>
      <c r="J10" s="5">
        <f t="shared" si="2"/>
        <v>1.2021857923497269E-2</v>
      </c>
      <c r="K10" s="5">
        <f t="shared" si="3"/>
        <v>4.0080160320641279E-3</v>
      </c>
      <c r="O10">
        <f>SUM(O5:O9)</f>
        <v>2527</v>
      </c>
      <c r="P10">
        <f>SUM(P5:P9)</f>
        <v>915</v>
      </c>
      <c r="Q10">
        <f>SUM(Q5:Q9)</f>
        <v>998</v>
      </c>
      <c r="R10">
        <f>SUM(O10:Q10)</f>
        <v>4440</v>
      </c>
      <c r="S10">
        <f>SUM(S5:S9)</f>
        <v>1</v>
      </c>
      <c r="T10">
        <f>SUM(T5:T9)</f>
        <v>1.0000000000000002</v>
      </c>
      <c r="U10">
        <f>SUM(U5:U9)</f>
        <v>0.99999999999999989</v>
      </c>
    </row>
    <row r="11" spans="2:21" x14ac:dyDescent="0.25">
      <c r="B11">
        <f t="shared" si="0"/>
        <v>231</v>
      </c>
      <c r="D11" t="s">
        <v>3</v>
      </c>
      <c r="E11">
        <v>84</v>
      </c>
      <c r="F11">
        <v>115</v>
      </c>
      <c r="G11">
        <v>32</v>
      </c>
      <c r="H11" t="s">
        <v>3</v>
      </c>
      <c r="I11" s="1">
        <f t="shared" si="1"/>
        <v>3.3240997229916899E-2</v>
      </c>
      <c r="J11" s="1">
        <f t="shared" si="2"/>
        <v>0.12568306010928962</v>
      </c>
      <c r="K11" s="1">
        <f t="shared" si="3"/>
        <v>3.2064128256513023E-2</v>
      </c>
      <c r="O11">
        <f>SUM(E5:E15)</f>
        <v>689</v>
      </c>
      <c r="P11">
        <f>SUM(F5:F15)</f>
        <v>316</v>
      </c>
      <c r="Q11">
        <f>SUM(G5:G15)</f>
        <v>292</v>
      </c>
      <c r="R11">
        <f>SUM(O11:Q11)</f>
        <v>1297</v>
      </c>
    </row>
    <row r="12" spans="2:21" x14ac:dyDescent="0.25">
      <c r="B12">
        <f t="shared" si="0"/>
        <v>4</v>
      </c>
      <c r="D12" s="4" t="s">
        <v>10</v>
      </c>
      <c r="E12" s="4">
        <v>2</v>
      </c>
      <c r="F12" s="4">
        <v>1</v>
      </c>
      <c r="G12" s="4">
        <v>1</v>
      </c>
      <c r="H12" s="4" t="s">
        <v>10</v>
      </c>
      <c r="I12" s="5">
        <f t="shared" si="1"/>
        <v>7.9145231499802137E-4</v>
      </c>
      <c r="J12" s="5">
        <f t="shared" si="2"/>
        <v>1.092896174863388E-3</v>
      </c>
      <c r="K12" s="5">
        <f t="shared" si="3"/>
        <v>1.002004008016032E-3</v>
      </c>
      <c r="O12" s="6">
        <f>O11/O10</f>
        <v>0.27265532251681834</v>
      </c>
      <c r="P12" s="6">
        <f>P11/P10</f>
        <v>0.34535519125683062</v>
      </c>
      <c r="Q12" s="6">
        <f>Q11/Q10</f>
        <v>0.29258517034068138</v>
      </c>
      <c r="R12" s="6">
        <f>R11/R10</f>
        <v>0.29211711711711713</v>
      </c>
    </row>
    <row r="13" spans="2:21" x14ac:dyDescent="0.25">
      <c r="B13">
        <f t="shared" si="0"/>
        <v>245</v>
      </c>
      <c r="D13" t="s">
        <v>2</v>
      </c>
      <c r="E13">
        <v>134</v>
      </c>
      <c r="F13">
        <v>50</v>
      </c>
      <c r="G13">
        <v>61</v>
      </c>
      <c r="H13" t="s">
        <v>2</v>
      </c>
      <c r="I13" s="1">
        <f t="shared" si="1"/>
        <v>5.3027305104867431E-2</v>
      </c>
      <c r="J13" s="1">
        <f t="shared" si="2"/>
        <v>5.4644808743169397E-2</v>
      </c>
      <c r="K13" s="1">
        <f t="shared" si="3"/>
        <v>6.1122244488977955E-2</v>
      </c>
      <c r="O13" s="6">
        <f>(E13+E14+E15)/O11</f>
        <v>0.25979680696661828</v>
      </c>
      <c r="P13" s="6">
        <f>(F13+F14+F15)/P11</f>
        <v>0.17405063291139242</v>
      </c>
      <c r="Q13" s="6">
        <f>(G13+G14+G15)/Q11</f>
        <v>0.23287671232876711</v>
      </c>
    </row>
    <row r="14" spans="2:21" x14ac:dyDescent="0.25">
      <c r="B14">
        <f t="shared" si="0"/>
        <v>56</v>
      </c>
      <c r="D14" t="s">
        <v>4</v>
      </c>
      <c r="E14">
        <v>44</v>
      </c>
      <c r="F14">
        <v>5</v>
      </c>
      <c r="G14">
        <v>7</v>
      </c>
      <c r="H14" t="s">
        <v>4</v>
      </c>
      <c r="I14" s="1">
        <f t="shared" si="1"/>
        <v>1.7411950929956468E-2</v>
      </c>
      <c r="J14" s="1">
        <f t="shared" si="2"/>
        <v>5.4644808743169399E-3</v>
      </c>
      <c r="K14" s="1">
        <f t="shared" si="3"/>
        <v>7.0140280561122245E-3</v>
      </c>
    </row>
    <row r="15" spans="2:21" x14ac:dyDescent="0.25">
      <c r="B15">
        <f t="shared" si="0"/>
        <v>1</v>
      </c>
      <c r="D15" s="4" t="s">
        <v>11</v>
      </c>
      <c r="E15" s="4">
        <v>1</v>
      </c>
      <c r="F15" s="4">
        <v>0</v>
      </c>
      <c r="G15" s="4">
        <v>0</v>
      </c>
      <c r="H15" s="4" t="s">
        <v>11</v>
      </c>
      <c r="I15" s="5">
        <f t="shared" si="1"/>
        <v>3.9572615749901069E-4</v>
      </c>
      <c r="J15" s="5">
        <f t="shared" si="2"/>
        <v>0</v>
      </c>
      <c r="K15" s="5">
        <f t="shared" si="3"/>
        <v>0</v>
      </c>
      <c r="L15" t="s">
        <v>20</v>
      </c>
    </row>
    <row r="16" spans="2:21" x14ac:dyDescent="0.25">
      <c r="B16">
        <f>SUM(B3:B15)</f>
        <v>4440</v>
      </c>
      <c r="D16" t="s">
        <v>16</v>
      </c>
      <c r="E16">
        <f>SUM(E3:E15)</f>
        <v>2527</v>
      </c>
      <c r="F16">
        <f>SUM(F3:F15)</f>
        <v>915</v>
      </c>
      <c r="G16">
        <f>SUM(G3:G15)</f>
        <v>998</v>
      </c>
      <c r="I16">
        <f>SUM(I3:I15)</f>
        <v>1</v>
      </c>
      <c r="J16">
        <f>SUM(J3:J15)</f>
        <v>1</v>
      </c>
      <c r="K16">
        <f>SUM(K3:K15)</f>
        <v>1</v>
      </c>
    </row>
    <row r="17" spans="2:7" x14ac:dyDescent="0.25">
      <c r="B17" t="s">
        <v>736</v>
      </c>
      <c r="E17">
        <f>E16-E3-E6-E9-E11-E13</f>
        <v>66</v>
      </c>
      <c r="F17">
        <f>F16-F3-F6-F9-F11-F13</f>
        <v>24</v>
      </c>
      <c r="G17">
        <f>G16-G3-G6-G9-G11-G13</f>
        <v>13</v>
      </c>
    </row>
    <row r="18" spans="2:7" x14ac:dyDescent="0.25">
      <c r="E18" s="1">
        <f>E17/E16</f>
        <v>2.6117926394934706E-2</v>
      </c>
      <c r="F18" s="1">
        <f>F17/F16</f>
        <v>2.6229508196721311E-2</v>
      </c>
      <c r="G18" s="1">
        <f>G17/G16</f>
        <v>1.3026052104208416E-2</v>
      </c>
    </row>
    <row r="36" spans="1:39" x14ac:dyDescent="0.25">
      <c r="A36" t="s">
        <v>55</v>
      </c>
      <c r="C36" t="s">
        <v>567</v>
      </c>
    </row>
    <row r="37" spans="1:39" x14ac:dyDescent="0.25">
      <c r="B37" t="s">
        <v>29</v>
      </c>
      <c r="C37" t="s">
        <v>30</v>
      </c>
      <c r="D37" t="s">
        <v>31</v>
      </c>
      <c r="E37" t="s">
        <v>32</v>
      </c>
      <c r="F37" t="s">
        <v>33</v>
      </c>
      <c r="G37" t="s">
        <v>136</v>
      </c>
      <c r="H37" t="s">
        <v>36</v>
      </c>
      <c r="I37" s="7" t="s">
        <v>34</v>
      </c>
      <c r="J37" s="7" t="s">
        <v>35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48</v>
      </c>
      <c r="Q37" t="s">
        <v>40</v>
      </c>
      <c r="R37" t="s">
        <v>49</v>
      </c>
      <c r="S37" t="s">
        <v>50</v>
      </c>
      <c r="T37" t="s">
        <v>40</v>
      </c>
      <c r="U37" t="s">
        <v>51</v>
      </c>
      <c r="V37" t="s">
        <v>52</v>
      </c>
      <c r="W37" t="s">
        <v>48</v>
      </c>
      <c r="X37" t="s">
        <v>53</v>
      </c>
      <c r="Y37" t="s">
        <v>48</v>
      </c>
      <c r="Z37" t="s">
        <v>53</v>
      </c>
      <c r="AA37" t="s">
        <v>51</v>
      </c>
      <c r="AB37" t="s">
        <v>54</v>
      </c>
      <c r="AC37" t="s">
        <v>47</v>
      </c>
      <c r="AD37" t="s">
        <v>45</v>
      </c>
      <c r="AE37" t="s">
        <v>46</v>
      </c>
      <c r="AF37" t="s">
        <v>44</v>
      </c>
      <c r="AH37" t="s">
        <v>564</v>
      </c>
      <c r="AI37" t="s">
        <v>565</v>
      </c>
      <c r="AJ37" t="s">
        <v>566</v>
      </c>
      <c r="AK37" t="s">
        <v>42</v>
      </c>
      <c r="AL37" t="s">
        <v>43</v>
      </c>
    </row>
    <row r="38" spans="1:39" x14ac:dyDescent="0.25">
      <c r="A38" t="s">
        <v>27</v>
      </c>
      <c r="B38">
        <v>8</v>
      </c>
      <c r="C38">
        <v>1</v>
      </c>
      <c r="D38">
        <v>4</v>
      </c>
      <c r="E38">
        <v>0</v>
      </c>
      <c r="F38">
        <v>5</v>
      </c>
      <c r="G38">
        <v>0</v>
      </c>
      <c r="H38">
        <v>0</v>
      </c>
      <c r="I38">
        <v>1</v>
      </c>
      <c r="J38">
        <v>0</v>
      </c>
      <c r="K38">
        <v>2</v>
      </c>
      <c r="L38">
        <v>1</v>
      </c>
      <c r="M38">
        <v>9</v>
      </c>
      <c r="N38">
        <v>6</v>
      </c>
      <c r="O38">
        <v>2</v>
      </c>
      <c r="P38">
        <v>0</v>
      </c>
      <c r="Q38">
        <v>1</v>
      </c>
      <c r="R38">
        <v>0</v>
      </c>
      <c r="S38">
        <v>0</v>
      </c>
      <c r="T38">
        <v>1</v>
      </c>
      <c r="U38">
        <v>3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2</v>
      </c>
      <c r="AE38">
        <v>3</v>
      </c>
      <c r="AF38">
        <v>4</v>
      </c>
      <c r="AG38" t="s">
        <v>27</v>
      </c>
      <c r="AH38">
        <v>0</v>
      </c>
      <c r="AI38">
        <v>2</v>
      </c>
      <c r="AJ38">
        <v>1</v>
      </c>
      <c r="AK38">
        <v>3</v>
      </c>
      <c r="AL38">
        <v>1</v>
      </c>
      <c r="AM38">
        <f t="shared" ref="AM38:AM43" si="5">SUM(B38:AL38)</f>
        <v>63</v>
      </c>
    </row>
    <row r="39" spans="1:39" x14ac:dyDescent="0.25">
      <c r="A39" t="s">
        <v>26</v>
      </c>
      <c r="B39">
        <v>2</v>
      </c>
      <c r="C39">
        <v>5</v>
      </c>
      <c r="D39">
        <v>4</v>
      </c>
      <c r="E39">
        <v>10</v>
      </c>
      <c r="F39">
        <v>6</v>
      </c>
      <c r="G39">
        <v>9</v>
      </c>
      <c r="H39">
        <v>0</v>
      </c>
      <c r="I39">
        <v>0</v>
      </c>
      <c r="J39">
        <v>1</v>
      </c>
      <c r="K39">
        <v>0</v>
      </c>
      <c r="L39">
        <v>1</v>
      </c>
      <c r="M39">
        <v>14</v>
      </c>
      <c r="N39">
        <v>5</v>
      </c>
      <c r="O39">
        <v>10</v>
      </c>
      <c r="P39">
        <v>4</v>
      </c>
      <c r="Q39">
        <v>1</v>
      </c>
      <c r="R39">
        <v>1</v>
      </c>
      <c r="S39">
        <v>0</v>
      </c>
      <c r="T39">
        <v>1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2</v>
      </c>
      <c r="AB39">
        <v>1</v>
      </c>
      <c r="AC39">
        <v>0</v>
      </c>
      <c r="AD39">
        <v>1</v>
      </c>
      <c r="AE39">
        <v>10</v>
      </c>
      <c r="AF39">
        <v>0</v>
      </c>
      <c r="AG39" t="s">
        <v>26</v>
      </c>
      <c r="AH39">
        <v>1</v>
      </c>
      <c r="AI39">
        <v>1</v>
      </c>
      <c r="AJ39">
        <v>1</v>
      </c>
      <c r="AK39">
        <v>2</v>
      </c>
      <c r="AL39">
        <v>1</v>
      </c>
      <c r="AM39">
        <f t="shared" si="5"/>
        <v>96</v>
      </c>
    </row>
    <row r="40" spans="1:39" x14ac:dyDescent="0.25">
      <c r="A40" t="s">
        <v>28</v>
      </c>
      <c r="B40">
        <v>6</v>
      </c>
      <c r="C40">
        <v>17</v>
      </c>
      <c r="D40">
        <v>8</v>
      </c>
      <c r="E40">
        <v>20</v>
      </c>
      <c r="F40">
        <v>27</v>
      </c>
      <c r="G40">
        <v>10</v>
      </c>
      <c r="H40">
        <v>4</v>
      </c>
      <c r="I40">
        <v>3</v>
      </c>
      <c r="J40">
        <v>9</v>
      </c>
      <c r="K40">
        <v>5</v>
      </c>
      <c r="L40">
        <v>5</v>
      </c>
      <c r="M40">
        <v>34</v>
      </c>
      <c r="N40">
        <v>23</v>
      </c>
      <c r="O40">
        <v>12</v>
      </c>
      <c r="P40">
        <v>3</v>
      </c>
      <c r="Q40">
        <v>3</v>
      </c>
      <c r="R40">
        <v>2</v>
      </c>
      <c r="S40">
        <v>0</v>
      </c>
      <c r="T40">
        <v>0</v>
      </c>
      <c r="U40">
        <v>3</v>
      </c>
      <c r="V40">
        <v>2</v>
      </c>
      <c r="W40">
        <v>2</v>
      </c>
      <c r="X40">
        <v>4</v>
      </c>
      <c r="Y40">
        <v>4</v>
      </c>
      <c r="Z40">
        <v>11</v>
      </c>
      <c r="AA40">
        <v>0</v>
      </c>
      <c r="AB40">
        <v>3</v>
      </c>
      <c r="AC40">
        <v>0</v>
      </c>
      <c r="AD40">
        <v>1</v>
      </c>
      <c r="AE40">
        <v>9</v>
      </c>
      <c r="AF40">
        <v>0</v>
      </c>
      <c r="AG40" t="s">
        <v>28</v>
      </c>
      <c r="AH40">
        <v>2</v>
      </c>
      <c r="AI40">
        <v>0</v>
      </c>
      <c r="AJ40">
        <v>1</v>
      </c>
      <c r="AK40">
        <v>8</v>
      </c>
      <c r="AL40">
        <v>5</v>
      </c>
      <c r="AM40">
        <f t="shared" si="5"/>
        <v>246</v>
      </c>
    </row>
    <row r="41" spans="1:39" x14ac:dyDescent="0.25">
      <c r="A41" t="s">
        <v>1</v>
      </c>
      <c r="B41">
        <v>9</v>
      </c>
      <c r="C41">
        <v>2</v>
      </c>
      <c r="D41">
        <v>2</v>
      </c>
      <c r="E41">
        <v>9</v>
      </c>
      <c r="F41">
        <v>7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10</v>
      </c>
      <c r="N41">
        <v>4</v>
      </c>
      <c r="O41">
        <v>4</v>
      </c>
      <c r="P41">
        <v>3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 t="s">
        <v>1</v>
      </c>
      <c r="AH41">
        <v>1</v>
      </c>
      <c r="AI41">
        <v>2</v>
      </c>
      <c r="AJ41">
        <v>0</v>
      </c>
      <c r="AK41">
        <v>5</v>
      </c>
      <c r="AL41">
        <v>2</v>
      </c>
      <c r="AM41">
        <f t="shared" si="5"/>
        <v>71</v>
      </c>
    </row>
    <row r="42" spans="1:39" x14ac:dyDescent="0.25">
      <c r="A42" t="s">
        <v>3</v>
      </c>
      <c r="B42">
        <v>22</v>
      </c>
      <c r="C42">
        <v>35</v>
      </c>
      <c r="D42">
        <v>40</v>
      </c>
      <c r="E42">
        <v>70</v>
      </c>
      <c r="F42">
        <v>57</v>
      </c>
      <c r="G42">
        <v>18</v>
      </c>
      <c r="H42">
        <v>4</v>
      </c>
      <c r="I42">
        <v>8</v>
      </c>
      <c r="J42">
        <v>7</v>
      </c>
      <c r="K42">
        <v>20</v>
      </c>
      <c r="L42">
        <v>22</v>
      </c>
      <c r="M42">
        <v>86</v>
      </c>
      <c r="N42">
        <v>100</v>
      </c>
      <c r="O42">
        <v>34</v>
      </c>
      <c r="P42">
        <v>6</v>
      </c>
      <c r="Q42">
        <v>1</v>
      </c>
      <c r="R42">
        <v>8</v>
      </c>
      <c r="S42">
        <v>0</v>
      </c>
      <c r="T42">
        <v>0</v>
      </c>
      <c r="U42">
        <v>4</v>
      </c>
      <c r="V42">
        <v>5</v>
      </c>
      <c r="W42">
        <v>6</v>
      </c>
      <c r="X42">
        <v>0</v>
      </c>
      <c r="Y42">
        <v>2</v>
      </c>
      <c r="Z42">
        <v>12</v>
      </c>
      <c r="AA42">
        <v>1</v>
      </c>
      <c r="AB42">
        <v>8</v>
      </c>
      <c r="AC42">
        <v>1</v>
      </c>
      <c r="AD42">
        <v>11</v>
      </c>
      <c r="AE42">
        <v>26</v>
      </c>
      <c r="AF42">
        <v>5</v>
      </c>
      <c r="AG42" t="s">
        <v>3</v>
      </c>
      <c r="AH42">
        <v>13</v>
      </c>
      <c r="AI42">
        <v>7</v>
      </c>
      <c r="AJ42">
        <v>9</v>
      </c>
      <c r="AK42">
        <v>17</v>
      </c>
      <c r="AL42">
        <v>20</v>
      </c>
      <c r="AM42">
        <f t="shared" si="5"/>
        <v>685</v>
      </c>
    </row>
    <row r="43" spans="1:39" x14ac:dyDescent="0.25">
      <c r="A43" t="s">
        <v>2</v>
      </c>
      <c r="B43">
        <v>31</v>
      </c>
      <c r="C43">
        <v>21</v>
      </c>
      <c r="D43">
        <v>29</v>
      </c>
      <c r="E43">
        <v>31</v>
      </c>
      <c r="F43">
        <v>38</v>
      </c>
      <c r="G43">
        <v>27</v>
      </c>
      <c r="H43">
        <v>7</v>
      </c>
      <c r="I43">
        <v>6</v>
      </c>
      <c r="J43">
        <v>12</v>
      </c>
      <c r="K43">
        <v>17</v>
      </c>
      <c r="L43">
        <v>17</v>
      </c>
      <c r="M43">
        <v>73</v>
      </c>
      <c r="N43">
        <v>69</v>
      </c>
      <c r="O43">
        <v>41</v>
      </c>
      <c r="P43">
        <v>16</v>
      </c>
      <c r="Q43">
        <v>4</v>
      </c>
      <c r="R43">
        <v>15</v>
      </c>
      <c r="S43">
        <v>1</v>
      </c>
      <c r="T43">
        <v>0</v>
      </c>
      <c r="U43">
        <v>6</v>
      </c>
      <c r="V43">
        <v>3</v>
      </c>
      <c r="W43">
        <v>2</v>
      </c>
      <c r="X43">
        <v>3</v>
      </c>
      <c r="Y43">
        <v>1</v>
      </c>
      <c r="Z43">
        <v>10</v>
      </c>
      <c r="AA43">
        <v>1</v>
      </c>
      <c r="AB43">
        <v>7</v>
      </c>
      <c r="AC43">
        <v>2</v>
      </c>
      <c r="AD43">
        <v>11</v>
      </c>
      <c r="AE43">
        <v>16</v>
      </c>
      <c r="AF43">
        <v>5</v>
      </c>
      <c r="AG43" t="s">
        <v>2</v>
      </c>
      <c r="AH43">
        <v>8</v>
      </c>
      <c r="AI43">
        <v>4</v>
      </c>
      <c r="AJ43">
        <v>4</v>
      </c>
      <c r="AK43">
        <v>24</v>
      </c>
      <c r="AL43">
        <v>21</v>
      </c>
      <c r="AM43">
        <f t="shared" si="5"/>
        <v>583</v>
      </c>
    </row>
    <row r="46" spans="1:39" x14ac:dyDescent="0.25">
      <c r="A46" t="s">
        <v>16</v>
      </c>
      <c r="B46">
        <f>SUM(B38:B45)</f>
        <v>78</v>
      </c>
      <c r="C46">
        <f t="shared" ref="C46:AF46" si="6">SUM(C38:C45)</f>
        <v>81</v>
      </c>
      <c r="D46">
        <f t="shared" si="6"/>
        <v>87</v>
      </c>
      <c r="E46">
        <f t="shared" si="6"/>
        <v>140</v>
      </c>
      <c r="F46">
        <f t="shared" si="6"/>
        <v>140</v>
      </c>
      <c r="G46">
        <f t="shared" si="6"/>
        <v>65</v>
      </c>
      <c r="H46">
        <f t="shared" si="6"/>
        <v>16</v>
      </c>
      <c r="I46">
        <f t="shared" si="6"/>
        <v>19</v>
      </c>
      <c r="J46">
        <f t="shared" si="6"/>
        <v>30</v>
      </c>
      <c r="K46">
        <f t="shared" si="6"/>
        <v>45</v>
      </c>
      <c r="L46">
        <f t="shared" si="6"/>
        <v>46</v>
      </c>
      <c r="M46">
        <f t="shared" si="6"/>
        <v>226</v>
      </c>
      <c r="N46">
        <f t="shared" si="6"/>
        <v>207</v>
      </c>
      <c r="O46">
        <f t="shared" si="6"/>
        <v>103</v>
      </c>
      <c r="P46">
        <f t="shared" si="6"/>
        <v>32</v>
      </c>
      <c r="Q46">
        <f t="shared" si="6"/>
        <v>10</v>
      </c>
      <c r="R46">
        <f t="shared" si="6"/>
        <v>26</v>
      </c>
      <c r="S46">
        <f t="shared" si="6"/>
        <v>1</v>
      </c>
      <c r="T46">
        <f t="shared" si="6"/>
        <v>2</v>
      </c>
      <c r="U46">
        <f t="shared" si="6"/>
        <v>17</v>
      </c>
      <c r="V46">
        <f t="shared" si="6"/>
        <v>12</v>
      </c>
      <c r="W46">
        <f t="shared" si="6"/>
        <v>12</v>
      </c>
      <c r="X46">
        <f t="shared" si="6"/>
        <v>8</v>
      </c>
      <c r="Y46">
        <f t="shared" si="6"/>
        <v>8</v>
      </c>
      <c r="Z46">
        <f t="shared" si="6"/>
        <v>34</v>
      </c>
      <c r="AA46">
        <f t="shared" si="6"/>
        <v>5</v>
      </c>
      <c r="AB46">
        <f t="shared" si="6"/>
        <v>19</v>
      </c>
      <c r="AC46">
        <f t="shared" si="6"/>
        <v>3</v>
      </c>
      <c r="AD46">
        <f t="shared" si="6"/>
        <v>26</v>
      </c>
      <c r="AE46">
        <f t="shared" si="6"/>
        <v>66</v>
      </c>
      <c r="AF46">
        <f t="shared" si="6"/>
        <v>14</v>
      </c>
      <c r="AH46">
        <f>SUM(AH38:AH44)</f>
        <v>25</v>
      </c>
      <c r="AI46">
        <f>SUM(AI38:AI45)</f>
        <v>16</v>
      </c>
      <c r="AJ46">
        <f>SUM(AJ38:AJ45)</f>
        <v>16</v>
      </c>
      <c r="AK46">
        <f>SUM(AK38:AK45)</f>
        <v>59</v>
      </c>
      <c r="AL46">
        <f>SUM(AL38:AL45)</f>
        <v>50</v>
      </c>
      <c r="AM46">
        <f>SUM(B46:AL46)</f>
        <v>1744</v>
      </c>
    </row>
    <row r="47" spans="1:39" x14ac:dyDescent="0.25">
      <c r="A47" t="s">
        <v>0</v>
      </c>
      <c r="B47">
        <v>1455</v>
      </c>
      <c r="C47">
        <v>1132</v>
      </c>
      <c r="D47">
        <v>772</v>
      </c>
      <c r="E47">
        <v>1149</v>
      </c>
      <c r="F47">
        <v>819</v>
      </c>
      <c r="G47">
        <v>593</v>
      </c>
      <c r="H47">
        <v>602</v>
      </c>
      <c r="I47">
        <v>791</v>
      </c>
      <c r="J47">
        <v>665</v>
      </c>
      <c r="K47">
        <v>772</v>
      </c>
      <c r="L47">
        <v>673</v>
      </c>
      <c r="M47">
        <v>1065</v>
      </c>
      <c r="N47">
        <v>1157</v>
      </c>
      <c r="O47">
        <v>1170</v>
      </c>
      <c r="P47">
        <v>165</v>
      </c>
      <c r="Q47">
        <v>63</v>
      </c>
      <c r="R47">
        <v>120</v>
      </c>
      <c r="S47">
        <v>20</v>
      </c>
      <c r="T47">
        <v>46</v>
      </c>
      <c r="U47">
        <v>88</v>
      </c>
      <c r="V47">
        <v>35</v>
      </c>
      <c r="W47">
        <v>44</v>
      </c>
      <c r="X47">
        <v>45</v>
      </c>
      <c r="Y47">
        <v>30</v>
      </c>
      <c r="Z47">
        <v>177</v>
      </c>
      <c r="AA47">
        <v>50</v>
      </c>
      <c r="AB47">
        <v>98</v>
      </c>
      <c r="AC47">
        <v>82</v>
      </c>
      <c r="AD47">
        <v>128</v>
      </c>
      <c r="AE47">
        <v>156</v>
      </c>
      <c r="AF47">
        <v>153</v>
      </c>
      <c r="AH47">
        <v>332</v>
      </c>
      <c r="AI47">
        <v>264</v>
      </c>
      <c r="AJ47">
        <v>389</v>
      </c>
      <c r="AK47">
        <v>869</v>
      </c>
      <c r="AL47">
        <v>772</v>
      </c>
      <c r="AM47">
        <f>SUM(B47:AL47)</f>
        <v>16941</v>
      </c>
    </row>
    <row r="48" spans="1:39" x14ac:dyDescent="0.25">
      <c r="B48">
        <f t="shared" ref="B48:AF48" si="7">B46+B47</f>
        <v>1533</v>
      </c>
      <c r="C48">
        <f t="shared" si="7"/>
        <v>1213</v>
      </c>
      <c r="D48">
        <f t="shared" si="7"/>
        <v>859</v>
      </c>
      <c r="E48">
        <f t="shared" si="7"/>
        <v>1289</v>
      </c>
      <c r="F48">
        <f t="shared" si="7"/>
        <v>959</v>
      </c>
      <c r="G48">
        <f t="shared" si="7"/>
        <v>658</v>
      </c>
      <c r="H48">
        <f t="shared" si="7"/>
        <v>618</v>
      </c>
      <c r="I48">
        <f t="shared" si="7"/>
        <v>810</v>
      </c>
      <c r="J48">
        <f t="shared" si="7"/>
        <v>695</v>
      </c>
      <c r="K48">
        <f t="shared" si="7"/>
        <v>817</v>
      </c>
      <c r="L48">
        <f t="shared" si="7"/>
        <v>719</v>
      </c>
      <c r="M48">
        <f t="shared" si="7"/>
        <v>1291</v>
      </c>
      <c r="N48">
        <f t="shared" si="7"/>
        <v>1364</v>
      </c>
      <c r="O48">
        <f t="shared" si="7"/>
        <v>1273</v>
      </c>
      <c r="P48">
        <f t="shared" si="7"/>
        <v>197</v>
      </c>
      <c r="Q48">
        <f t="shared" si="7"/>
        <v>73</v>
      </c>
      <c r="R48">
        <f t="shared" si="7"/>
        <v>146</v>
      </c>
      <c r="S48">
        <f t="shared" si="7"/>
        <v>21</v>
      </c>
      <c r="T48">
        <f t="shared" si="7"/>
        <v>48</v>
      </c>
      <c r="U48">
        <f t="shared" si="7"/>
        <v>105</v>
      </c>
      <c r="V48">
        <f t="shared" si="7"/>
        <v>47</v>
      </c>
      <c r="W48">
        <f t="shared" si="7"/>
        <v>56</v>
      </c>
      <c r="X48">
        <f t="shared" si="7"/>
        <v>53</v>
      </c>
      <c r="Y48">
        <f t="shared" si="7"/>
        <v>38</v>
      </c>
      <c r="Z48">
        <f t="shared" si="7"/>
        <v>211</v>
      </c>
      <c r="AA48">
        <f t="shared" si="7"/>
        <v>55</v>
      </c>
      <c r="AB48">
        <f t="shared" si="7"/>
        <v>117</v>
      </c>
      <c r="AC48">
        <f t="shared" si="7"/>
        <v>85</v>
      </c>
      <c r="AD48">
        <f t="shared" si="7"/>
        <v>154</v>
      </c>
      <c r="AE48">
        <f t="shared" si="7"/>
        <v>222</v>
      </c>
      <c r="AF48">
        <f t="shared" si="7"/>
        <v>167</v>
      </c>
      <c r="AH48">
        <f t="shared" ref="AH48:AM48" si="8">AH46+AH47</f>
        <v>357</v>
      </c>
      <c r="AI48">
        <f t="shared" si="8"/>
        <v>280</v>
      </c>
      <c r="AJ48">
        <f t="shared" si="8"/>
        <v>405</v>
      </c>
      <c r="AK48">
        <f t="shared" si="8"/>
        <v>928</v>
      </c>
      <c r="AL48">
        <f t="shared" si="8"/>
        <v>822</v>
      </c>
      <c r="AM48">
        <f t="shared" si="8"/>
        <v>18685</v>
      </c>
    </row>
    <row r="49" spans="2:39" x14ac:dyDescent="0.25">
      <c r="B49" s="8">
        <f t="shared" ref="B49:AF49" si="9">B46/B48</f>
        <v>5.0880626223091974E-2</v>
      </c>
      <c r="C49" s="8">
        <f t="shared" si="9"/>
        <v>6.6776586974443525E-2</v>
      </c>
      <c r="D49" s="8">
        <f t="shared" si="9"/>
        <v>0.10128055878928988</v>
      </c>
      <c r="E49" s="8">
        <f t="shared" si="9"/>
        <v>0.10861132660977502</v>
      </c>
      <c r="F49" s="8">
        <f t="shared" si="9"/>
        <v>0.145985401459854</v>
      </c>
      <c r="G49" s="8">
        <f t="shared" si="9"/>
        <v>9.878419452887538E-2</v>
      </c>
      <c r="H49" s="8">
        <f t="shared" si="9"/>
        <v>2.5889967637540454E-2</v>
      </c>
      <c r="I49" s="8">
        <f t="shared" si="9"/>
        <v>2.3456790123456792E-2</v>
      </c>
      <c r="J49" s="8">
        <f t="shared" si="9"/>
        <v>4.3165467625899283E-2</v>
      </c>
      <c r="K49" s="8">
        <f t="shared" si="9"/>
        <v>5.5079559363525092E-2</v>
      </c>
      <c r="L49" s="8">
        <f t="shared" si="9"/>
        <v>6.397774687065369E-2</v>
      </c>
      <c r="M49" s="8">
        <f t="shared" si="9"/>
        <v>0.17505809450038728</v>
      </c>
      <c r="N49" s="8">
        <f t="shared" si="9"/>
        <v>0.15175953079178886</v>
      </c>
      <c r="O49" s="8">
        <f t="shared" si="9"/>
        <v>8.0911233307148472E-2</v>
      </c>
      <c r="P49" s="8">
        <f t="shared" si="9"/>
        <v>0.16243654822335024</v>
      </c>
      <c r="Q49" s="8">
        <f t="shared" si="9"/>
        <v>0.13698630136986301</v>
      </c>
      <c r="R49" s="8">
        <f t="shared" si="9"/>
        <v>0.17808219178082191</v>
      </c>
      <c r="S49" s="8">
        <f t="shared" si="9"/>
        <v>4.7619047619047616E-2</v>
      </c>
      <c r="T49" s="8">
        <f t="shared" si="9"/>
        <v>4.1666666666666664E-2</v>
      </c>
      <c r="U49" s="8">
        <f t="shared" si="9"/>
        <v>0.16190476190476191</v>
      </c>
      <c r="V49" s="8">
        <f t="shared" si="9"/>
        <v>0.25531914893617019</v>
      </c>
      <c r="W49" s="8">
        <f t="shared" si="9"/>
        <v>0.21428571428571427</v>
      </c>
      <c r="X49" s="8">
        <f t="shared" si="9"/>
        <v>0.15094339622641509</v>
      </c>
      <c r="Y49" s="8">
        <f t="shared" si="9"/>
        <v>0.21052631578947367</v>
      </c>
      <c r="Z49" s="8">
        <f t="shared" si="9"/>
        <v>0.16113744075829384</v>
      </c>
      <c r="AA49" s="8">
        <f t="shared" si="9"/>
        <v>9.0909090909090912E-2</v>
      </c>
      <c r="AB49" s="8">
        <f t="shared" si="9"/>
        <v>0.1623931623931624</v>
      </c>
      <c r="AC49" s="8">
        <f t="shared" si="9"/>
        <v>3.5294117647058823E-2</v>
      </c>
      <c r="AD49" s="8">
        <f t="shared" si="9"/>
        <v>0.16883116883116883</v>
      </c>
      <c r="AE49" s="8">
        <f t="shared" si="9"/>
        <v>0.29729729729729731</v>
      </c>
      <c r="AF49" s="8">
        <f t="shared" si="9"/>
        <v>8.3832335329341312E-2</v>
      </c>
      <c r="AH49" s="8">
        <f>AH46/AH48</f>
        <v>7.0028011204481794E-2</v>
      </c>
      <c r="AI49" s="8">
        <f>AI46/AI48</f>
        <v>5.7142857142857141E-2</v>
      </c>
      <c r="AJ49" s="8">
        <f>AJ46/AJ48</f>
        <v>3.9506172839506172E-2</v>
      </c>
      <c r="AK49" s="8">
        <f>AK46/AK48</f>
        <v>6.3577586206896547E-2</v>
      </c>
      <c r="AL49" s="8">
        <f>AL46/AL48</f>
        <v>6.0827250608272508E-2</v>
      </c>
      <c r="AM49" t="s">
        <v>731</v>
      </c>
    </row>
    <row r="50" spans="2:39" x14ac:dyDescent="0.25">
      <c r="AJ50">
        <f>AI48+AJ48</f>
        <v>685</v>
      </c>
    </row>
    <row r="51" spans="2:39" x14ac:dyDescent="0.25">
      <c r="AJ51" s="1">
        <f>32/AJ50</f>
        <v>4.6715328467153282E-2</v>
      </c>
    </row>
    <row r="69" spans="1:41" x14ac:dyDescent="0.25">
      <c r="A69" t="s">
        <v>571</v>
      </c>
      <c r="B69" t="s">
        <v>29</v>
      </c>
      <c r="C69" t="s">
        <v>30</v>
      </c>
      <c r="D69" t="s">
        <v>31</v>
      </c>
      <c r="E69" t="s">
        <v>32</v>
      </c>
      <c r="F69" t="s">
        <v>33</v>
      </c>
      <c r="G69" t="s">
        <v>136</v>
      </c>
      <c r="H69" t="s">
        <v>36</v>
      </c>
      <c r="I69" s="7" t="s">
        <v>34</v>
      </c>
      <c r="J69" s="7" t="s">
        <v>35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48</v>
      </c>
      <c r="Q69" t="s">
        <v>40</v>
      </c>
      <c r="R69" t="s">
        <v>49</v>
      </c>
      <c r="S69" t="s">
        <v>50</v>
      </c>
      <c r="T69" t="s">
        <v>40</v>
      </c>
      <c r="U69" t="s">
        <v>51</v>
      </c>
      <c r="V69" t="s">
        <v>52</v>
      </c>
      <c r="W69" t="s">
        <v>48</v>
      </c>
      <c r="X69" t="s">
        <v>53</v>
      </c>
      <c r="Y69" t="s">
        <v>48</v>
      </c>
      <c r="Z69" t="s">
        <v>53</v>
      </c>
      <c r="AA69" t="s">
        <v>51</v>
      </c>
      <c r="AB69" t="s">
        <v>569</v>
      </c>
      <c r="AC69" t="s">
        <v>570</v>
      </c>
      <c r="AD69" t="s">
        <v>15</v>
      </c>
      <c r="AE69" t="s">
        <v>54</v>
      </c>
      <c r="AF69" t="s">
        <v>47</v>
      </c>
      <c r="AG69" t="s">
        <v>45</v>
      </c>
      <c r="AH69" t="s">
        <v>46</v>
      </c>
      <c r="AI69" t="s">
        <v>44</v>
      </c>
      <c r="AJ69" t="s">
        <v>564</v>
      </c>
      <c r="AK69" t="s">
        <v>565</v>
      </c>
      <c r="AL69" t="s">
        <v>566</v>
      </c>
      <c r="AM69" t="s">
        <v>42</v>
      </c>
      <c r="AN69" t="s">
        <v>43</v>
      </c>
    </row>
    <row r="70" spans="1:41" x14ac:dyDescent="0.25">
      <c r="A70" t="s">
        <v>568</v>
      </c>
      <c r="B70">
        <v>6</v>
      </c>
      <c r="C70">
        <v>1</v>
      </c>
      <c r="D70">
        <v>2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2</v>
      </c>
      <c r="L70">
        <v>0</v>
      </c>
      <c r="M70">
        <v>7</v>
      </c>
      <c r="N70">
        <v>5</v>
      </c>
      <c r="O70">
        <v>2</v>
      </c>
      <c r="P70">
        <v>0</v>
      </c>
      <c r="Q70">
        <v>1</v>
      </c>
      <c r="R70">
        <v>0</v>
      </c>
      <c r="S70">
        <v>0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0</v>
      </c>
    </row>
    <row r="71" spans="1:41" x14ac:dyDescent="0.25">
      <c r="A71" t="s">
        <v>129</v>
      </c>
      <c r="B71">
        <v>1</v>
      </c>
      <c r="C71">
        <v>4</v>
      </c>
      <c r="D71">
        <v>3</v>
      </c>
      <c r="E71">
        <v>10</v>
      </c>
      <c r="F71">
        <v>5</v>
      </c>
      <c r="G71">
        <v>4</v>
      </c>
      <c r="H71">
        <v>0</v>
      </c>
      <c r="I71">
        <v>0</v>
      </c>
      <c r="J71">
        <v>1</v>
      </c>
      <c r="K71">
        <v>0</v>
      </c>
      <c r="L71">
        <v>1</v>
      </c>
      <c r="M71">
        <v>12</v>
      </c>
      <c r="N71">
        <v>4</v>
      </c>
      <c r="O71">
        <v>10</v>
      </c>
      <c r="P71">
        <v>4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1</v>
      </c>
      <c r="AH71">
        <v>10</v>
      </c>
      <c r="AI71">
        <v>0</v>
      </c>
      <c r="AJ71">
        <v>1</v>
      </c>
      <c r="AK71">
        <v>1</v>
      </c>
      <c r="AL71">
        <v>0</v>
      </c>
      <c r="AM71">
        <v>2</v>
      </c>
      <c r="AN71">
        <v>0</v>
      </c>
    </row>
    <row r="72" spans="1:41" x14ac:dyDescent="0.25">
      <c r="A72" t="s">
        <v>130</v>
      </c>
      <c r="B72">
        <v>1453</v>
      </c>
      <c r="C72">
        <v>1129</v>
      </c>
      <c r="D72">
        <v>767</v>
      </c>
      <c r="E72">
        <v>1147</v>
      </c>
      <c r="F72">
        <v>813</v>
      </c>
      <c r="G72">
        <v>591</v>
      </c>
      <c r="H72">
        <v>598</v>
      </c>
      <c r="I72">
        <v>789</v>
      </c>
      <c r="J72">
        <v>659</v>
      </c>
      <c r="K72">
        <v>770</v>
      </c>
      <c r="L72">
        <v>671</v>
      </c>
      <c r="M72">
        <v>1064</v>
      </c>
      <c r="N72">
        <v>1147</v>
      </c>
      <c r="O72">
        <v>1166</v>
      </c>
      <c r="P72">
        <v>164</v>
      </c>
      <c r="Q72">
        <v>63</v>
      </c>
      <c r="R72">
        <v>119</v>
      </c>
      <c r="S72">
        <v>19</v>
      </c>
      <c r="T72">
        <v>46</v>
      </c>
      <c r="U72">
        <v>88</v>
      </c>
      <c r="V72">
        <v>35</v>
      </c>
      <c r="W72">
        <v>44</v>
      </c>
      <c r="X72">
        <v>44</v>
      </c>
      <c r="Y72">
        <v>30</v>
      </c>
      <c r="Z72">
        <v>175</v>
      </c>
      <c r="AA72">
        <v>50</v>
      </c>
      <c r="AB72">
        <v>1838</v>
      </c>
      <c r="AC72">
        <v>599</v>
      </c>
      <c r="AD72">
        <v>766</v>
      </c>
      <c r="AE72">
        <v>98</v>
      </c>
      <c r="AF72">
        <v>82</v>
      </c>
      <c r="AG72">
        <v>128</v>
      </c>
      <c r="AH72">
        <v>153</v>
      </c>
      <c r="AI72">
        <v>153</v>
      </c>
      <c r="AJ72">
        <v>329</v>
      </c>
      <c r="AK72">
        <v>261</v>
      </c>
      <c r="AL72">
        <v>387</v>
      </c>
      <c r="AM72">
        <v>864</v>
      </c>
      <c r="AN72">
        <v>766</v>
      </c>
    </row>
    <row r="73" spans="1:41" x14ac:dyDescent="0.25">
      <c r="A73" t="s">
        <v>131</v>
      </c>
      <c r="B73">
        <v>4</v>
      </c>
      <c r="C73">
        <v>15</v>
      </c>
      <c r="D73">
        <v>7</v>
      </c>
      <c r="E73">
        <v>18</v>
      </c>
      <c r="F73">
        <v>22</v>
      </c>
      <c r="G73">
        <v>6</v>
      </c>
      <c r="H73">
        <v>4</v>
      </c>
      <c r="I73">
        <v>2</v>
      </c>
      <c r="J73">
        <v>9</v>
      </c>
      <c r="K73">
        <v>2</v>
      </c>
      <c r="L73">
        <v>3</v>
      </c>
      <c r="M73">
        <v>30</v>
      </c>
      <c r="N73">
        <v>22</v>
      </c>
      <c r="O73">
        <v>10</v>
      </c>
      <c r="P73">
        <v>3</v>
      </c>
      <c r="Q73">
        <v>2</v>
      </c>
      <c r="R73">
        <v>2</v>
      </c>
      <c r="S73">
        <v>0</v>
      </c>
      <c r="T73">
        <v>0</v>
      </c>
      <c r="U73">
        <v>3</v>
      </c>
      <c r="V73">
        <v>2</v>
      </c>
      <c r="W73">
        <v>2</v>
      </c>
      <c r="X73">
        <v>4</v>
      </c>
      <c r="Y73">
        <v>4</v>
      </c>
      <c r="Z73">
        <v>9</v>
      </c>
      <c r="AA73">
        <v>0</v>
      </c>
      <c r="AB73">
        <v>42</v>
      </c>
      <c r="AC73">
        <v>9</v>
      </c>
      <c r="AD73">
        <v>6</v>
      </c>
      <c r="AE73">
        <v>3</v>
      </c>
      <c r="AF73">
        <v>0</v>
      </c>
      <c r="AG73">
        <v>1</v>
      </c>
      <c r="AH73">
        <v>8</v>
      </c>
      <c r="AI73">
        <v>0</v>
      </c>
      <c r="AJ73">
        <v>1</v>
      </c>
      <c r="AK73">
        <v>0</v>
      </c>
      <c r="AL73">
        <v>1</v>
      </c>
      <c r="AM73">
        <v>8</v>
      </c>
      <c r="AN73">
        <v>4</v>
      </c>
    </row>
    <row r="74" spans="1:41" x14ac:dyDescent="0.25">
      <c r="A74" t="s">
        <v>132</v>
      </c>
      <c r="B74">
        <v>9</v>
      </c>
      <c r="C74">
        <v>2</v>
      </c>
      <c r="D74">
        <v>2</v>
      </c>
      <c r="E74">
        <v>8</v>
      </c>
      <c r="F74">
        <v>6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7</v>
      </c>
      <c r="N74">
        <v>4</v>
      </c>
      <c r="O74">
        <v>3</v>
      </c>
      <c r="P74">
        <v>2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363</v>
      </c>
      <c r="AC74">
        <v>118</v>
      </c>
      <c r="AD74">
        <v>188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5</v>
      </c>
      <c r="AN74">
        <v>2</v>
      </c>
    </row>
    <row r="75" spans="1:41" x14ac:dyDescent="0.25">
      <c r="A75" t="s">
        <v>133</v>
      </c>
      <c r="B75">
        <v>19</v>
      </c>
      <c r="C75">
        <v>32</v>
      </c>
      <c r="D75">
        <v>33</v>
      </c>
      <c r="E75">
        <v>61</v>
      </c>
      <c r="F75">
        <v>51</v>
      </c>
      <c r="G75">
        <v>18</v>
      </c>
      <c r="H75">
        <v>4</v>
      </c>
      <c r="I75">
        <v>7</v>
      </c>
      <c r="J75">
        <v>7</v>
      </c>
      <c r="K75">
        <v>17</v>
      </c>
      <c r="L75">
        <v>19</v>
      </c>
      <c r="M75">
        <v>80</v>
      </c>
      <c r="N75">
        <v>93</v>
      </c>
      <c r="O75">
        <v>29</v>
      </c>
      <c r="P75">
        <v>5</v>
      </c>
      <c r="Q75">
        <v>1</v>
      </c>
      <c r="R75">
        <v>5</v>
      </c>
      <c r="S75">
        <v>0</v>
      </c>
      <c r="T75">
        <v>0</v>
      </c>
      <c r="U75">
        <v>2</v>
      </c>
      <c r="V75">
        <v>5</v>
      </c>
      <c r="W75">
        <v>6</v>
      </c>
      <c r="X75">
        <v>0</v>
      </c>
      <c r="Y75">
        <v>2</v>
      </c>
      <c r="Z75">
        <v>10</v>
      </c>
      <c r="AA75">
        <v>1</v>
      </c>
      <c r="AB75">
        <v>84</v>
      </c>
      <c r="AC75">
        <v>115</v>
      </c>
      <c r="AD75">
        <v>34</v>
      </c>
      <c r="AE75">
        <v>8</v>
      </c>
      <c r="AF75">
        <v>1</v>
      </c>
      <c r="AG75">
        <v>11</v>
      </c>
      <c r="AH75">
        <v>24</v>
      </c>
      <c r="AI75">
        <v>5</v>
      </c>
      <c r="AJ75">
        <v>11</v>
      </c>
      <c r="AK75">
        <v>4</v>
      </c>
      <c r="AL75">
        <v>8</v>
      </c>
      <c r="AM75">
        <v>16</v>
      </c>
      <c r="AN75">
        <v>17</v>
      </c>
    </row>
    <row r="76" spans="1:41" x14ac:dyDescent="0.25">
      <c r="A76" t="s">
        <v>134</v>
      </c>
      <c r="B76">
        <v>21</v>
      </c>
      <c r="C76">
        <v>19</v>
      </c>
      <c r="D76">
        <v>25</v>
      </c>
      <c r="E76">
        <v>26</v>
      </c>
      <c r="F76">
        <v>32</v>
      </c>
      <c r="G76">
        <v>19</v>
      </c>
      <c r="H76">
        <v>4</v>
      </c>
      <c r="I76">
        <v>2</v>
      </c>
      <c r="J76">
        <v>6</v>
      </c>
      <c r="K76">
        <v>9</v>
      </c>
      <c r="L76">
        <v>9</v>
      </c>
      <c r="M76">
        <v>66</v>
      </c>
      <c r="N76">
        <v>60</v>
      </c>
      <c r="O76">
        <v>33</v>
      </c>
      <c r="P76">
        <v>15</v>
      </c>
      <c r="Q76">
        <v>4</v>
      </c>
      <c r="R76">
        <v>15</v>
      </c>
      <c r="S76">
        <v>1</v>
      </c>
      <c r="T76">
        <v>0</v>
      </c>
      <c r="U76">
        <v>6</v>
      </c>
      <c r="V76">
        <v>3</v>
      </c>
      <c r="W76">
        <v>2</v>
      </c>
      <c r="X76">
        <v>2</v>
      </c>
      <c r="Y76">
        <v>1</v>
      </c>
      <c r="Z76">
        <v>7</v>
      </c>
      <c r="AA76">
        <v>1</v>
      </c>
      <c r="AB76">
        <v>134</v>
      </c>
      <c r="AC76">
        <v>50</v>
      </c>
      <c r="AD76">
        <v>62</v>
      </c>
      <c r="AE76">
        <v>7</v>
      </c>
      <c r="AF76">
        <v>1</v>
      </c>
      <c r="AG76">
        <v>11</v>
      </c>
      <c r="AH76">
        <v>16</v>
      </c>
      <c r="AI76">
        <v>2</v>
      </c>
      <c r="AJ76">
        <v>1</v>
      </c>
      <c r="AK76">
        <v>2</v>
      </c>
      <c r="AL76">
        <v>0</v>
      </c>
      <c r="AM76">
        <v>18</v>
      </c>
      <c r="AN76">
        <v>7</v>
      </c>
    </row>
    <row r="77" spans="1:41" x14ac:dyDescent="0.25">
      <c r="A77" t="s">
        <v>135</v>
      </c>
      <c r="B77">
        <v>20</v>
      </c>
      <c r="C77">
        <v>11</v>
      </c>
      <c r="D77">
        <v>20</v>
      </c>
      <c r="E77">
        <v>19</v>
      </c>
      <c r="F77">
        <v>26</v>
      </c>
      <c r="G77">
        <v>19</v>
      </c>
      <c r="H77">
        <v>7</v>
      </c>
      <c r="I77">
        <v>8</v>
      </c>
      <c r="J77">
        <v>12</v>
      </c>
      <c r="K77">
        <v>16</v>
      </c>
      <c r="L77">
        <v>16</v>
      </c>
      <c r="M77">
        <v>25</v>
      </c>
      <c r="N77">
        <v>29</v>
      </c>
      <c r="O77">
        <v>20</v>
      </c>
      <c r="P77">
        <v>4</v>
      </c>
      <c r="Q77">
        <v>2</v>
      </c>
      <c r="R77">
        <v>5</v>
      </c>
      <c r="S77">
        <v>1</v>
      </c>
      <c r="T77">
        <v>1</v>
      </c>
      <c r="U77">
        <v>2</v>
      </c>
      <c r="V77">
        <v>1</v>
      </c>
      <c r="W77">
        <v>1</v>
      </c>
      <c r="X77">
        <v>3</v>
      </c>
      <c r="Y77">
        <v>1</v>
      </c>
      <c r="Z77">
        <v>9</v>
      </c>
      <c r="AA77">
        <v>0</v>
      </c>
      <c r="AB77">
        <v>66</v>
      </c>
      <c r="AC77">
        <v>24</v>
      </c>
      <c r="AD77">
        <v>13</v>
      </c>
      <c r="AE77">
        <v>0</v>
      </c>
      <c r="AF77">
        <v>1</v>
      </c>
      <c r="AG77">
        <v>0</v>
      </c>
      <c r="AH77">
        <v>8</v>
      </c>
      <c r="AI77">
        <v>7</v>
      </c>
      <c r="AJ77">
        <v>13</v>
      </c>
      <c r="AK77">
        <v>12</v>
      </c>
      <c r="AL77">
        <v>9</v>
      </c>
      <c r="AM77">
        <v>13</v>
      </c>
      <c r="AN77">
        <v>26</v>
      </c>
    </row>
    <row r="78" spans="1:41" x14ac:dyDescent="0.25">
      <c r="A78" t="s">
        <v>572</v>
      </c>
      <c r="B78">
        <f>SUM(B70:B77)</f>
        <v>1533</v>
      </c>
      <c r="C78">
        <f t="shared" ref="C78:AN78" si="10">SUM(C70:C77)</f>
        <v>1213</v>
      </c>
      <c r="D78">
        <f t="shared" si="10"/>
        <v>859</v>
      </c>
      <c r="E78">
        <f t="shared" si="10"/>
        <v>1289</v>
      </c>
      <c r="F78">
        <f t="shared" si="10"/>
        <v>959</v>
      </c>
      <c r="G78">
        <f t="shared" si="10"/>
        <v>658</v>
      </c>
      <c r="H78">
        <f t="shared" si="10"/>
        <v>618</v>
      </c>
      <c r="I78">
        <f t="shared" si="10"/>
        <v>810</v>
      </c>
      <c r="J78">
        <f t="shared" si="10"/>
        <v>695</v>
      </c>
      <c r="K78">
        <f t="shared" si="10"/>
        <v>817</v>
      </c>
      <c r="L78">
        <f t="shared" si="10"/>
        <v>719</v>
      </c>
      <c r="M78">
        <f t="shared" si="10"/>
        <v>1291</v>
      </c>
      <c r="N78">
        <f t="shared" si="10"/>
        <v>1364</v>
      </c>
      <c r="O78">
        <f t="shared" si="10"/>
        <v>1273</v>
      </c>
      <c r="P78">
        <f t="shared" si="10"/>
        <v>197</v>
      </c>
      <c r="Q78">
        <f t="shared" si="10"/>
        <v>73</v>
      </c>
      <c r="R78">
        <f t="shared" si="10"/>
        <v>146</v>
      </c>
      <c r="S78">
        <f t="shared" si="10"/>
        <v>21</v>
      </c>
      <c r="T78">
        <f t="shared" si="10"/>
        <v>48</v>
      </c>
      <c r="U78">
        <f t="shared" si="10"/>
        <v>105</v>
      </c>
      <c r="V78">
        <f t="shared" si="10"/>
        <v>47</v>
      </c>
      <c r="W78">
        <f t="shared" si="10"/>
        <v>56</v>
      </c>
      <c r="X78">
        <f t="shared" si="10"/>
        <v>53</v>
      </c>
      <c r="Y78">
        <f t="shared" si="10"/>
        <v>38</v>
      </c>
      <c r="Z78">
        <f t="shared" si="10"/>
        <v>211</v>
      </c>
      <c r="AA78">
        <f t="shared" si="10"/>
        <v>55</v>
      </c>
      <c r="AB78">
        <f t="shared" si="10"/>
        <v>2527</v>
      </c>
      <c r="AC78">
        <f t="shared" si="10"/>
        <v>915</v>
      </c>
      <c r="AD78">
        <f t="shared" si="10"/>
        <v>1070</v>
      </c>
      <c r="AE78">
        <f t="shared" si="10"/>
        <v>117</v>
      </c>
      <c r="AF78">
        <f t="shared" si="10"/>
        <v>85</v>
      </c>
      <c r="AG78">
        <f t="shared" si="10"/>
        <v>154</v>
      </c>
      <c r="AH78">
        <f t="shared" si="10"/>
        <v>222</v>
      </c>
      <c r="AI78">
        <f t="shared" si="10"/>
        <v>167</v>
      </c>
      <c r="AJ78">
        <f t="shared" si="10"/>
        <v>357</v>
      </c>
      <c r="AK78">
        <f t="shared" si="10"/>
        <v>280</v>
      </c>
      <c r="AL78">
        <f t="shared" si="10"/>
        <v>405</v>
      </c>
      <c r="AM78">
        <f t="shared" si="10"/>
        <v>928</v>
      </c>
      <c r="AN78">
        <f t="shared" si="10"/>
        <v>822</v>
      </c>
      <c r="AO78">
        <f>SUM(B78:AN78)</f>
        <v>23197</v>
      </c>
    </row>
    <row r="79" spans="1:41" x14ac:dyDescent="0.25">
      <c r="A79" t="s">
        <v>568</v>
      </c>
      <c r="B79" s="1">
        <f t="shared" ref="B79:B86" si="11">B70/B$78</f>
        <v>3.9138943248532287E-3</v>
      </c>
      <c r="C79" s="1">
        <f t="shared" ref="C79:AN79" si="12">C70/C$78</f>
        <v>8.2440230832646333E-4</v>
      </c>
      <c r="D79" s="1">
        <f t="shared" si="12"/>
        <v>2.3282887077997671E-3</v>
      </c>
      <c r="E79" s="1">
        <f t="shared" si="12"/>
        <v>0</v>
      </c>
      <c r="F79" s="1">
        <f t="shared" si="12"/>
        <v>4.1710114702815434E-3</v>
      </c>
      <c r="G79" s="1">
        <f t="shared" si="12"/>
        <v>0</v>
      </c>
      <c r="H79" s="1">
        <f t="shared" si="12"/>
        <v>0</v>
      </c>
      <c r="I79" s="1">
        <f t="shared" si="12"/>
        <v>1.2345679012345679E-3</v>
      </c>
      <c r="J79" s="1">
        <f t="shared" si="12"/>
        <v>0</v>
      </c>
      <c r="K79" s="1">
        <f t="shared" si="12"/>
        <v>2.4479804161566705E-3</v>
      </c>
      <c r="L79" s="1">
        <f t="shared" si="12"/>
        <v>0</v>
      </c>
      <c r="M79" s="1">
        <f t="shared" si="12"/>
        <v>5.422153369481022E-3</v>
      </c>
      <c r="N79" s="1">
        <f t="shared" si="12"/>
        <v>3.6656891495601175E-3</v>
      </c>
      <c r="O79" s="1">
        <f t="shared" si="12"/>
        <v>1.5710919088766694E-3</v>
      </c>
      <c r="P79" s="1">
        <f t="shared" si="12"/>
        <v>0</v>
      </c>
      <c r="Q79" s="1">
        <f t="shared" si="12"/>
        <v>1.3698630136986301E-2</v>
      </c>
      <c r="R79" s="1">
        <f t="shared" si="12"/>
        <v>0</v>
      </c>
      <c r="S79" s="1">
        <f t="shared" si="12"/>
        <v>0</v>
      </c>
      <c r="T79" s="1">
        <f t="shared" si="12"/>
        <v>0</v>
      </c>
      <c r="U79" s="1">
        <f t="shared" si="12"/>
        <v>2.8571428571428571E-2</v>
      </c>
      <c r="V79" s="1">
        <f t="shared" si="12"/>
        <v>0</v>
      </c>
      <c r="W79" s="1">
        <f t="shared" si="12"/>
        <v>0</v>
      </c>
      <c r="X79" s="1">
        <f t="shared" si="12"/>
        <v>0</v>
      </c>
      <c r="Y79" s="1">
        <f t="shared" si="12"/>
        <v>0</v>
      </c>
      <c r="Z79" s="1">
        <f t="shared" si="12"/>
        <v>4.7393364928909956E-3</v>
      </c>
      <c r="AA79" s="1">
        <f t="shared" si="12"/>
        <v>1.8181818181818181E-2</v>
      </c>
      <c r="AB79" s="1">
        <f t="shared" si="12"/>
        <v>0</v>
      </c>
      <c r="AC79" s="1">
        <f t="shared" si="12"/>
        <v>0</v>
      </c>
      <c r="AD79" s="1">
        <f t="shared" si="12"/>
        <v>0</v>
      </c>
      <c r="AE79" s="1">
        <f t="shared" si="12"/>
        <v>0</v>
      </c>
      <c r="AF79" s="1">
        <f t="shared" si="12"/>
        <v>0</v>
      </c>
      <c r="AG79" s="1">
        <f t="shared" si="12"/>
        <v>1.2987012987012988E-2</v>
      </c>
      <c r="AH79" s="1">
        <f t="shared" si="12"/>
        <v>9.0090090090090089E-3</v>
      </c>
      <c r="AI79" s="1">
        <f t="shared" si="12"/>
        <v>0</v>
      </c>
      <c r="AJ79" s="1">
        <f t="shared" si="12"/>
        <v>0</v>
      </c>
      <c r="AK79" s="1">
        <f t="shared" si="12"/>
        <v>0</v>
      </c>
      <c r="AL79" s="1">
        <f t="shared" si="12"/>
        <v>0</v>
      </c>
      <c r="AM79" s="1">
        <f t="shared" si="12"/>
        <v>2.1551724137931034E-3</v>
      </c>
      <c r="AN79" s="1">
        <f t="shared" si="12"/>
        <v>0</v>
      </c>
    </row>
    <row r="80" spans="1:41" x14ac:dyDescent="0.25">
      <c r="A80" t="s">
        <v>129</v>
      </c>
      <c r="B80" s="1">
        <f t="shared" si="11"/>
        <v>6.5231572080887146E-4</v>
      </c>
      <c r="C80" s="1">
        <f t="shared" ref="C80:AN86" si="13">C71/C$78</f>
        <v>3.2976092333058533E-3</v>
      </c>
      <c r="D80" s="1">
        <f t="shared" si="13"/>
        <v>3.4924330616996507E-3</v>
      </c>
      <c r="E80" s="1">
        <f t="shared" si="13"/>
        <v>7.7579519006982156E-3</v>
      </c>
      <c r="F80" s="1">
        <f t="shared" si="13"/>
        <v>5.2137643378519288E-3</v>
      </c>
      <c r="G80" s="1">
        <f t="shared" si="13"/>
        <v>6.0790273556231003E-3</v>
      </c>
      <c r="H80" s="1">
        <f t="shared" si="13"/>
        <v>0</v>
      </c>
      <c r="I80" s="1">
        <f t="shared" si="13"/>
        <v>0</v>
      </c>
      <c r="J80" s="1">
        <f t="shared" si="13"/>
        <v>1.4388489208633094E-3</v>
      </c>
      <c r="K80" s="1">
        <f t="shared" si="13"/>
        <v>0</v>
      </c>
      <c r="L80" s="1">
        <f t="shared" si="13"/>
        <v>1.3908205841446453E-3</v>
      </c>
      <c r="M80" s="1">
        <f t="shared" si="13"/>
        <v>9.2951200619674663E-3</v>
      </c>
      <c r="N80" s="1">
        <f t="shared" si="13"/>
        <v>2.9325513196480938E-3</v>
      </c>
      <c r="O80" s="1">
        <f t="shared" si="13"/>
        <v>7.8554595443833461E-3</v>
      </c>
      <c r="P80" s="1">
        <f t="shared" si="13"/>
        <v>2.030456852791878E-2</v>
      </c>
      <c r="Q80" s="1">
        <f t="shared" si="13"/>
        <v>0</v>
      </c>
      <c r="R80" s="1">
        <f t="shared" si="13"/>
        <v>0</v>
      </c>
      <c r="S80" s="1">
        <f t="shared" si="13"/>
        <v>0</v>
      </c>
      <c r="T80" s="1">
        <f t="shared" si="13"/>
        <v>2.0833333333333332E-2</v>
      </c>
      <c r="U80" s="1">
        <f t="shared" si="13"/>
        <v>0</v>
      </c>
      <c r="V80" s="1">
        <f t="shared" si="13"/>
        <v>0</v>
      </c>
      <c r="W80" s="1">
        <f t="shared" si="13"/>
        <v>1.7857142857142856E-2</v>
      </c>
      <c r="X80" s="1">
        <f t="shared" si="13"/>
        <v>0</v>
      </c>
      <c r="Y80" s="1">
        <f t="shared" si="13"/>
        <v>0</v>
      </c>
      <c r="Z80" s="1">
        <f t="shared" si="13"/>
        <v>0</v>
      </c>
      <c r="AA80" s="1">
        <f t="shared" si="13"/>
        <v>3.6363636363636362E-2</v>
      </c>
      <c r="AB80" s="1">
        <f t="shared" si="13"/>
        <v>0</v>
      </c>
      <c r="AC80" s="1">
        <f t="shared" si="13"/>
        <v>0</v>
      </c>
      <c r="AD80" s="1">
        <f t="shared" si="13"/>
        <v>9.3457943925233649E-4</v>
      </c>
      <c r="AE80" s="1">
        <f t="shared" si="13"/>
        <v>8.5470085470085479E-3</v>
      </c>
      <c r="AF80" s="1">
        <f t="shared" si="13"/>
        <v>0</v>
      </c>
      <c r="AG80" s="1">
        <f t="shared" si="13"/>
        <v>6.4935064935064939E-3</v>
      </c>
      <c r="AH80" s="1">
        <f t="shared" si="13"/>
        <v>4.5045045045045043E-2</v>
      </c>
      <c r="AI80" s="1">
        <f t="shared" si="13"/>
        <v>0</v>
      </c>
      <c r="AJ80" s="1">
        <f t="shared" si="13"/>
        <v>2.8011204481792717E-3</v>
      </c>
      <c r="AK80" s="1">
        <f t="shared" si="13"/>
        <v>3.5714285714285713E-3</v>
      </c>
      <c r="AL80" s="1">
        <f t="shared" si="13"/>
        <v>0</v>
      </c>
      <c r="AM80" s="1">
        <f t="shared" si="13"/>
        <v>2.1551724137931034E-3</v>
      </c>
      <c r="AN80" s="1">
        <f t="shared" si="13"/>
        <v>0</v>
      </c>
    </row>
    <row r="81" spans="1:40" x14ac:dyDescent="0.25">
      <c r="A81" t="s">
        <v>130</v>
      </c>
      <c r="B81" s="1">
        <f t="shared" si="11"/>
        <v>0.94781474233529028</v>
      </c>
      <c r="C81" s="1">
        <f t="shared" ref="C81:Q81" si="14">C72/C$78</f>
        <v>0.93075020610057713</v>
      </c>
      <c r="D81" s="1">
        <f t="shared" si="14"/>
        <v>0.89289871944121069</v>
      </c>
      <c r="E81" s="1">
        <f t="shared" si="14"/>
        <v>0.88983708301008535</v>
      </c>
      <c r="F81" s="1">
        <f t="shared" si="14"/>
        <v>0.84775808133472363</v>
      </c>
      <c r="G81" s="1">
        <f t="shared" si="14"/>
        <v>0.89817629179331304</v>
      </c>
      <c r="H81" s="1">
        <f t="shared" si="14"/>
        <v>0.96763754045307449</v>
      </c>
      <c r="I81" s="1">
        <f t="shared" si="14"/>
        <v>0.97407407407407409</v>
      </c>
      <c r="J81" s="1">
        <f t="shared" si="14"/>
        <v>0.94820143884892083</v>
      </c>
      <c r="K81" s="1">
        <f t="shared" si="14"/>
        <v>0.94247246022031828</v>
      </c>
      <c r="L81" s="1">
        <f t="shared" si="14"/>
        <v>0.93324061196105701</v>
      </c>
      <c r="M81" s="1">
        <f t="shared" si="14"/>
        <v>0.82416731216111538</v>
      </c>
      <c r="N81" s="1">
        <f t="shared" si="14"/>
        <v>0.84090909090909094</v>
      </c>
      <c r="O81" s="1">
        <f t="shared" si="14"/>
        <v>0.91594658287509823</v>
      </c>
      <c r="P81" s="1">
        <f t="shared" si="14"/>
        <v>0.8324873096446701</v>
      </c>
      <c r="Q81" s="1">
        <f t="shared" si="14"/>
        <v>0.86301369863013699</v>
      </c>
      <c r="R81" s="1">
        <f t="shared" si="13"/>
        <v>0.81506849315068497</v>
      </c>
      <c r="S81" s="1">
        <f t="shared" si="13"/>
        <v>0.90476190476190477</v>
      </c>
      <c r="T81" s="32">
        <f t="shared" si="13"/>
        <v>0.95833333333333337</v>
      </c>
      <c r="U81" s="1">
        <f t="shared" si="13"/>
        <v>0.83809523809523812</v>
      </c>
      <c r="V81" s="1">
        <f t="shared" si="13"/>
        <v>0.74468085106382975</v>
      </c>
      <c r="W81" s="1">
        <f t="shared" si="13"/>
        <v>0.7857142857142857</v>
      </c>
      <c r="X81" s="1">
        <f t="shared" si="13"/>
        <v>0.83018867924528306</v>
      </c>
      <c r="Y81" s="1">
        <f t="shared" si="13"/>
        <v>0.78947368421052633</v>
      </c>
      <c r="Z81" s="1">
        <f t="shared" si="13"/>
        <v>0.82938388625592419</v>
      </c>
      <c r="AA81" s="1">
        <f t="shared" si="13"/>
        <v>0.90909090909090906</v>
      </c>
      <c r="AB81" s="1">
        <f t="shared" si="13"/>
        <v>0.72734467748318166</v>
      </c>
      <c r="AC81" s="1">
        <f t="shared" si="13"/>
        <v>0.65464480874316944</v>
      </c>
      <c r="AD81" s="1">
        <f t="shared" si="13"/>
        <v>0.71588785046728975</v>
      </c>
      <c r="AE81" s="1">
        <f t="shared" si="13"/>
        <v>0.83760683760683763</v>
      </c>
      <c r="AF81" s="32">
        <f t="shared" si="13"/>
        <v>0.96470588235294119</v>
      </c>
      <c r="AG81" s="1">
        <f t="shared" si="13"/>
        <v>0.83116883116883122</v>
      </c>
      <c r="AH81" s="1">
        <f t="shared" si="13"/>
        <v>0.68918918918918914</v>
      </c>
      <c r="AI81" s="1">
        <f t="shared" si="13"/>
        <v>0.91616766467065869</v>
      </c>
      <c r="AJ81" s="1">
        <f t="shared" si="13"/>
        <v>0.92156862745098034</v>
      </c>
      <c r="AK81" s="1">
        <f t="shared" si="13"/>
        <v>0.93214285714285716</v>
      </c>
      <c r="AL81" s="1">
        <f t="shared" si="13"/>
        <v>0.9555555555555556</v>
      </c>
      <c r="AM81" s="1">
        <f t="shared" si="13"/>
        <v>0.93103448275862066</v>
      </c>
      <c r="AN81" s="1">
        <f t="shared" si="13"/>
        <v>0.93187347931873477</v>
      </c>
    </row>
    <row r="82" spans="1:40" x14ac:dyDescent="0.25">
      <c r="A82" t="s">
        <v>131</v>
      </c>
      <c r="B82" s="1">
        <f t="shared" si="11"/>
        <v>2.6092628832354858E-3</v>
      </c>
      <c r="C82" s="1">
        <f t="shared" si="13"/>
        <v>1.236603462489695E-2</v>
      </c>
      <c r="D82" s="1">
        <f t="shared" si="13"/>
        <v>8.1490104772991845E-3</v>
      </c>
      <c r="E82" s="1">
        <f t="shared" si="13"/>
        <v>1.3964313421256789E-2</v>
      </c>
      <c r="F82" s="1">
        <f t="shared" si="13"/>
        <v>2.2940563086548488E-2</v>
      </c>
      <c r="G82" s="1">
        <f t="shared" si="13"/>
        <v>9.11854103343465E-3</v>
      </c>
      <c r="H82" s="1">
        <f t="shared" si="13"/>
        <v>6.4724919093851136E-3</v>
      </c>
      <c r="I82" s="1">
        <f t="shared" si="13"/>
        <v>2.4691358024691358E-3</v>
      </c>
      <c r="J82" s="1">
        <f t="shared" si="13"/>
        <v>1.2949640287769784E-2</v>
      </c>
      <c r="K82" s="1">
        <f t="shared" si="13"/>
        <v>2.4479804161566705E-3</v>
      </c>
      <c r="L82" s="1">
        <f t="shared" si="13"/>
        <v>4.172461752433936E-3</v>
      </c>
      <c r="M82" s="1">
        <f t="shared" si="13"/>
        <v>2.3237800154918668E-2</v>
      </c>
      <c r="N82" s="1">
        <f t="shared" si="13"/>
        <v>1.6129032258064516E-2</v>
      </c>
      <c r="O82" s="1">
        <f t="shared" si="13"/>
        <v>7.8554595443833461E-3</v>
      </c>
      <c r="P82" s="1">
        <f t="shared" si="13"/>
        <v>1.5228426395939087E-2</v>
      </c>
      <c r="Q82" s="1">
        <f t="shared" si="13"/>
        <v>2.7397260273972601E-2</v>
      </c>
      <c r="R82" s="1">
        <f t="shared" si="13"/>
        <v>1.3698630136986301E-2</v>
      </c>
      <c r="S82" s="1">
        <f t="shared" si="13"/>
        <v>0</v>
      </c>
      <c r="T82" s="1">
        <f t="shared" si="13"/>
        <v>0</v>
      </c>
      <c r="U82" s="1">
        <f t="shared" si="13"/>
        <v>2.8571428571428571E-2</v>
      </c>
      <c r="V82" s="1">
        <f t="shared" si="13"/>
        <v>4.2553191489361701E-2</v>
      </c>
      <c r="W82" s="1">
        <f t="shared" si="13"/>
        <v>3.5714285714285712E-2</v>
      </c>
      <c r="X82" s="1">
        <f t="shared" si="13"/>
        <v>7.5471698113207544E-2</v>
      </c>
      <c r="Y82" s="1">
        <f t="shared" si="13"/>
        <v>0.10526315789473684</v>
      </c>
      <c r="Z82" s="1">
        <f t="shared" si="13"/>
        <v>4.2654028436018961E-2</v>
      </c>
      <c r="AA82" s="1">
        <f t="shared" si="13"/>
        <v>0</v>
      </c>
      <c r="AB82" s="1">
        <f t="shared" si="13"/>
        <v>1.662049861495845E-2</v>
      </c>
      <c r="AC82" s="1">
        <f t="shared" si="13"/>
        <v>9.8360655737704927E-3</v>
      </c>
      <c r="AD82" s="1">
        <f t="shared" si="13"/>
        <v>5.6074766355140183E-3</v>
      </c>
      <c r="AE82" s="1">
        <f t="shared" si="13"/>
        <v>2.564102564102564E-2</v>
      </c>
      <c r="AF82" s="1">
        <f t="shared" si="13"/>
        <v>0</v>
      </c>
      <c r="AG82" s="1">
        <f t="shared" si="13"/>
        <v>6.4935064935064939E-3</v>
      </c>
      <c r="AH82" s="1">
        <f t="shared" si="13"/>
        <v>3.6036036036036036E-2</v>
      </c>
      <c r="AI82" s="1">
        <f t="shared" si="13"/>
        <v>0</v>
      </c>
      <c r="AJ82" s="1">
        <f t="shared" si="13"/>
        <v>2.8011204481792717E-3</v>
      </c>
      <c r="AK82" s="1">
        <f t="shared" si="13"/>
        <v>0</v>
      </c>
      <c r="AL82" s="1">
        <f t="shared" si="13"/>
        <v>2.4691358024691358E-3</v>
      </c>
      <c r="AM82" s="1">
        <f t="shared" si="13"/>
        <v>8.6206896551724137E-3</v>
      </c>
      <c r="AN82" s="1">
        <f t="shared" si="13"/>
        <v>4.8661800486618006E-3</v>
      </c>
    </row>
    <row r="83" spans="1:40" x14ac:dyDescent="0.25">
      <c r="A83" t="s">
        <v>132</v>
      </c>
      <c r="B83" s="1">
        <f t="shared" si="11"/>
        <v>5.8708414872798431E-3</v>
      </c>
      <c r="C83" s="1">
        <f t="shared" si="13"/>
        <v>1.6488046166529267E-3</v>
      </c>
      <c r="D83" s="1">
        <f t="shared" si="13"/>
        <v>2.3282887077997671E-3</v>
      </c>
      <c r="E83" s="1">
        <f t="shared" si="13"/>
        <v>6.2063615205585725E-3</v>
      </c>
      <c r="F83" s="1">
        <f t="shared" si="13"/>
        <v>6.2565172054223151E-3</v>
      </c>
      <c r="G83" s="1">
        <f t="shared" si="13"/>
        <v>1.5197568389057751E-3</v>
      </c>
      <c r="H83" s="1">
        <f t="shared" si="13"/>
        <v>1.6181229773462784E-3</v>
      </c>
      <c r="I83" s="1">
        <f t="shared" si="13"/>
        <v>1.2345679012345679E-3</v>
      </c>
      <c r="J83" s="1">
        <f t="shared" si="13"/>
        <v>1.4388489208633094E-3</v>
      </c>
      <c r="K83" s="1">
        <f t="shared" si="13"/>
        <v>1.2239902080783353E-3</v>
      </c>
      <c r="L83" s="1">
        <f t="shared" si="13"/>
        <v>0</v>
      </c>
      <c r="M83" s="1">
        <f t="shared" si="13"/>
        <v>5.422153369481022E-3</v>
      </c>
      <c r="N83" s="1">
        <f t="shared" si="13"/>
        <v>2.9325513196480938E-3</v>
      </c>
      <c r="O83" s="1">
        <f t="shared" si="13"/>
        <v>2.3566378633150041E-3</v>
      </c>
      <c r="P83" s="1">
        <f t="shared" si="13"/>
        <v>1.015228426395939E-2</v>
      </c>
      <c r="Q83" s="1">
        <f t="shared" si="13"/>
        <v>0</v>
      </c>
      <c r="R83" s="1">
        <f t="shared" si="13"/>
        <v>0</v>
      </c>
      <c r="S83" s="1">
        <f t="shared" si="13"/>
        <v>0</v>
      </c>
      <c r="T83" s="1">
        <f t="shared" si="13"/>
        <v>0</v>
      </c>
      <c r="U83" s="1">
        <f t="shared" si="13"/>
        <v>9.5238095238095247E-3</v>
      </c>
      <c r="V83" s="1">
        <f t="shared" si="13"/>
        <v>2.1276595744680851E-2</v>
      </c>
      <c r="W83" s="1">
        <f t="shared" si="13"/>
        <v>0</v>
      </c>
      <c r="X83" s="1">
        <f t="shared" si="13"/>
        <v>0</v>
      </c>
      <c r="Y83" s="1">
        <f t="shared" si="13"/>
        <v>0</v>
      </c>
      <c r="Z83" s="1">
        <f t="shared" si="13"/>
        <v>0</v>
      </c>
      <c r="AA83" s="1">
        <f t="shared" si="13"/>
        <v>0</v>
      </c>
      <c r="AB83" s="1">
        <f t="shared" si="13"/>
        <v>0.14364859517214087</v>
      </c>
      <c r="AC83" s="1">
        <f t="shared" si="13"/>
        <v>0.12896174863387977</v>
      </c>
      <c r="AD83" s="1">
        <f t="shared" si="13"/>
        <v>0.17570093457943925</v>
      </c>
      <c r="AE83" s="1">
        <f t="shared" si="13"/>
        <v>0</v>
      </c>
      <c r="AF83" s="1">
        <f t="shared" si="13"/>
        <v>0</v>
      </c>
      <c r="AG83" s="1">
        <f t="shared" si="13"/>
        <v>0</v>
      </c>
      <c r="AH83" s="1">
        <f t="shared" si="13"/>
        <v>4.5045045045045045E-3</v>
      </c>
      <c r="AI83" s="1">
        <f t="shared" si="13"/>
        <v>0</v>
      </c>
      <c r="AJ83" s="1">
        <f t="shared" si="13"/>
        <v>2.8011204481792717E-3</v>
      </c>
      <c r="AK83" s="1">
        <f t="shared" si="13"/>
        <v>0</v>
      </c>
      <c r="AL83" s="1">
        <f t="shared" si="13"/>
        <v>0</v>
      </c>
      <c r="AM83" s="1">
        <f t="shared" si="13"/>
        <v>5.387931034482759E-3</v>
      </c>
      <c r="AN83" s="1">
        <f t="shared" si="13"/>
        <v>2.4330900243309003E-3</v>
      </c>
    </row>
    <row r="84" spans="1:40" x14ac:dyDescent="0.25">
      <c r="A84" t="s">
        <v>133</v>
      </c>
      <c r="B84" s="1">
        <f t="shared" si="11"/>
        <v>1.2393998695368558E-2</v>
      </c>
      <c r="C84" s="1">
        <f t="shared" si="13"/>
        <v>2.6380873866446827E-2</v>
      </c>
      <c r="D84" s="1">
        <f t="shared" si="13"/>
        <v>3.8416763678696161E-2</v>
      </c>
      <c r="E84" s="1">
        <f t="shared" si="13"/>
        <v>4.7323506594259115E-2</v>
      </c>
      <c r="F84" s="1">
        <f t="shared" si="13"/>
        <v>5.3180396246089674E-2</v>
      </c>
      <c r="G84" s="1">
        <f t="shared" si="13"/>
        <v>2.7355623100303952E-2</v>
      </c>
      <c r="H84" s="1">
        <f t="shared" si="13"/>
        <v>6.4724919093851136E-3</v>
      </c>
      <c r="I84" s="1">
        <f t="shared" si="13"/>
        <v>8.6419753086419745E-3</v>
      </c>
      <c r="J84" s="1">
        <f t="shared" si="13"/>
        <v>1.0071942446043165E-2</v>
      </c>
      <c r="K84" s="1">
        <f t="shared" si="13"/>
        <v>2.0807833537331701E-2</v>
      </c>
      <c r="L84" s="1">
        <f t="shared" si="13"/>
        <v>2.6425591098748261E-2</v>
      </c>
      <c r="M84" s="1">
        <f t="shared" si="13"/>
        <v>6.1967467079783116E-2</v>
      </c>
      <c r="N84" s="1">
        <f t="shared" si="13"/>
        <v>6.8181818181818177E-2</v>
      </c>
      <c r="O84" s="1">
        <f t="shared" si="13"/>
        <v>2.2780832678711706E-2</v>
      </c>
      <c r="P84" s="1">
        <f t="shared" si="13"/>
        <v>2.5380710659898477E-2</v>
      </c>
      <c r="Q84" s="1">
        <f t="shared" si="13"/>
        <v>1.3698630136986301E-2</v>
      </c>
      <c r="R84" s="1">
        <f t="shared" si="13"/>
        <v>3.4246575342465752E-2</v>
      </c>
      <c r="S84" s="1">
        <f t="shared" si="13"/>
        <v>0</v>
      </c>
      <c r="T84" s="1">
        <f t="shared" si="13"/>
        <v>0</v>
      </c>
      <c r="U84" s="1">
        <f t="shared" si="13"/>
        <v>1.9047619047619049E-2</v>
      </c>
      <c r="V84" s="1">
        <f t="shared" si="13"/>
        <v>0.10638297872340426</v>
      </c>
      <c r="W84" s="1">
        <f t="shared" si="13"/>
        <v>0.10714285714285714</v>
      </c>
      <c r="X84" s="1">
        <f t="shared" si="13"/>
        <v>0</v>
      </c>
      <c r="Y84" s="1">
        <f t="shared" si="13"/>
        <v>5.2631578947368418E-2</v>
      </c>
      <c r="Z84" s="1">
        <f t="shared" si="13"/>
        <v>4.7393364928909949E-2</v>
      </c>
      <c r="AA84" s="1">
        <f t="shared" si="13"/>
        <v>1.8181818181818181E-2</v>
      </c>
      <c r="AB84" s="1">
        <f t="shared" si="13"/>
        <v>3.3240997229916899E-2</v>
      </c>
      <c r="AC84" s="1">
        <f t="shared" si="13"/>
        <v>0.12568306010928962</v>
      </c>
      <c r="AD84" s="1">
        <f t="shared" si="13"/>
        <v>3.1775700934579439E-2</v>
      </c>
      <c r="AE84" s="1">
        <f t="shared" si="13"/>
        <v>6.8376068376068383E-2</v>
      </c>
      <c r="AF84" s="1">
        <f t="shared" si="13"/>
        <v>1.1764705882352941E-2</v>
      </c>
      <c r="AG84" s="1">
        <f t="shared" si="13"/>
        <v>7.1428571428571425E-2</v>
      </c>
      <c r="AH84" s="1">
        <f t="shared" si="13"/>
        <v>0.10810810810810811</v>
      </c>
      <c r="AI84" s="1">
        <f t="shared" si="13"/>
        <v>2.9940119760479042E-2</v>
      </c>
      <c r="AJ84" s="1">
        <f t="shared" si="13"/>
        <v>3.081232492997199E-2</v>
      </c>
      <c r="AK84" s="1">
        <f t="shared" si="13"/>
        <v>1.4285714285714285E-2</v>
      </c>
      <c r="AL84" s="1">
        <f t="shared" si="13"/>
        <v>1.9753086419753086E-2</v>
      </c>
      <c r="AM84" s="1">
        <f t="shared" si="13"/>
        <v>1.7241379310344827E-2</v>
      </c>
      <c r="AN84" s="1">
        <f t="shared" si="13"/>
        <v>2.0681265206812651E-2</v>
      </c>
    </row>
    <row r="85" spans="1:40" x14ac:dyDescent="0.25">
      <c r="A85" t="s">
        <v>134</v>
      </c>
      <c r="B85" s="1">
        <f t="shared" si="11"/>
        <v>1.3698630136986301E-2</v>
      </c>
      <c r="C85" s="1">
        <f t="shared" si="13"/>
        <v>1.5663643858202802E-2</v>
      </c>
      <c r="D85" s="1">
        <f t="shared" si="13"/>
        <v>2.9103608847497089E-2</v>
      </c>
      <c r="E85" s="1">
        <f t="shared" si="13"/>
        <v>2.0170674941815361E-2</v>
      </c>
      <c r="F85" s="1">
        <f t="shared" si="13"/>
        <v>3.3368091762252347E-2</v>
      </c>
      <c r="G85" s="1">
        <f t="shared" si="13"/>
        <v>2.8875379939209727E-2</v>
      </c>
      <c r="H85" s="1">
        <f t="shared" si="13"/>
        <v>6.4724919093851136E-3</v>
      </c>
      <c r="I85" s="1">
        <f t="shared" si="13"/>
        <v>2.4691358024691358E-3</v>
      </c>
      <c r="J85" s="1">
        <f t="shared" si="13"/>
        <v>8.6330935251798559E-3</v>
      </c>
      <c r="K85" s="1">
        <f t="shared" si="13"/>
        <v>1.1015911872705019E-2</v>
      </c>
      <c r="L85" s="1">
        <f t="shared" si="13"/>
        <v>1.2517385257301807E-2</v>
      </c>
      <c r="M85" s="1">
        <f t="shared" si="13"/>
        <v>5.1123160340821067E-2</v>
      </c>
      <c r="N85" s="1">
        <f t="shared" si="13"/>
        <v>4.398826979472141E-2</v>
      </c>
      <c r="O85" s="1">
        <f t="shared" si="13"/>
        <v>2.5923016496465043E-2</v>
      </c>
      <c r="P85" s="1">
        <f t="shared" si="13"/>
        <v>7.6142131979695438E-2</v>
      </c>
      <c r="Q85" s="1">
        <f t="shared" si="13"/>
        <v>5.4794520547945202E-2</v>
      </c>
      <c r="R85" s="1">
        <f t="shared" si="13"/>
        <v>0.10273972602739725</v>
      </c>
      <c r="S85" s="1">
        <f t="shared" si="13"/>
        <v>4.7619047619047616E-2</v>
      </c>
      <c r="T85" s="1">
        <f t="shared" si="13"/>
        <v>0</v>
      </c>
      <c r="U85" s="1">
        <f t="shared" si="13"/>
        <v>5.7142857142857141E-2</v>
      </c>
      <c r="V85" s="1">
        <f t="shared" si="13"/>
        <v>6.3829787234042548E-2</v>
      </c>
      <c r="W85" s="1">
        <f t="shared" si="13"/>
        <v>3.5714285714285712E-2</v>
      </c>
      <c r="X85" s="1">
        <f t="shared" si="13"/>
        <v>3.7735849056603772E-2</v>
      </c>
      <c r="Y85" s="1">
        <f t="shared" si="13"/>
        <v>2.6315789473684209E-2</v>
      </c>
      <c r="Z85" s="1">
        <f t="shared" si="13"/>
        <v>3.3175355450236969E-2</v>
      </c>
      <c r="AA85" s="1">
        <f t="shared" si="13"/>
        <v>1.8181818181818181E-2</v>
      </c>
      <c r="AB85" s="1">
        <f t="shared" si="13"/>
        <v>5.3027305104867431E-2</v>
      </c>
      <c r="AC85" s="1">
        <f t="shared" si="13"/>
        <v>5.4644808743169397E-2</v>
      </c>
      <c r="AD85" s="1">
        <f t="shared" si="13"/>
        <v>5.7943925233644861E-2</v>
      </c>
      <c r="AE85" s="1">
        <f t="shared" si="13"/>
        <v>5.9829059829059832E-2</v>
      </c>
      <c r="AF85" s="1">
        <f t="shared" si="13"/>
        <v>1.1764705882352941E-2</v>
      </c>
      <c r="AG85" s="1">
        <f t="shared" si="13"/>
        <v>7.1428571428571425E-2</v>
      </c>
      <c r="AH85" s="1">
        <f t="shared" si="13"/>
        <v>7.2072072072072071E-2</v>
      </c>
      <c r="AI85" s="1">
        <f t="shared" si="13"/>
        <v>1.1976047904191617E-2</v>
      </c>
      <c r="AJ85" s="1">
        <f t="shared" si="13"/>
        <v>2.8011204481792717E-3</v>
      </c>
      <c r="AK85" s="1">
        <f t="shared" si="13"/>
        <v>7.1428571428571426E-3</v>
      </c>
      <c r="AL85" s="1">
        <f t="shared" si="13"/>
        <v>0</v>
      </c>
      <c r="AM85" s="1">
        <f t="shared" si="13"/>
        <v>1.9396551724137932E-2</v>
      </c>
      <c r="AN85" s="1">
        <f t="shared" si="13"/>
        <v>8.5158150851581509E-3</v>
      </c>
    </row>
    <row r="86" spans="1:40" x14ac:dyDescent="0.25">
      <c r="A86" t="s">
        <v>135</v>
      </c>
      <c r="B86" s="1">
        <f t="shared" si="11"/>
        <v>1.3046314416177429E-2</v>
      </c>
      <c r="C86" s="1">
        <f t="shared" si="13"/>
        <v>9.0684253915910961E-3</v>
      </c>
      <c r="D86" s="1">
        <f t="shared" si="13"/>
        <v>2.3282887077997673E-2</v>
      </c>
      <c r="E86" s="1">
        <f t="shared" si="13"/>
        <v>1.4740108611326609E-2</v>
      </c>
      <c r="F86" s="1">
        <f t="shared" si="13"/>
        <v>2.7111574556830033E-2</v>
      </c>
      <c r="G86" s="1">
        <f t="shared" si="13"/>
        <v>2.8875379939209727E-2</v>
      </c>
      <c r="H86" s="1">
        <f t="shared" si="13"/>
        <v>1.1326860841423949E-2</v>
      </c>
      <c r="I86" s="1">
        <f t="shared" si="13"/>
        <v>9.876543209876543E-3</v>
      </c>
      <c r="J86" s="1">
        <f t="shared" si="13"/>
        <v>1.7266187050359712E-2</v>
      </c>
      <c r="K86" s="1">
        <f t="shared" si="13"/>
        <v>1.9583843329253364E-2</v>
      </c>
      <c r="L86" s="1">
        <f t="shared" si="13"/>
        <v>2.2253129346314324E-2</v>
      </c>
      <c r="M86" s="1">
        <f t="shared" si="13"/>
        <v>1.9364833462432222E-2</v>
      </c>
      <c r="N86" s="1">
        <f t="shared" si="13"/>
        <v>2.1260997067448679E-2</v>
      </c>
      <c r="O86" s="1">
        <f t="shared" si="13"/>
        <v>1.5710919088766692E-2</v>
      </c>
      <c r="P86" s="1">
        <f t="shared" si="13"/>
        <v>2.030456852791878E-2</v>
      </c>
      <c r="Q86" s="1">
        <f t="shared" si="13"/>
        <v>2.7397260273972601E-2</v>
      </c>
      <c r="R86" s="1">
        <f t="shared" si="13"/>
        <v>3.4246575342465752E-2</v>
      </c>
      <c r="S86" s="1">
        <f t="shared" si="13"/>
        <v>4.7619047619047616E-2</v>
      </c>
      <c r="T86" s="1">
        <f t="shared" si="13"/>
        <v>2.0833333333333332E-2</v>
      </c>
      <c r="U86" s="1">
        <f t="shared" si="13"/>
        <v>1.9047619047619049E-2</v>
      </c>
      <c r="V86" s="1">
        <f t="shared" si="13"/>
        <v>2.1276595744680851E-2</v>
      </c>
      <c r="W86" s="1">
        <f t="shared" si="13"/>
        <v>1.7857142857142856E-2</v>
      </c>
      <c r="X86" s="1">
        <f t="shared" si="13"/>
        <v>5.6603773584905662E-2</v>
      </c>
      <c r="Y86" s="1">
        <f t="shared" si="13"/>
        <v>2.6315789473684209E-2</v>
      </c>
      <c r="Z86" s="1">
        <f t="shared" si="13"/>
        <v>4.2654028436018961E-2</v>
      </c>
      <c r="AA86" s="1">
        <f t="shared" si="13"/>
        <v>0</v>
      </c>
      <c r="AB86" s="1">
        <f t="shared" si="13"/>
        <v>2.6117926394934706E-2</v>
      </c>
      <c r="AC86" s="1">
        <f t="shared" si="13"/>
        <v>2.6229508196721311E-2</v>
      </c>
      <c r="AD86" s="1">
        <f t="shared" si="13"/>
        <v>1.2149532710280374E-2</v>
      </c>
      <c r="AE86" s="1">
        <f t="shared" si="13"/>
        <v>0</v>
      </c>
      <c r="AF86" s="1">
        <f t="shared" si="13"/>
        <v>1.1764705882352941E-2</v>
      </c>
      <c r="AG86" s="1">
        <f t="shared" si="13"/>
        <v>0</v>
      </c>
      <c r="AH86" s="1">
        <f t="shared" si="13"/>
        <v>3.6036036036036036E-2</v>
      </c>
      <c r="AI86" s="1">
        <f t="shared" si="13"/>
        <v>4.1916167664670656E-2</v>
      </c>
      <c r="AJ86" s="1">
        <f t="shared" si="13"/>
        <v>3.6414565826330535E-2</v>
      </c>
      <c r="AK86" s="1">
        <f t="shared" si="13"/>
        <v>4.2857142857142858E-2</v>
      </c>
      <c r="AL86" s="1">
        <f t="shared" si="13"/>
        <v>2.2222222222222223E-2</v>
      </c>
      <c r="AM86" s="1">
        <f t="shared" si="13"/>
        <v>1.4008620689655173E-2</v>
      </c>
      <c r="AN86" s="1">
        <f t="shared" si="13"/>
        <v>3.1630170316301706E-2</v>
      </c>
    </row>
    <row r="88" spans="1:40" x14ac:dyDescent="0.25">
      <c r="B88" s="1">
        <f>SUM(B81:F81)/5</f>
        <v>0.90181176644437744</v>
      </c>
      <c r="G88" s="1">
        <f>SUM(G81:L81)/6</f>
        <v>0.94396706955845955</v>
      </c>
      <c r="M88" s="1">
        <f>SUM(M81:O81)/3</f>
        <v>0.86034099531510144</v>
      </c>
      <c r="P88" s="1">
        <f>(SUM(P81:AA81)-T81)/11</f>
        <v>0.83108717635121721</v>
      </c>
      <c r="AB88" s="1">
        <f>SUM(AB81:AD81)/3</f>
        <v>0.69929244556454695</v>
      </c>
      <c r="AE88" s="1">
        <f>(SUM(AE81:AI81)-AF81)/4</f>
        <v>0.81853313065887923</v>
      </c>
      <c r="AJ88" s="1">
        <f>SUM(AJ81:AN81)/5</f>
        <v>0.93443500044534977</v>
      </c>
    </row>
    <row r="92" spans="1:40" x14ac:dyDescent="0.25">
      <c r="B92">
        <v>1</v>
      </c>
      <c r="C92" t="s">
        <v>41</v>
      </c>
      <c r="D92" t="s">
        <v>90</v>
      </c>
      <c r="E92">
        <v>1533</v>
      </c>
      <c r="F92">
        <v>78</v>
      </c>
      <c r="G92" s="1">
        <f>F92/E92</f>
        <v>5.0880626223091974E-2</v>
      </c>
      <c r="N92" t="str">
        <f>D92</f>
        <v>GENESIS</v>
      </c>
      <c r="O92" s="6">
        <f>G92</f>
        <v>5.0880626223091974E-2</v>
      </c>
    </row>
    <row r="93" spans="1:40" x14ac:dyDescent="0.25">
      <c r="B93">
        <v>2</v>
      </c>
      <c r="C93" t="s">
        <v>41</v>
      </c>
      <c r="D93" t="s">
        <v>91</v>
      </c>
      <c r="E93">
        <v>1213</v>
      </c>
      <c r="F93">
        <v>81</v>
      </c>
      <c r="G93" s="1">
        <f t="shared" ref="G93:G137" si="15">F93/E93</f>
        <v>6.6776586974443525E-2</v>
      </c>
      <c r="N93" t="str">
        <f t="shared" ref="N93:N136" si="16">D93</f>
        <v>EXODUS</v>
      </c>
      <c r="O93" s="6">
        <f t="shared" ref="O93:O136" si="17">G93</f>
        <v>6.6776586974443525E-2</v>
      </c>
    </row>
    <row r="94" spans="1:40" x14ac:dyDescent="0.25">
      <c r="B94">
        <v>3</v>
      </c>
      <c r="C94" t="s">
        <v>41</v>
      </c>
      <c r="D94" t="s">
        <v>92</v>
      </c>
      <c r="E94">
        <v>859</v>
      </c>
      <c r="F94">
        <v>87</v>
      </c>
      <c r="G94" s="1">
        <f t="shared" si="15"/>
        <v>0.10128055878928988</v>
      </c>
      <c r="N94" t="str">
        <f t="shared" si="16"/>
        <v>LEVITICUS</v>
      </c>
      <c r="O94" s="6">
        <f t="shared" si="17"/>
        <v>0.10128055878928988</v>
      </c>
    </row>
    <row r="95" spans="1:40" x14ac:dyDescent="0.25">
      <c r="B95">
        <v>4</v>
      </c>
      <c r="C95" t="s">
        <v>41</v>
      </c>
      <c r="D95" t="s">
        <v>93</v>
      </c>
      <c r="E95">
        <v>1289</v>
      </c>
      <c r="F95">
        <v>140</v>
      </c>
      <c r="G95" s="1">
        <f t="shared" si="15"/>
        <v>0.10861132660977502</v>
      </c>
      <c r="N95" t="str">
        <f t="shared" si="16"/>
        <v>NUMBERS</v>
      </c>
      <c r="O95" s="6">
        <f t="shared" si="17"/>
        <v>0.10861132660977502</v>
      </c>
    </row>
    <row r="96" spans="1:40" x14ac:dyDescent="0.25">
      <c r="B96">
        <v>5</v>
      </c>
      <c r="C96" t="s">
        <v>41</v>
      </c>
      <c r="D96" t="s">
        <v>94</v>
      </c>
      <c r="E96">
        <v>959</v>
      </c>
      <c r="F96">
        <v>140</v>
      </c>
      <c r="G96" s="1">
        <f t="shared" si="15"/>
        <v>0.145985401459854</v>
      </c>
      <c r="I96" t="s">
        <v>94</v>
      </c>
      <c r="J96">
        <v>959</v>
      </c>
      <c r="K96">
        <v>140</v>
      </c>
      <c r="L96" s="1">
        <f>K96/J96</f>
        <v>0.145985401459854</v>
      </c>
      <c r="N96" t="str">
        <f t="shared" si="16"/>
        <v>DEUTERONOMY</v>
      </c>
      <c r="O96" s="6">
        <f t="shared" si="17"/>
        <v>0.145985401459854</v>
      </c>
    </row>
    <row r="97" spans="2:15" x14ac:dyDescent="0.25">
      <c r="B97">
        <v>6</v>
      </c>
      <c r="C97" t="s">
        <v>41</v>
      </c>
      <c r="D97" t="s">
        <v>95</v>
      </c>
      <c r="E97">
        <v>658</v>
      </c>
      <c r="F97">
        <v>65</v>
      </c>
      <c r="G97" s="1">
        <f t="shared" si="15"/>
        <v>9.878419452887538E-2</v>
      </c>
      <c r="I97" t="s">
        <v>737</v>
      </c>
      <c r="J97">
        <v>766</v>
      </c>
      <c r="K97">
        <v>126</v>
      </c>
      <c r="L97" s="1">
        <f>K97/J97</f>
        <v>0.16449086161879894</v>
      </c>
      <c r="N97" t="str">
        <f t="shared" si="16"/>
        <v>JOSHUA</v>
      </c>
      <c r="O97" s="6">
        <f t="shared" si="17"/>
        <v>9.878419452887538E-2</v>
      </c>
    </row>
    <row r="98" spans="2:15" x14ac:dyDescent="0.25">
      <c r="B98">
        <v>7</v>
      </c>
      <c r="C98" t="s">
        <v>41</v>
      </c>
      <c r="D98" t="s">
        <v>96</v>
      </c>
      <c r="E98">
        <v>618</v>
      </c>
      <c r="F98">
        <v>17</v>
      </c>
      <c r="G98" s="1">
        <f t="shared" si="15"/>
        <v>2.7508090614886731E-2</v>
      </c>
      <c r="I98" t="s">
        <v>100</v>
      </c>
      <c r="J98">
        <v>1364</v>
      </c>
      <c r="K98">
        <v>210</v>
      </c>
      <c r="L98" s="1">
        <f t="shared" ref="L98:L117" si="18">K98/J98</f>
        <v>0.15395894428152493</v>
      </c>
      <c r="N98" t="str">
        <f t="shared" si="16"/>
        <v>JUDGES</v>
      </c>
      <c r="O98" s="6">
        <f t="shared" si="17"/>
        <v>2.7508090614886731E-2</v>
      </c>
    </row>
    <row r="99" spans="2:15" x14ac:dyDescent="0.25">
      <c r="B99">
        <v>8</v>
      </c>
      <c r="C99" t="s">
        <v>41</v>
      </c>
      <c r="D99" t="s">
        <v>124</v>
      </c>
      <c r="E99">
        <v>810</v>
      </c>
      <c r="F99">
        <v>19</v>
      </c>
      <c r="G99" s="1">
        <f t="shared" si="15"/>
        <v>2.3456790123456792E-2</v>
      </c>
      <c r="I99" t="s">
        <v>102</v>
      </c>
      <c r="J99">
        <v>197</v>
      </c>
      <c r="K99">
        <v>32</v>
      </c>
      <c r="L99" s="1">
        <f t="shared" si="18"/>
        <v>0.16243654822335024</v>
      </c>
      <c r="N99" t="str">
        <f t="shared" si="16"/>
        <v>1 SAMUEL</v>
      </c>
      <c r="O99" s="6">
        <f t="shared" si="17"/>
        <v>2.3456790123456792E-2</v>
      </c>
    </row>
    <row r="100" spans="2:15" x14ac:dyDescent="0.25">
      <c r="B100">
        <v>9</v>
      </c>
      <c r="C100" t="s">
        <v>41</v>
      </c>
      <c r="D100" t="s">
        <v>123</v>
      </c>
      <c r="E100">
        <v>695</v>
      </c>
      <c r="F100">
        <v>30</v>
      </c>
      <c r="G100" s="1">
        <f t="shared" si="15"/>
        <v>4.3165467625899283E-2</v>
      </c>
      <c r="I100" t="s">
        <v>104</v>
      </c>
      <c r="J100">
        <v>146</v>
      </c>
      <c r="K100">
        <v>26</v>
      </c>
      <c r="L100" s="1">
        <f t="shared" si="18"/>
        <v>0.17808219178082191</v>
      </c>
      <c r="N100" t="str">
        <f t="shared" si="16"/>
        <v>2 SAMUEL</v>
      </c>
      <c r="O100" s="6">
        <f t="shared" si="17"/>
        <v>4.3165467625899283E-2</v>
      </c>
    </row>
    <row r="101" spans="2:15" x14ac:dyDescent="0.25">
      <c r="B101">
        <v>10</v>
      </c>
      <c r="C101" t="s">
        <v>41</v>
      </c>
      <c r="D101" t="s">
        <v>97</v>
      </c>
      <c r="E101">
        <v>817</v>
      </c>
      <c r="F101">
        <v>45</v>
      </c>
      <c r="G101" s="1">
        <f t="shared" si="15"/>
        <v>5.5079559363525092E-2</v>
      </c>
      <c r="I101" t="s">
        <v>105</v>
      </c>
      <c r="J101">
        <v>21</v>
      </c>
      <c r="K101">
        <v>1</v>
      </c>
      <c r="L101" s="1">
        <f t="shared" si="18"/>
        <v>4.7619047619047616E-2</v>
      </c>
      <c r="N101" t="str">
        <f t="shared" si="16"/>
        <v>1 KINGS</v>
      </c>
      <c r="O101" s="6">
        <f t="shared" si="17"/>
        <v>5.5079559363525092E-2</v>
      </c>
    </row>
    <row r="102" spans="2:15" x14ac:dyDescent="0.25">
      <c r="B102">
        <v>11</v>
      </c>
      <c r="C102" t="s">
        <v>41</v>
      </c>
      <c r="D102" t="s">
        <v>98</v>
      </c>
      <c r="E102">
        <v>719</v>
      </c>
      <c r="F102">
        <v>47</v>
      </c>
      <c r="G102" s="1">
        <f t="shared" si="15"/>
        <v>6.5368567454798326E-2</v>
      </c>
      <c r="I102" t="s">
        <v>107</v>
      </c>
      <c r="J102">
        <v>105</v>
      </c>
      <c r="K102">
        <v>17</v>
      </c>
      <c r="L102" s="1">
        <f t="shared" si="18"/>
        <v>0.16190476190476191</v>
      </c>
      <c r="N102" t="str">
        <f t="shared" si="16"/>
        <v>2 KINGS</v>
      </c>
      <c r="O102" s="6">
        <f t="shared" si="17"/>
        <v>6.5368567454798326E-2</v>
      </c>
    </row>
    <row r="103" spans="2:15" x14ac:dyDescent="0.25">
      <c r="E103">
        <f>SUM(E92:E102)</f>
        <v>10170</v>
      </c>
      <c r="F103">
        <f>SUM(F92:F102)</f>
        <v>749</v>
      </c>
      <c r="G103" s="1">
        <f t="shared" si="15"/>
        <v>7.3647984267453295E-2</v>
      </c>
      <c r="I103" t="s">
        <v>108</v>
      </c>
      <c r="J103">
        <v>47</v>
      </c>
      <c r="K103">
        <v>12</v>
      </c>
      <c r="L103" s="1">
        <f t="shared" si="18"/>
        <v>0.25531914893617019</v>
      </c>
      <c r="O103" s="6"/>
    </row>
    <row r="104" spans="2:15" x14ac:dyDescent="0.25">
      <c r="B104">
        <v>12</v>
      </c>
      <c r="C104" t="s">
        <v>41</v>
      </c>
      <c r="D104" t="s">
        <v>99</v>
      </c>
      <c r="E104">
        <v>766</v>
      </c>
      <c r="F104">
        <v>126</v>
      </c>
      <c r="G104" s="1">
        <f>F104/E104</f>
        <v>0.16449086161879894</v>
      </c>
      <c r="I104" t="s">
        <v>109</v>
      </c>
      <c r="J104">
        <v>56</v>
      </c>
      <c r="K104">
        <v>12</v>
      </c>
      <c r="L104" s="1">
        <f t="shared" si="18"/>
        <v>0.21428571428571427</v>
      </c>
      <c r="N104" t="str">
        <f t="shared" si="16"/>
        <v>ISAIAH</v>
      </c>
      <c r="O104" s="6">
        <f t="shared" si="17"/>
        <v>0.16449086161879894</v>
      </c>
    </row>
    <row r="105" spans="2:15" x14ac:dyDescent="0.25">
      <c r="B105">
        <v>13</v>
      </c>
      <c r="C105" t="s">
        <v>41</v>
      </c>
      <c r="D105" t="s">
        <v>100</v>
      </c>
      <c r="E105">
        <v>1364</v>
      </c>
      <c r="F105">
        <v>210</v>
      </c>
      <c r="G105" s="1">
        <f t="shared" si="15"/>
        <v>0.15395894428152493</v>
      </c>
      <c r="I105" t="s">
        <v>110</v>
      </c>
      <c r="J105">
        <v>53</v>
      </c>
      <c r="K105">
        <v>8</v>
      </c>
      <c r="L105" s="1">
        <f t="shared" si="18"/>
        <v>0.15094339622641509</v>
      </c>
      <c r="N105" t="str">
        <f t="shared" si="16"/>
        <v>JEREMIAH</v>
      </c>
      <c r="O105" s="6">
        <f t="shared" si="17"/>
        <v>0.15395894428152493</v>
      </c>
    </row>
    <row r="106" spans="2:15" x14ac:dyDescent="0.25">
      <c r="B106">
        <v>15</v>
      </c>
      <c r="C106" t="s">
        <v>41</v>
      </c>
      <c r="D106" t="s">
        <v>102</v>
      </c>
      <c r="E106">
        <v>197</v>
      </c>
      <c r="F106">
        <v>32</v>
      </c>
      <c r="G106" s="1">
        <f t="shared" si="15"/>
        <v>0.16243654822335024</v>
      </c>
      <c r="I106" t="s">
        <v>738</v>
      </c>
      <c r="J106">
        <v>525</v>
      </c>
      <c r="K106">
        <v>100</v>
      </c>
      <c r="L106" s="1">
        <f t="shared" si="18"/>
        <v>0.19047619047619047</v>
      </c>
      <c r="N106" t="str">
        <f t="shared" si="16"/>
        <v>HOSEA</v>
      </c>
      <c r="O106" s="6">
        <f t="shared" si="17"/>
        <v>0.16243654822335024</v>
      </c>
    </row>
    <row r="107" spans="2:15" x14ac:dyDescent="0.25">
      <c r="B107">
        <v>17</v>
      </c>
      <c r="C107" t="s">
        <v>41</v>
      </c>
      <c r="D107" t="s">
        <v>104</v>
      </c>
      <c r="E107">
        <v>146</v>
      </c>
      <c r="F107">
        <v>26</v>
      </c>
      <c r="G107" s="1">
        <f t="shared" si="15"/>
        <v>0.17808219178082191</v>
      </c>
      <c r="I107" t="s">
        <v>101</v>
      </c>
      <c r="J107">
        <v>1273</v>
      </c>
      <c r="K107">
        <v>104</v>
      </c>
      <c r="L107" s="1">
        <f t="shared" si="18"/>
        <v>8.1696779261586805E-2</v>
      </c>
      <c r="N107" t="str">
        <f t="shared" si="16"/>
        <v>AMOS</v>
      </c>
      <c r="O107" s="6">
        <f t="shared" si="17"/>
        <v>0.17808219178082191</v>
      </c>
    </row>
    <row r="108" spans="2:15" x14ac:dyDescent="0.25">
      <c r="B108">
        <v>18</v>
      </c>
      <c r="C108" t="s">
        <v>41</v>
      </c>
      <c r="D108" t="s">
        <v>105</v>
      </c>
      <c r="E108">
        <v>21</v>
      </c>
      <c r="F108">
        <v>1</v>
      </c>
      <c r="G108" s="1">
        <f t="shared" si="15"/>
        <v>4.7619047619047616E-2</v>
      </c>
      <c r="I108" t="s">
        <v>103</v>
      </c>
      <c r="J108">
        <v>73</v>
      </c>
      <c r="K108">
        <v>10</v>
      </c>
      <c r="L108" s="1">
        <f t="shared" si="18"/>
        <v>0.13698630136986301</v>
      </c>
      <c r="N108" t="str">
        <f t="shared" si="16"/>
        <v>OBADIAH</v>
      </c>
      <c r="O108" s="6">
        <f t="shared" si="17"/>
        <v>4.7619047619047616E-2</v>
      </c>
    </row>
    <row r="109" spans="2:15" x14ac:dyDescent="0.25">
      <c r="B109">
        <v>20</v>
      </c>
      <c r="C109" t="s">
        <v>41</v>
      </c>
      <c r="D109" t="s">
        <v>107</v>
      </c>
      <c r="E109">
        <v>105</v>
      </c>
      <c r="F109">
        <v>17</v>
      </c>
      <c r="G109" s="1">
        <f t="shared" si="15"/>
        <v>0.16190476190476191</v>
      </c>
      <c r="I109" t="s">
        <v>740</v>
      </c>
      <c r="J109">
        <v>72</v>
      </c>
      <c r="K109">
        <v>12</v>
      </c>
      <c r="L109" s="1">
        <f t="shared" si="18"/>
        <v>0.16666666666666666</v>
      </c>
      <c r="N109" t="str">
        <f t="shared" si="16"/>
        <v>MICAH</v>
      </c>
      <c r="O109" s="6">
        <f t="shared" si="17"/>
        <v>0.16190476190476191</v>
      </c>
    </row>
    <row r="110" spans="2:15" x14ac:dyDescent="0.25">
      <c r="B110">
        <v>21</v>
      </c>
      <c r="C110" t="s">
        <v>41</v>
      </c>
      <c r="D110" t="s">
        <v>108</v>
      </c>
      <c r="E110">
        <v>47</v>
      </c>
      <c r="F110">
        <v>12</v>
      </c>
      <c r="G110" s="1">
        <f t="shared" si="15"/>
        <v>0.25531914893617019</v>
      </c>
      <c r="I110" t="s">
        <v>119</v>
      </c>
      <c r="J110">
        <v>154</v>
      </c>
      <c r="K110">
        <v>26</v>
      </c>
      <c r="L110" s="1">
        <f t="shared" si="18"/>
        <v>0.16883116883116883</v>
      </c>
      <c r="N110" t="str">
        <f t="shared" si="16"/>
        <v>NAHUM</v>
      </c>
      <c r="O110" s="6">
        <f t="shared" si="17"/>
        <v>0.25531914893617019</v>
      </c>
    </row>
    <row r="111" spans="2:15" x14ac:dyDescent="0.25">
      <c r="B111">
        <v>22</v>
      </c>
      <c r="C111" t="s">
        <v>41</v>
      </c>
      <c r="D111" t="s">
        <v>109</v>
      </c>
      <c r="E111">
        <v>56</v>
      </c>
      <c r="F111">
        <v>12</v>
      </c>
      <c r="G111" s="1">
        <f t="shared" si="15"/>
        <v>0.21428571428571427</v>
      </c>
      <c r="I111" t="s">
        <v>111</v>
      </c>
      <c r="J111">
        <v>38</v>
      </c>
      <c r="K111">
        <v>8</v>
      </c>
      <c r="L111" s="1">
        <f t="shared" si="18"/>
        <v>0.21052631578947367</v>
      </c>
      <c r="N111" t="str">
        <f t="shared" si="16"/>
        <v>HABAKKUK</v>
      </c>
      <c r="O111" s="6">
        <f t="shared" si="17"/>
        <v>0.21428571428571427</v>
      </c>
    </row>
    <row r="112" spans="2:15" x14ac:dyDescent="0.25">
      <c r="B112">
        <v>23</v>
      </c>
      <c r="C112" t="s">
        <v>41</v>
      </c>
      <c r="D112" t="s">
        <v>110</v>
      </c>
      <c r="E112">
        <v>53</v>
      </c>
      <c r="F112">
        <v>8</v>
      </c>
      <c r="G112" s="1">
        <f t="shared" si="15"/>
        <v>0.15094339622641509</v>
      </c>
      <c r="I112" t="s">
        <v>112</v>
      </c>
      <c r="J112">
        <v>211</v>
      </c>
      <c r="K112">
        <v>34</v>
      </c>
      <c r="L112" s="1">
        <f t="shared" si="18"/>
        <v>0.16113744075829384</v>
      </c>
      <c r="N112" t="str">
        <f t="shared" si="16"/>
        <v>ZEPHANIAH</v>
      </c>
      <c r="O112" s="6">
        <f t="shared" si="17"/>
        <v>0.15094339622641509</v>
      </c>
    </row>
    <row r="113" spans="2:15" x14ac:dyDescent="0.25">
      <c r="E113">
        <f>SUM(E104:E112)</f>
        <v>2755</v>
      </c>
      <c r="F113">
        <f>SUM(F104:F112)</f>
        <v>444</v>
      </c>
      <c r="G113" s="1">
        <f t="shared" si="15"/>
        <v>0.16116152450090745</v>
      </c>
      <c r="I113" t="s">
        <v>117</v>
      </c>
      <c r="J113">
        <v>117</v>
      </c>
      <c r="K113">
        <v>19</v>
      </c>
      <c r="L113" s="1">
        <f t="shared" si="18"/>
        <v>0.1623931623931624</v>
      </c>
      <c r="O113" s="6"/>
    </row>
    <row r="114" spans="2:15" x14ac:dyDescent="0.25">
      <c r="B114">
        <v>12</v>
      </c>
      <c r="C114" t="s">
        <v>732</v>
      </c>
      <c r="D114" t="s">
        <v>99</v>
      </c>
      <c r="E114">
        <v>525</v>
      </c>
      <c r="F114">
        <v>100</v>
      </c>
      <c r="G114" s="1">
        <f t="shared" si="15"/>
        <v>0.19047619047619047</v>
      </c>
      <c r="I114" t="s">
        <v>120</v>
      </c>
      <c r="J114">
        <v>222</v>
      </c>
      <c r="K114">
        <v>66</v>
      </c>
      <c r="L114" s="1">
        <f t="shared" si="18"/>
        <v>0.29729729729729731</v>
      </c>
      <c r="N114" t="str">
        <f t="shared" si="16"/>
        <v>ISAIAH</v>
      </c>
      <c r="O114" s="6">
        <f t="shared" si="17"/>
        <v>0.19047619047619047</v>
      </c>
    </row>
    <row r="115" spans="2:15" x14ac:dyDescent="0.25">
      <c r="B115">
        <v>14</v>
      </c>
      <c r="C115" t="s">
        <v>732</v>
      </c>
      <c r="D115" t="s">
        <v>101</v>
      </c>
      <c r="E115">
        <v>1273</v>
      </c>
      <c r="F115">
        <v>104</v>
      </c>
      <c r="G115" s="1">
        <f t="shared" si="15"/>
        <v>8.1696779261586805E-2</v>
      </c>
      <c r="I115" t="s">
        <v>114</v>
      </c>
      <c r="J115">
        <v>2527</v>
      </c>
      <c r="K115">
        <v>680</v>
      </c>
      <c r="L115" s="1">
        <f t="shared" si="18"/>
        <v>0.26909378709932724</v>
      </c>
      <c r="N115" t="str">
        <f t="shared" si="16"/>
        <v>EZEKIEL</v>
      </c>
      <c r="O115" s="6">
        <f t="shared" si="17"/>
        <v>8.1696779261586805E-2</v>
      </c>
    </row>
    <row r="116" spans="2:15" x14ac:dyDescent="0.25">
      <c r="B116">
        <v>16</v>
      </c>
      <c r="C116" t="s">
        <v>732</v>
      </c>
      <c r="D116" t="s">
        <v>103</v>
      </c>
      <c r="E116">
        <v>73</v>
      </c>
      <c r="F116">
        <v>10</v>
      </c>
      <c r="G116" s="1">
        <f t="shared" si="15"/>
        <v>0.13698630136986301</v>
      </c>
      <c r="I116" t="s">
        <v>115</v>
      </c>
      <c r="J116">
        <v>915</v>
      </c>
      <c r="K116">
        <v>316</v>
      </c>
      <c r="L116" s="1">
        <f t="shared" si="18"/>
        <v>0.34535519125683062</v>
      </c>
      <c r="N116" t="str">
        <f t="shared" si="16"/>
        <v>JOEL</v>
      </c>
      <c r="O116" s="6">
        <f t="shared" si="17"/>
        <v>0.13698630136986301</v>
      </c>
    </row>
    <row r="117" spans="2:15" x14ac:dyDescent="0.25">
      <c r="B117">
        <v>29</v>
      </c>
      <c r="C117" t="s">
        <v>732</v>
      </c>
      <c r="D117" t="s">
        <v>116</v>
      </c>
      <c r="E117">
        <v>72</v>
      </c>
      <c r="F117">
        <v>12</v>
      </c>
      <c r="G117" s="1">
        <f t="shared" si="15"/>
        <v>0.16666666666666666</v>
      </c>
      <c r="I117" t="s">
        <v>739</v>
      </c>
      <c r="J117">
        <v>998</v>
      </c>
      <c r="K117">
        <v>292</v>
      </c>
      <c r="L117" s="1">
        <f t="shared" si="18"/>
        <v>0.29258517034068138</v>
      </c>
      <c r="N117" t="str">
        <f t="shared" si="16"/>
        <v>JOB</v>
      </c>
      <c r="O117" s="6">
        <f t="shared" si="17"/>
        <v>0.16666666666666666</v>
      </c>
    </row>
    <row r="118" spans="2:15" x14ac:dyDescent="0.25">
      <c r="B118">
        <v>32</v>
      </c>
      <c r="C118" t="s">
        <v>732</v>
      </c>
      <c r="D118" t="s">
        <v>119</v>
      </c>
      <c r="E118">
        <v>154</v>
      </c>
      <c r="F118">
        <v>26</v>
      </c>
      <c r="G118" s="1">
        <f t="shared" si="15"/>
        <v>0.16883116883116883</v>
      </c>
      <c r="N118" t="str">
        <f t="shared" si="16"/>
        <v>LAMENTATIONS</v>
      </c>
      <c r="O118" s="6">
        <f t="shared" si="17"/>
        <v>0.16883116883116883</v>
      </c>
    </row>
    <row r="119" spans="2:15" x14ac:dyDescent="0.25">
      <c r="E119">
        <f>SUM(E114:E118)</f>
        <v>2097</v>
      </c>
      <c r="F119">
        <f>SUM(F114:F118)</f>
        <v>252</v>
      </c>
      <c r="G119" s="1">
        <f t="shared" si="15"/>
        <v>0.12017167381974249</v>
      </c>
      <c r="O119" s="6"/>
    </row>
    <row r="120" spans="2:15" x14ac:dyDescent="0.25">
      <c r="B120">
        <v>19</v>
      </c>
      <c r="C120" t="s">
        <v>734</v>
      </c>
      <c r="D120" t="s">
        <v>106</v>
      </c>
      <c r="E120">
        <v>48</v>
      </c>
      <c r="F120">
        <v>2</v>
      </c>
      <c r="G120" s="1">
        <f t="shared" si="15"/>
        <v>4.1666666666666664E-2</v>
      </c>
      <c r="N120" t="str">
        <f t="shared" si="16"/>
        <v>JONAH</v>
      </c>
      <c r="O120" s="6">
        <f t="shared" si="17"/>
        <v>4.1666666666666664E-2</v>
      </c>
    </row>
    <row r="121" spans="2:15" x14ac:dyDescent="0.25">
      <c r="B121">
        <v>24</v>
      </c>
      <c r="C121" t="s">
        <v>734</v>
      </c>
      <c r="D121" t="s">
        <v>111</v>
      </c>
      <c r="E121">
        <v>38</v>
      </c>
      <c r="F121">
        <v>8</v>
      </c>
      <c r="G121" s="1">
        <f t="shared" si="15"/>
        <v>0.21052631578947367</v>
      </c>
      <c r="N121" t="str">
        <f t="shared" si="16"/>
        <v>HAGGAI</v>
      </c>
      <c r="O121" s="6">
        <f t="shared" si="17"/>
        <v>0.21052631578947367</v>
      </c>
    </row>
    <row r="122" spans="2:15" x14ac:dyDescent="0.25">
      <c r="B122">
        <v>25</v>
      </c>
      <c r="C122" t="s">
        <v>734</v>
      </c>
      <c r="D122" t="s">
        <v>112</v>
      </c>
      <c r="E122">
        <v>211</v>
      </c>
      <c r="F122">
        <v>34</v>
      </c>
      <c r="G122" s="1">
        <f t="shared" si="15"/>
        <v>0.16113744075829384</v>
      </c>
      <c r="N122" t="str">
        <f t="shared" si="16"/>
        <v>ZECHARIAH</v>
      </c>
      <c r="O122" s="6">
        <f t="shared" si="17"/>
        <v>0.16113744075829384</v>
      </c>
    </row>
    <row r="123" spans="2:15" x14ac:dyDescent="0.25">
      <c r="B123">
        <v>26</v>
      </c>
      <c r="C123" t="s">
        <v>734</v>
      </c>
      <c r="D123" t="s">
        <v>113</v>
      </c>
      <c r="E123">
        <v>55</v>
      </c>
      <c r="F123">
        <v>5</v>
      </c>
      <c r="G123" s="1">
        <f t="shared" si="15"/>
        <v>9.0909090909090912E-2</v>
      </c>
      <c r="N123" t="str">
        <f t="shared" si="16"/>
        <v>MALACHI</v>
      </c>
      <c r="O123" s="6">
        <f t="shared" si="17"/>
        <v>9.0909090909090912E-2</v>
      </c>
    </row>
    <row r="124" spans="2:15" x14ac:dyDescent="0.25">
      <c r="B124">
        <v>30</v>
      </c>
      <c r="C124" t="s">
        <v>734</v>
      </c>
      <c r="D124" t="s">
        <v>117</v>
      </c>
      <c r="E124">
        <v>117</v>
      </c>
      <c r="F124">
        <v>19</v>
      </c>
      <c r="G124" s="1">
        <f t="shared" si="15"/>
        <v>0.1623931623931624</v>
      </c>
      <c r="N124" t="str">
        <f t="shared" si="16"/>
        <v>SONG</v>
      </c>
      <c r="O124" s="6">
        <f t="shared" si="17"/>
        <v>0.1623931623931624</v>
      </c>
    </row>
    <row r="125" spans="2:15" x14ac:dyDescent="0.25">
      <c r="B125">
        <v>31</v>
      </c>
      <c r="C125" t="s">
        <v>734</v>
      </c>
      <c r="D125" t="s">
        <v>118</v>
      </c>
      <c r="E125">
        <v>85</v>
      </c>
      <c r="F125">
        <v>3</v>
      </c>
      <c r="G125" s="1">
        <f t="shared" si="15"/>
        <v>3.5294117647058823E-2</v>
      </c>
      <c r="N125" t="str">
        <f t="shared" si="16"/>
        <v>RUTH</v>
      </c>
      <c r="O125" s="6">
        <f t="shared" si="17"/>
        <v>3.5294117647058823E-2</v>
      </c>
    </row>
    <row r="126" spans="2:15" x14ac:dyDescent="0.25">
      <c r="B126">
        <v>33</v>
      </c>
      <c r="C126" t="s">
        <v>734</v>
      </c>
      <c r="D126" t="s">
        <v>120</v>
      </c>
      <c r="E126">
        <v>222</v>
      </c>
      <c r="F126">
        <v>66</v>
      </c>
      <c r="G126" s="1">
        <f t="shared" si="15"/>
        <v>0.29729729729729731</v>
      </c>
      <c r="N126" t="str">
        <f t="shared" si="16"/>
        <v>QOHELET</v>
      </c>
      <c r="O126" s="6">
        <f t="shared" si="17"/>
        <v>0.29729729729729731</v>
      </c>
    </row>
    <row r="127" spans="2:15" x14ac:dyDescent="0.25">
      <c r="B127">
        <v>34</v>
      </c>
      <c r="C127" t="s">
        <v>734</v>
      </c>
      <c r="D127" t="s">
        <v>121</v>
      </c>
      <c r="E127">
        <v>167</v>
      </c>
      <c r="F127">
        <v>14</v>
      </c>
      <c r="G127" s="1">
        <f t="shared" si="15"/>
        <v>8.3832335329341312E-2</v>
      </c>
      <c r="N127" t="str">
        <f t="shared" si="16"/>
        <v>ESTHER</v>
      </c>
      <c r="O127" s="6">
        <f t="shared" si="17"/>
        <v>8.3832335329341312E-2</v>
      </c>
    </row>
    <row r="128" spans="2:15" x14ac:dyDescent="0.25">
      <c r="B128">
        <v>35</v>
      </c>
      <c r="C128" t="s">
        <v>734</v>
      </c>
      <c r="D128" t="s">
        <v>122</v>
      </c>
      <c r="E128">
        <v>357</v>
      </c>
      <c r="F128">
        <v>25</v>
      </c>
      <c r="G128" s="1">
        <f t="shared" si="15"/>
        <v>7.0028011204481794E-2</v>
      </c>
      <c r="N128" t="str">
        <f t="shared" si="16"/>
        <v>DANIEL</v>
      </c>
      <c r="O128" s="6">
        <f t="shared" si="17"/>
        <v>7.0028011204481794E-2</v>
      </c>
    </row>
    <row r="129" spans="2:15" x14ac:dyDescent="0.25">
      <c r="B129">
        <v>36</v>
      </c>
      <c r="C129" t="s">
        <v>734</v>
      </c>
      <c r="D129" t="s">
        <v>125</v>
      </c>
      <c r="E129">
        <v>280</v>
      </c>
      <c r="F129">
        <v>16</v>
      </c>
      <c r="G129" s="1">
        <f t="shared" si="15"/>
        <v>5.7142857142857141E-2</v>
      </c>
      <c r="N129" t="str">
        <f t="shared" si="16"/>
        <v>EZRA</v>
      </c>
      <c r="O129" s="6">
        <f t="shared" si="17"/>
        <v>5.7142857142857141E-2</v>
      </c>
    </row>
    <row r="130" spans="2:15" x14ac:dyDescent="0.25">
      <c r="B130">
        <v>37</v>
      </c>
      <c r="C130" t="s">
        <v>734</v>
      </c>
      <c r="D130" t="s">
        <v>126</v>
      </c>
      <c r="E130">
        <v>405</v>
      </c>
      <c r="F130">
        <v>17</v>
      </c>
      <c r="G130" s="1">
        <f t="shared" si="15"/>
        <v>4.1975308641975309E-2</v>
      </c>
      <c r="N130" t="str">
        <f t="shared" si="16"/>
        <v>NEHEMIAH</v>
      </c>
      <c r="O130" s="6">
        <f t="shared" si="17"/>
        <v>4.1975308641975309E-2</v>
      </c>
    </row>
    <row r="131" spans="2:15" x14ac:dyDescent="0.25">
      <c r="B131">
        <v>38</v>
      </c>
      <c r="C131" t="s">
        <v>734</v>
      </c>
      <c r="D131" t="s">
        <v>127</v>
      </c>
      <c r="E131">
        <v>928</v>
      </c>
      <c r="F131">
        <v>59</v>
      </c>
      <c r="G131" s="1">
        <f t="shared" si="15"/>
        <v>6.3577586206896547E-2</v>
      </c>
      <c r="N131" t="str">
        <f t="shared" si="16"/>
        <v>1 CHRONICLES</v>
      </c>
      <c r="O131" s="6">
        <f t="shared" si="17"/>
        <v>6.3577586206896547E-2</v>
      </c>
    </row>
    <row r="132" spans="2:15" x14ac:dyDescent="0.25">
      <c r="B132">
        <v>39</v>
      </c>
      <c r="C132" t="s">
        <v>734</v>
      </c>
      <c r="D132" t="s">
        <v>128</v>
      </c>
      <c r="E132">
        <v>822</v>
      </c>
      <c r="F132">
        <v>50</v>
      </c>
      <c r="G132" s="1">
        <f t="shared" si="15"/>
        <v>6.0827250608272508E-2</v>
      </c>
      <c r="N132" t="str">
        <f t="shared" si="16"/>
        <v>2 CHRONICLES</v>
      </c>
      <c r="O132" s="6">
        <f t="shared" si="17"/>
        <v>6.0827250608272508E-2</v>
      </c>
    </row>
    <row r="133" spans="2:15" x14ac:dyDescent="0.25">
      <c r="E133">
        <f>SUM(E120:E132)</f>
        <v>3735</v>
      </c>
      <c r="F133">
        <f>SUM(F120:F132)</f>
        <v>318</v>
      </c>
      <c r="G133" s="1">
        <f t="shared" si="15"/>
        <v>8.514056224899598E-2</v>
      </c>
      <c r="O133" s="6"/>
    </row>
    <row r="134" spans="2:15" x14ac:dyDescent="0.25">
      <c r="B134">
        <v>27</v>
      </c>
      <c r="C134" t="s">
        <v>733</v>
      </c>
      <c r="D134" t="s">
        <v>114</v>
      </c>
      <c r="E134">
        <v>2527</v>
      </c>
      <c r="F134">
        <v>680</v>
      </c>
      <c r="G134" s="1">
        <f t="shared" si="15"/>
        <v>0.26909378709932724</v>
      </c>
      <c r="N134" t="str">
        <f t="shared" si="16"/>
        <v>PSALMS</v>
      </c>
      <c r="O134" s="6">
        <f t="shared" si="17"/>
        <v>0.26909378709932724</v>
      </c>
    </row>
    <row r="135" spans="2:15" x14ac:dyDescent="0.25">
      <c r="B135">
        <v>28</v>
      </c>
      <c r="C135" t="s">
        <v>733</v>
      </c>
      <c r="D135" t="s">
        <v>115</v>
      </c>
      <c r="E135">
        <v>915</v>
      </c>
      <c r="F135">
        <v>316</v>
      </c>
      <c r="G135" s="1">
        <f t="shared" si="15"/>
        <v>0.34535519125683062</v>
      </c>
      <c r="N135" t="str">
        <f t="shared" si="16"/>
        <v>PROVERBS</v>
      </c>
      <c r="O135" s="6">
        <f t="shared" si="17"/>
        <v>0.34535519125683062</v>
      </c>
    </row>
    <row r="136" spans="2:15" x14ac:dyDescent="0.25">
      <c r="B136">
        <v>29</v>
      </c>
      <c r="C136" t="s">
        <v>733</v>
      </c>
      <c r="D136" t="s">
        <v>116</v>
      </c>
      <c r="E136">
        <v>998</v>
      </c>
      <c r="F136">
        <v>292</v>
      </c>
      <c r="G136" s="1">
        <f t="shared" si="15"/>
        <v>0.29258517034068138</v>
      </c>
      <c r="N136" t="str">
        <f t="shared" si="16"/>
        <v>JOB</v>
      </c>
      <c r="O136" s="6">
        <f t="shared" si="17"/>
        <v>0.29258517034068138</v>
      </c>
    </row>
    <row r="137" spans="2:15" x14ac:dyDescent="0.25">
      <c r="E137">
        <f>SUM(E134:E136)</f>
        <v>4440</v>
      </c>
      <c r="F137">
        <f>SUM(F134:F136)</f>
        <v>1288</v>
      </c>
      <c r="G137" s="1">
        <f t="shared" si="15"/>
        <v>0.29009009009009007</v>
      </c>
    </row>
  </sheetData>
  <pageMargins left="0.7" right="0.7" top="0.75" bottom="0.75" header="0.3" footer="0.3"/>
  <pageSetup orientation="portrait" horizontalDpi="0" verticalDpi="0" r:id="rId1"/>
  <ignoredErrors>
    <ignoredError sqref="A46 AN46:XFD46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19" workbookViewId="0">
      <selection activeCell="A42" sqref="A42"/>
    </sheetView>
  </sheetViews>
  <sheetFormatPr defaultRowHeight="15" x14ac:dyDescent="0.25"/>
  <cols>
    <col min="2" max="2" width="15.140625" bestFit="1" customWidth="1"/>
    <col min="3" max="4" width="4" bestFit="1" customWidth="1"/>
    <col min="5" max="5" width="5" bestFit="1" customWidth="1"/>
    <col min="6" max="6" width="4.140625" bestFit="1" customWidth="1"/>
    <col min="7" max="7" width="4" bestFit="1" customWidth="1"/>
    <col min="8" max="8" width="5" bestFit="1" customWidth="1"/>
    <col min="10" max="10" width="15.140625" bestFit="1" customWidth="1"/>
    <col min="11" max="12" width="4.28515625" bestFit="1" customWidth="1"/>
    <col min="13" max="13" width="5" bestFit="1" customWidth="1"/>
    <col min="14" max="14" width="6" bestFit="1" customWidth="1"/>
    <col min="15" max="16" width="5" bestFit="1" customWidth="1"/>
    <col min="17" max="17" width="4.28515625" bestFit="1" customWidth="1"/>
    <col min="18" max="18" width="6" bestFit="1" customWidth="1"/>
  </cols>
  <sheetData>
    <row r="1" spans="1:21" x14ac:dyDescent="0.25">
      <c r="A1" t="s">
        <v>558</v>
      </c>
      <c r="C1" t="s">
        <v>549</v>
      </c>
      <c r="D1" t="s">
        <v>550</v>
      </c>
      <c r="E1" t="s">
        <v>556</v>
      </c>
      <c r="F1" t="s">
        <v>551</v>
      </c>
      <c r="G1" t="s">
        <v>552</v>
      </c>
      <c r="H1" t="s">
        <v>553</v>
      </c>
      <c r="K1" t="s">
        <v>543</v>
      </c>
      <c r="L1" t="s">
        <v>544</v>
      </c>
      <c r="M1" t="s">
        <v>545</v>
      </c>
      <c r="N1" t="s">
        <v>557</v>
      </c>
      <c r="O1" t="s">
        <v>546</v>
      </c>
      <c r="P1" t="s">
        <v>547</v>
      </c>
      <c r="Q1" t="s">
        <v>548</v>
      </c>
      <c r="R1" t="s">
        <v>553</v>
      </c>
      <c r="S1" t="s">
        <v>559</v>
      </c>
      <c r="T1" t="s">
        <v>560</v>
      </c>
      <c r="U1" t="s">
        <v>563</v>
      </c>
    </row>
    <row r="2" spans="1:21" x14ac:dyDescent="0.25">
      <c r="B2" t="s">
        <v>90</v>
      </c>
      <c r="C2">
        <v>0</v>
      </c>
      <c r="D2">
        <v>6</v>
      </c>
      <c r="E2">
        <v>636</v>
      </c>
      <c r="F2">
        <v>0</v>
      </c>
      <c r="G2">
        <v>0</v>
      </c>
      <c r="H2">
        <f t="shared" ref="H2:H38" si="0">SUM(C2:G2)</f>
        <v>642</v>
      </c>
      <c r="J2" t="s">
        <v>90</v>
      </c>
      <c r="K2">
        <v>48</v>
      </c>
      <c r="L2">
        <v>60</v>
      </c>
      <c r="M2">
        <v>492</v>
      </c>
      <c r="N2">
        <v>1</v>
      </c>
      <c r="O2">
        <v>134</v>
      </c>
      <c r="P2">
        <v>113</v>
      </c>
      <c r="Q2">
        <v>21</v>
      </c>
      <c r="R2">
        <f>SUM(K2:Q2)</f>
        <v>869</v>
      </c>
      <c r="U2">
        <v>22</v>
      </c>
    </row>
    <row r="3" spans="1:21" x14ac:dyDescent="0.25">
      <c r="B3" t="s">
        <v>91</v>
      </c>
      <c r="C3">
        <v>0</v>
      </c>
      <c r="D3">
        <v>2</v>
      </c>
      <c r="E3">
        <v>458</v>
      </c>
      <c r="F3">
        <v>0</v>
      </c>
      <c r="G3">
        <v>0</v>
      </c>
      <c r="H3">
        <f t="shared" si="0"/>
        <v>460</v>
      </c>
      <c r="J3" t="s">
        <v>91</v>
      </c>
      <c r="K3">
        <v>53</v>
      </c>
      <c r="L3">
        <v>49</v>
      </c>
      <c r="M3">
        <v>388</v>
      </c>
      <c r="N3">
        <v>1</v>
      </c>
      <c r="O3">
        <v>119</v>
      </c>
      <c r="P3">
        <v>110</v>
      </c>
      <c r="Q3">
        <v>21</v>
      </c>
      <c r="R3">
        <f t="shared" ref="R3:R39" si="1">SUM(K3:Q3)</f>
        <v>741</v>
      </c>
      <c r="S3">
        <v>2</v>
      </c>
      <c r="T3">
        <v>1</v>
      </c>
      <c r="U3">
        <v>9</v>
      </c>
    </row>
    <row r="4" spans="1:21" x14ac:dyDescent="0.25">
      <c r="B4" t="s">
        <v>92</v>
      </c>
      <c r="C4">
        <v>0</v>
      </c>
      <c r="D4">
        <v>1</v>
      </c>
      <c r="E4">
        <v>371</v>
      </c>
      <c r="F4">
        <v>0</v>
      </c>
      <c r="G4">
        <v>0</v>
      </c>
      <c r="H4">
        <f t="shared" si="0"/>
        <v>372</v>
      </c>
      <c r="J4" t="s">
        <v>92</v>
      </c>
      <c r="K4">
        <v>31</v>
      </c>
      <c r="L4">
        <v>36</v>
      </c>
      <c r="M4">
        <v>249</v>
      </c>
      <c r="N4">
        <v>1</v>
      </c>
      <c r="O4">
        <v>98</v>
      </c>
      <c r="P4">
        <v>55</v>
      </c>
      <c r="Q4">
        <v>15</v>
      </c>
      <c r="R4">
        <f t="shared" si="1"/>
        <v>485</v>
      </c>
      <c r="U4">
        <v>2</v>
      </c>
    </row>
    <row r="5" spans="1:21" x14ac:dyDescent="0.25">
      <c r="B5" t="s">
        <v>93</v>
      </c>
      <c r="C5">
        <v>0</v>
      </c>
      <c r="D5">
        <v>1</v>
      </c>
      <c r="E5">
        <v>512</v>
      </c>
      <c r="F5">
        <v>0</v>
      </c>
      <c r="G5">
        <v>0</v>
      </c>
      <c r="H5">
        <f t="shared" si="0"/>
        <v>513</v>
      </c>
      <c r="J5" t="s">
        <v>93</v>
      </c>
      <c r="K5">
        <v>53</v>
      </c>
      <c r="L5">
        <v>89</v>
      </c>
      <c r="M5">
        <v>359</v>
      </c>
      <c r="N5">
        <v>1</v>
      </c>
      <c r="O5">
        <v>153</v>
      </c>
      <c r="P5">
        <v>102</v>
      </c>
      <c r="Q5">
        <v>16</v>
      </c>
      <c r="R5">
        <f t="shared" si="1"/>
        <v>773</v>
      </c>
      <c r="U5">
        <v>2</v>
      </c>
    </row>
    <row r="6" spans="1:21" x14ac:dyDescent="0.25">
      <c r="B6" t="s">
        <v>94</v>
      </c>
      <c r="C6">
        <v>0</v>
      </c>
      <c r="D6">
        <v>0</v>
      </c>
      <c r="E6">
        <v>379</v>
      </c>
      <c r="F6">
        <v>0</v>
      </c>
      <c r="G6">
        <v>0</v>
      </c>
      <c r="H6">
        <f t="shared" si="0"/>
        <v>379</v>
      </c>
      <c r="J6" t="s">
        <v>94</v>
      </c>
      <c r="K6">
        <v>41</v>
      </c>
      <c r="L6">
        <v>38</v>
      </c>
      <c r="M6">
        <v>356</v>
      </c>
      <c r="O6">
        <v>57</v>
      </c>
      <c r="P6">
        <v>59</v>
      </c>
      <c r="Q6">
        <v>20</v>
      </c>
      <c r="R6">
        <f t="shared" si="1"/>
        <v>571</v>
      </c>
      <c r="S6">
        <v>2</v>
      </c>
      <c r="T6">
        <v>2</v>
      </c>
      <c r="U6">
        <v>5</v>
      </c>
    </row>
    <row r="7" spans="1:21" x14ac:dyDescent="0.25">
      <c r="B7" t="s">
        <v>95</v>
      </c>
      <c r="C7">
        <v>0</v>
      </c>
      <c r="D7">
        <v>3</v>
      </c>
      <c r="E7">
        <v>250</v>
      </c>
      <c r="F7">
        <v>0</v>
      </c>
      <c r="G7">
        <v>0</v>
      </c>
      <c r="H7">
        <f t="shared" si="0"/>
        <v>253</v>
      </c>
      <c r="J7" t="s">
        <v>95</v>
      </c>
      <c r="K7">
        <v>23</v>
      </c>
      <c r="L7">
        <v>41</v>
      </c>
      <c r="M7">
        <v>231</v>
      </c>
      <c r="O7">
        <v>45</v>
      </c>
      <c r="P7">
        <v>47</v>
      </c>
      <c r="Q7">
        <v>18</v>
      </c>
      <c r="R7">
        <f t="shared" si="1"/>
        <v>405</v>
      </c>
    </row>
    <row r="8" spans="1:21" x14ac:dyDescent="0.25">
      <c r="B8" t="s">
        <v>96</v>
      </c>
      <c r="C8">
        <v>0</v>
      </c>
      <c r="D8">
        <v>0</v>
      </c>
      <c r="E8">
        <v>282</v>
      </c>
      <c r="F8">
        <v>0</v>
      </c>
      <c r="G8">
        <v>0</v>
      </c>
      <c r="H8">
        <f t="shared" si="0"/>
        <v>282</v>
      </c>
      <c r="J8" t="s">
        <v>96</v>
      </c>
      <c r="K8">
        <v>15</v>
      </c>
      <c r="L8">
        <v>28</v>
      </c>
      <c r="M8">
        <v>201</v>
      </c>
      <c r="O8">
        <v>44</v>
      </c>
      <c r="P8">
        <v>36</v>
      </c>
      <c r="Q8">
        <v>11</v>
      </c>
      <c r="R8">
        <f t="shared" si="1"/>
        <v>335</v>
      </c>
      <c r="U8">
        <v>1</v>
      </c>
    </row>
    <row r="9" spans="1:21" x14ac:dyDescent="0.25">
      <c r="B9" t="s">
        <v>124</v>
      </c>
      <c r="C9">
        <v>0</v>
      </c>
      <c r="D9">
        <v>5</v>
      </c>
      <c r="E9">
        <v>337</v>
      </c>
      <c r="F9">
        <v>0</v>
      </c>
      <c r="G9">
        <v>0</v>
      </c>
      <c r="H9">
        <f t="shared" si="0"/>
        <v>342</v>
      </c>
      <c r="J9" t="s">
        <v>124</v>
      </c>
      <c r="K9">
        <v>39</v>
      </c>
      <c r="L9">
        <v>36</v>
      </c>
      <c r="M9">
        <v>264</v>
      </c>
      <c r="O9">
        <v>40</v>
      </c>
      <c r="P9">
        <v>65</v>
      </c>
      <c r="Q9">
        <v>23</v>
      </c>
      <c r="R9">
        <f t="shared" si="1"/>
        <v>467</v>
      </c>
      <c r="U9">
        <v>1</v>
      </c>
    </row>
    <row r="10" spans="1:21" x14ac:dyDescent="0.25">
      <c r="B10" t="s">
        <v>123</v>
      </c>
      <c r="C10">
        <v>0</v>
      </c>
      <c r="D10">
        <v>2</v>
      </c>
      <c r="E10">
        <v>317</v>
      </c>
      <c r="F10">
        <v>0</v>
      </c>
      <c r="G10">
        <v>0</v>
      </c>
      <c r="H10">
        <f t="shared" si="0"/>
        <v>319</v>
      </c>
      <c r="J10" t="s">
        <v>123</v>
      </c>
      <c r="K10">
        <v>28</v>
      </c>
      <c r="L10">
        <v>28</v>
      </c>
      <c r="M10">
        <v>214</v>
      </c>
      <c r="O10">
        <v>36</v>
      </c>
      <c r="P10">
        <v>53</v>
      </c>
      <c r="Q10">
        <v>16</v>
      </c>
      <c r="R10">
        <f t="shared" si="1"/>
        <v>375</v>
      </c>
      <c r="U10">
        <v>1</v>
      </c>
    </row>
    <row r="11" spans="1:21" x14ac:dyDescent="0.25">
      <c r="B11" t="s">
        <v>97</v>
      </c>
      <c r="C11">
        <v>0</v>
      </c>
      <c r="D11">
        <v>2</v>
      </c>
      <c r="E11">
        <v>366</v>
      </c>
      <c r="F11">
        <v>0</v>
      </c>
      <c r="G11">
        <v>0</v>
      </c>
      <c r="H11">
        <f t="shared" si="0"/>
        <v>368</v>
      </c>
      <c r="J11" t="s">
        <v>97</v>
      </c>
      <c r="K11">
        <v>31</v>
      </c>
      <c r="L11">
        <v>29</v>
      </c>
      <c r="M11">
        <v>258</v>
      </c>
      <c r="N11">
        <v>1</v>
      </c>
      <c r="O11">
        <v>46</v>
      </c>
      <c r="P11">
        <v>69</v>
      </c>
      <c r="Q11">
        <v>13</v>
      </c>
      <c r="R11">
        <f t="shared" si="1"/>
        <v>447</v>
      </c>
      <c r="U11">
        <v>2</v>
      </c>
    </row>
    <row r="12" spans="1:21" x14ac:dyDescent="0.25">
      <c r="B12" t="s">
        <v>98</v>
      </c>
      <c r="C12">
        <v>0</v>
      </c>
      <c r="D12">
        <v>3</v>
      </c>
      <c r="E12">
        <v>343</v>
      </c>
      <c r="F12">
        <v>0</v>
      </c>
      <c r="G12">
        <v>0</v>
      </c>
      <c r="H12">
        <f t="shared" si="0"/>
        <v>346</v>
      </c>
      <c r="J12" t="s">
        <v>98</v>
      </c>
      <c r="K12">
        <v>27</v>
      </c>
      <c r="L12">
        <v>36</v>
      </c>
      <c r="M12">
        <v>210</v>
      </c>
      <c r="O12">
        <v>43</v>
      </c>
      <c r="P12">
        <v>48</v>
      </c>
      <c r="Q12">
        <v>8</v>
      </c>
      <c r="R12">
        <f t="shared" si="1"/>
        <v>372</v>
      </c>
      <c r="U12">
        <v>1</v>
      </c>
    </row>
    <row r="13" spans="1:21" x14ac:dyDescent="0.25">
      <c r="B13" t="s">
        <v>99</v>
      </c>
      <c r="C13">
        <v>0</v>
      </c>
      <c r="D13">
        <v>7</v>
      </c>
      <c r="E13">
        <v>602</v>
      </c>
      <c r="F13">
        <v>0</v>
      </c>
      <c r="G13">
        <v>0</v>
      </c>
      <c r="H13">
        <f t="shared" si="0"/>
        <v>609</v>
      </c>
      <c r="J13" t="s">
        <v>99</v>
      </c>
      <c r="K13">
        <v>26</v>
      </c>
      <c r="L13">
        <v>42</v>
      </c>
      <c r="M13">
        <v>346</v>
      </c>
      <c r="O13">
        <v>81</v>
      </c>
      <c r="P13">
        <v>128</v>
      </c>
      <c r="Q13">
        <v>59</v>
      </c>
      <c r="R13">
        <f t="shared" si="1"/>
        <v>682</v>
      </c>
    </row>
    <row r="14" spans="1:21" x14ac:dyDescent="0.25">
      <c r="B14" t="s">
        <v>100</v>
      </c>
      <c r="C14">
        <v>0</v>
      </c>
      <c r="D14">
        <v>12</v>
      </c>
      <c r="E14">
        <v>556</v>
      </c>
      <c r="F14">
        <v>1</v>
      </c>
      <c r="G14">
        <v>1</v>
      </c>
      <c r="H14">
        <f t="shared" si="0"/>
        <v>570</v>
      </c>
      <c r="J14" t="s">
        <v>100</v>
      </c>
      <c r="K14">
        <v>34</v>
      </c>
      <c r="L14">
        <v>56</v>
      </c>
      <c r="M14">
        <v>459</v>
      </c>
      <c r="O14">
        <v>87</v>
      </c>
      <c r="P14">
        <v>120</v>
      </c>
      <c r="Q14">
        <v>35</v>
      </c>
      <c r="R14">
        <f t="shared" si="1"/>
        <v>791</v>
      </c>
      <c r="U14">
        <v>3</v>
      </c>
    </row>
    <row r="15" spans="1:21" x14ac:dyDescent="0.25">
      <c r="B15" t="s">
        <v>101</v>
      </c>
      <c r="C15">
        <v>0</v>
      </c>
      <c r="D15">
        <v>22</v>
      </c>
      <c r="E15">
        <v>588</v>
      </c>
      <c r="F15">
        <v>0</v>
      </c>
      <c r="G15">
        <v>0</v>
      </c>
      <c r="H15">
        <f t="shared" si="0"/>
        <v>610</v>
      </c>
      <c r="J15" t="s">
        <v>101</v>
      </c>
      <c r="K15">
        <v>43</v>
      </c>
      <c r="L15">
        <v>40</v>
      </c>
      <c r="M15">
        <v>340</v>
      </c>
      <c r="O15">
        <v>91</v>
      </c>
      <c r="P15">
        <v>120</v>
      </c>
      <c r="Q15">
        <v>27</v>
      </c>
      <c r="R15">
        <f t="shared" si="1"/>
        <v>661</v>
      </c>
      <c r="U15">
        <v>2</v>
      </c>
    </row>
    <row r="16" spans="1:21" x14ac:dyDescent="0.25">
      <c r="B16" t="s">
        <v>102</v>
      </c>
      <c r="C16">
        <v>0</v>
      </c>
      <c r="D16">
        <v>1</v>
      </c>
      <c r="E16">
        <v>79</v>
      </c>
      <c r="F16">
        <v>0</v>
      </c>
      <c r="G16">
        <v>0</v>
      </c>
      <c r="H16">
        <f t="shared" si="0"/>
        <v>80</v>
      </c>
      <c r="J16" t="s">
        <v>102</v>
      </c>
      <c r="K16">
        <v>3</v>
      </c>
      <c r="L16">
        <v>7</v>
      </c>
      <c r="M16">
        <v>53</v>
      </c>
      <c r="O16">
        <v>22</v>
      </c>
      <c r="P16">
        <v>27</v>
      </c>
      <c r="Q16">
        <v>5</v>
      </c>
      <c r="R16">
        <f t="shared" si="1"/>
        <v>117</v>
      </c>
    </row>
    <row r="17" spans="2:21" x14ac:dyDescent="0.25">
      <c r="B17" t="s">
        <v>103</v>
      </c>
      <c r="C17">
        <v>0</v>
      </c>
      <c r="D17">
        <v>0</v>
      </c>
      <c r="E17">
        <v>30</v>
      </c>
      <c r="F17">
        <v>0</v>
      </c>
      <c r="G17">
        <v>0</v>
      </c>
      <c r="H17">
        <f t="shared" si="0"/>
        <v>30</v>
      </c>
      <c r="J17" t="s">
        <v>103</v>
      </c>
      <c r="K17">
        <v>2</v>
      </c>
      <c r="L17">
        <v>5</v>
      </c>
      <c r="M17">
        <v>22</v>
      </c>
      <c r="O17">
        <v>2</v>
      </c>
      <c r="P17">
        <v>10</v>
      </c>
      <c r="Q17">
        <v>2</v>
      </c>
      <c r="R17">
        <f t="shared" si="1"/>
        <v>43</v>
      </c>
    </row>
    <row r="18" spans="2:21" x14ac:dyDescent="0.25">
      <c r="B18" t="s">
        <v>104</v>
      </c>
      <c r="C18">
        <v>0</v>
      </c>
      <c r="D18">
        <v>0</v>
      </c>
      <c r="E18">
        <v>79</v>
      </c>
      <c r="F18">
        <v>0</v>
      </c>
      <c r="G18">
        <v>0</v>
      </c>
      <c r="H18">
        <f t="shared" si="0"/>
        <v>79</v>
      </c>
      <c r="J18" t="s">
        <v>104</v>
      </c>
      <c r="K18">
        <v>2</v>
      </c>
      <c r="L18">
        <v>4</v>
      </c>
      <c r="M18">
        <v>41</v>
      </c>
      <c r="O18">
        <v>6</v>
      </c>
      <c r="P18">
        <v>9</v>
      </c>
      <c r="Q18">
        <v>5</v>
      </c>
      <c r="R18">
        <f t="shared" si="1"/>
        <v>67</v>
      </c>
    </row>
    <row r="19" spans="2:21" x14ac:dyDescent="0.25">
      <c r="B19" t="s">
        <v>105</v>
      </c>
      <c r="C19">
        <v>1</v>
      </c>
      <c r="D19">
        <v>0</v>
      </c>
      <c r="E19">
        <v>9</v>
      </c>
      <c r="F19">
        <v>0</v>
      </c>
      <c r="G19">
        <v>0</v>
      </c>
      <c r="H19">
        <f t="shared" si="0"/>
        <v>10</v>
      </c>
      <c r="J19" t="s">
        <v>105</v>
      </c>
      <c r="K19">
        <v>0</v>
      </c>
      <c r="L19">
        <v>1</v>
      </c>
      <c r="M19">
        <v>6</v>
      </c>
      <c r="O19">
        <v>2</v>
      </c>
      <c r="P19">
        <v>2</v>
      </c>
      <c r="Q19">
        <v>0</v>
      </c>
      <c r="R19">
        <f t="shared" si="1"/>
        <v>11</v>
      </c>
    </row>
    <row r="20" spans="2:21" x14ac:dyDescent="0.25">
      <c r="B20" t="s">
        <v>106</v>
      </c>
      <c r="C20">
        <v>0</v>
      </c>
      <c r="D20">
        <v>0</v>
      </c>
      <c r="E20">
        <v>16</v>
      </c>
      <c r="F20">
        <v>0</v>
      </c>
      <c r="G20">
        <v>0</v>
      </c>
      <c r="H20">
        <f t="shared" si="0"/>
        <v>16</v>
      </c>
      <c r="J20" t="s">
        <v>106</v>
      </c>
      <c r="K20">
        <v>1</v>
      </c>
      <c r="L20">
        <v>5</v>
      </c>
      <c r="M20">
        <v>12</v>
      </c>
      <c r="O20">
        <v>4</v>
      </c>
      <c r="P20">
        <v>7</v>
      </c>
      <c r="Q20">
        <v>3</v>
      </c>
      <c r="R20">
        <f t="shared" si="1"/>
        <v>32</v>
      </c>
    </row>
    <row r="21" spans="2:21" x14ac:dyDescent="0.25">
      <c r="B21" t="s">
        <v>107</v>
      </c>
      <c r="C21">
        <v>0</v>
      </c>
      <c r="D21">
        <v>0</v>
      </c>
      <c r="E21">
        <v>42</v>
      </c>
      <c r="F21">
        <v>1</v>
      </c>
      <c r="G21">
        <v>0</v>
      </c>
      <c r="H21">
        <f t="shared" si="0"/>
        <v>43</v>
      </c>
      <c r="J21" t="s">
        <v>107</v>
      </c>
      <c r="K21">
        <v>1</v>
      </c>
      <c r="L21">
        <v>4</v>
      </c>
      <c r="M21">
        <v>31</v>
      </c>
      <c r="O21">
        <v>11</v>
      </c>
      <c r="P21">
        <v>11</v>
      </c>
      <c r="Q21">
        <v>4</v>
      </c>
      <c r="R21">
        <f t="shared" si="1"/>
        <v>62</v>
      </c>
    </row>
    <row r="22" spans="2:21" x14ac:dyDescent="0.25">
      <c r="B22" t="s">
        <v>108</v>
      </c>
      <c r="C22">
        <v>0</v>
      </c>
      <c r="D22">
        <v>0</v>
      </c>
      <c r="E22">
        <v>15</v>
      </c>
      <c r="F22">
        <v>0</v>
      </c>
      <c r="G22">
        <v>0</v>
      </c>
      <c r="H22">
        <f t="shared" si="0"/>
        <v>15</v>
      </c>
      <c r="J22" t="s">
        <v>108</v>
      </c>
      <c r="K22">
        <v>1</v>
      </c>
      <c r="L22">
        <v>4</v>
      </c>
      <c r="M22">
        <v>14</v>
      </c>
      <c r="O22">
        <v>7</v>
      </c>
      <c r="P22">
        <v>4</v>
      </c>
      <c r="Q22">
        <v>2</v>
      </c>
      <c r="R22">
        <f t="shared" si="1"/>
        <v>32</v>
      </c>
    </row>
    <row r="23" spans="2:21" x14ac:dyDescent="0.25">
      <c r="B23" t="s">
        <v>109</v>
      </c>
      <c r="C23">
        <v>0</v>
      </c>
      <c r="D23">
        <v>0</v>
      </c>
      <c r="E23">
        <v>30</v>
      </c>
      <c r="F23">
        <v>0</v>
      </c>
      <c r="G23">
        <v>0</v>
      </c>
      <c r="H23">
        <f t="shared" si="0"/>
        <v>30</v>
      </c>
      <c r="J23" t="s">
        <v>109</v>
      </c>
      <c r="K23">
        <v>0</v>
      </c>
      <c r="L23">
        <v>0</v>
      </c>
      <c r="M23">
        <v>17</v>
      </c>
      <c r="N23">
        <v>1</v>
      </c>
      <c r="O23">
        <v>3</v>
      </c>
      <c r="P23">
        <v>3</v>
      </c>
      <c r="Q23">
        <v>2</v>
      </c>
      <c r="R23">
        <f t="shared" si="1"/>
        <v>26</v>
      </c>
    </row>
    <row r="24" spans="2:21" x14ac:dyDescent="0.25">
      <c r="B24" t="s">
        <v>110</v>
      </c>
      <c r="C24">
        <v>0</v>
      </c>
      <c r="D24">
        <v>0</v>
      </c>
      <c r="E24">
        <v>24</v>
      </c>
      <c r="F24">
        <v>0</v>
      </c>
      <c r="G24">
        <v>0</v>
      </c>
      <c r="H24">
        <f t="shared" si="0"/>
        <v>24</v>
      </c>
      <c r="J24" t="s">
        <v>110</v>
      </c>
      <c r="K24">
        <v>0</v>
      </c>
      <c r="L24">
        <v>3</v>
      </c>
      <c r="M24">
        <v>15</v>
      </c>
      <c r="O24">
        <v>3</v>
      </c>
      <c r="P24">
        <v>6</v>
      </c>
      <c r="Q24">
        <v>2</v>
      </c>
      <c r="R24">
        <f t="shared" si="1"/>
        <v>29</v>
      </c>
    </row>
    <row r="25" spans="2:21" x14ac:dyDescent="0.25">
      <c r="B25" t="s">
        <v>111</v>
      </c>
      <c r="C25">
        <v>0</v>
      </c>
      <c r="D25">
        <v>0</v>
      </c>
      <c r="E25">
        <v>16</v>
      </c>
      <c r="F25">
        <v>0</v>
      </c>
      <c r="G25">
        <v>0</v>
      </c>
      <c r="H25">
        <f t="shared" si="0"/>
        <v>16</v>
      </c>
      <c r="J25" t="s">
        <v>111</v>
      </c>
      <c r="K25">
        <v>5</v>
      </c>
      <c r="L25">
        <v>0</v>
      </c>
      <c r="M25">
        <v>13</v>
      </c>
      <c r="O25">
        <v>0</v>
      </c>
      <c r="P25">
        <v>3</v>
      </c>
      <c r="Q25">
        <v>0</v>
      </c>
      <c r="R25">
        <f t="shared" si="1"/>
        <v>21</v>
      </c>
      <c r="U25">
        <v>1</v>
      </c>
    </row>
    <row r="26" spans="2:21" x14ac:dyDescent="0.25">
      <c r="B26" t="s">
        <v>112</v>
      </c>
      <c r="C26">
        <v>0</v>
      </c>
      <c r="D26">
        <v>1</v>
      </c>
      <c r="E26">
        <v>106</v>
      </c>
      <c r="F26">
        <v>0</v>
      </c>
      <c r="G26">
        <v>0</v>
      </c>
      <c r="H26">
        <f t="shared" si="0"/>
        <v>107</v>
      </c>
      <c r="J26" t="s">
        <v>112</v>
      </c>
      <c r="K26">
        <v>6</v>
      </c>
      <c r="L26">
        <v>12</v>
      </c>
      <c r="M26">
        <v>53</v>
      </c>
      <c r="O26">
        <v>14</v>
      </c>
      <c r="P26">
        <v>15</v>
      </c>
      <c r="Q26">
        <v>3</v>
      </c>
      <c r="R26">
        <f t="shared" si="1"/>
        <v>103</v>
      </c>
      <c r="U26">
        <v>1</v>
      </c>
    </row>
    <row r="27" spans="2:21" x14ac:dyDescent="0.25">
      <c r="B27" t="s">
        <v>113</v>
      </c>
      <c r="C27">
        <v>0</v>
      </c>
      <c r="D27">
        <v>0</v>
      </c>
      <c r="E27">
        <v>32</v>
      </c>
      <c r="F27">
        <v>0</v>
      </c>
      <c r="G27">
        <v>0</v>
      </c>
      <c r="H27">
        <f t="shared" si="0"/>
        <v>32</v>
      </c>
      <c r="J27" t="s">
        <v>113</v>
      </c>
      <c r="K27">
        <v>2</v>
      </c>
      <c r="L27">
        <v>3</v>
      </c>
      <c r="M27">
        <v>9</v>
      </c>
      <c r="O27">
        <v>3</v>
      </c>
      <c r="P27">
        <v>5</v>
      </c>
      <c r="Q27">
        <v>1</v>
      </c>
      <c r="R27">
        <f t="shared" si="1"/>
        <v>23</v>
      </c>
    </row>
    <row r="28" spans="2:21" x14ac:dyDescent="0.25">
      <c r="B28" t="s">
        <v>116</v>
      </c>
      <c r="C28">
        <v>0</v>
      </c>
      <c r="D28">
        <v>12</v>
      </c>
      <c r="E28">
        <v>38</v>
      </c>
      <c r="F28">
        <v>0</v>
      </c>
      <c r="G28">
        <v>0</v>
      </c>
      <c r="H28">
        <f t="shared" si="0"/>
        <v>50</v>
      </c>
      <c r="J28" t="s">
        <v>116</v>
      </c>
      <c r="K28">
        <v>1</v>
      </c>
      <c r="L28">
        <v>4</v>
      </c>
      <c r="M28">
        <v>13</v>
      </c>
      <c r="O28">
        <v>0</v>
      </c>
      <c r="P28">
        <v>3</v>
      </c>
      <c r="Q28">
        <v>1</v>
      </c>
      <c r="R28">
        <f t="shared" si="1"/>
        <v>22</v>
      </c>
      <c r="T28">
        <v>1</v>
      </c>
    </row>
    <row r="29" spans="2:21" x14ac:dyDescent="0.25">
      <c r="B29" t="s">
        <v>117</v>
      </c>
      <c r="C29">
        <v>0</v>
      </c>
      <c r="D29">
        <v>0</v>
      </c>
      <c r="E29">
        <v>53</v>
      </c>
      <c r="F29">
        <v>0</v>
      </c>
      <c r="G29">
        <v>0</v>
      </c>
      <c r="H29">
        <f t="shared" si="0"/>
        <v>53</v>
      </c>
      <c r="J29" t="s">
        <v>117</v>
      </c>
      <c r="K29">
        <v>0</v>
      </c>
      <c r="L29">
        <v>12</v>
      </c>
      <c r="M29">
        <v>15</v>
      </c>
      <c r="O29">
        <v>9</v>
      </c>
      <c r="P29">
        <v>23</v>
      </c>
      <c r="Q29">
        <v>5</v>
      </c>
      <c r="R29">
        <f t="shared" si="1"/>
        <v>64</v>
      </c>
    </row>
    <row r="30" spans="2:21" x14ac:dyDescent="0.25">
      <c r="B30" t="s">
        <v>118</v>
      </c>
      <c r="C30">
        <v>0</v>
      </c>
      <c r="D30">
        <v>0</v>
      </c>
      <c r="E30">
        <v>37</v>
      </c>
      <c r="F30">
        <v>0</v>
      </c>
      <c r="G30">
        <v>0</v>
      </c>
      <c r="H30">
        <f t="shared" si="0"/>
        <v>37</v>
      </c>
      <c r="J30" t="s">
        <v>118</v>
      </c>
      <c r="K30">
        <v>3</v>
      </c>
      <c r="L30">
        <v>3</v>
      </c>
      <c r="M30">
        <v>27</v>
      </c>
      <c r="O30">
        <v>6</v>
      </c>
      <c r="P30">
        <v>7</v>
      </c>
      <c r="Q30">
        <v>1</v>
      </c>
      <c r="R30">
        <f t="shared" si="1"/>
        <v>47</v>
      </c>
      <c r="U30">
        <v>1</v>
      </c>
    </row>
    <row r="31" spans="2:21" x14ac:dyDescent="0.25">
      <c r="B31" t="s">
        <v>119</v>
      </c>
      <c r="C31">
        <v>0</v>
      </c>
      <c r="D31">
        <v>2</v>
      </c>
      <c r="E31">
        <v>72</v>
      </c>
      <c r="F31">
        <v>0</v>
      </c>
      <c r="G31">
        <v>0</v>
      </c>
      <c r="H31">
        <f t="shared" si="0"/>
        <v>74</v>
      </c>
      <c r="J31" t="s">
        <v>119</v>
      </c>
      <c r="K31">
        <v>4</v>
      </c>
      <c r="L31">
        <v>10</v>
      </c>
      <c r="M31">
        <v>22</v>
      </c>
      <c r="O31">
        <v>3</v>
      </c>
      <c r="P31">
        <v>19</v>
      </c>
      <c r="Q31">
        <v>22</v>
      </c>
      <c r="R31">
        <f t="shared" si="1"/>
        <v>80</v>
      </c>
    </row>
    <row r="32" spans="2:21" x14ac:dyDescent="0.25">
      <c r="B32" t="s">
        <v>120</v>
      </c>
      <c r="C32">
        <v>0</v>
      </c>
      <c r="D32">
        <v>0</v>
      </c>
      <c r="E32">
        <v>125</v>
      </c>
      <c r="F32">
        <v>0</v>
      </c>
      <c r="G32">
        <v>1</v>
      </c>
      <c r="H32">
        <f t="shared" si="0"/>
        <v>126</v>
      </c>
      <c r="J32" t="s">
        <v>120</v>
      </c>
      <c r="K32">
        <v>2</v>
      </c>
      <c r="L32">
        <v>11</v>
      </c>
      <c r="M32">
        <v>62</v>
      </c>
      <c r="O32">
        <v>8</v>
      </c>
      <c r="P32">
        <v>11</v>
      </c>
      <c r="Q32">
        <v>2</v>
      </c>
      <c r="R32">
        <f t="shared" si="1"/>
        <v>96</v>
      </c>
    </row>
    <row r="33" spans="1:21" x14ac:dyDescent="0.25">
      <c r="B33" t="s">
        <v>121</v>
      </c>
      <c r="C33">
        <v>0</v>
      </c>
      <c r="D33">
        <v>0</v>
      </c>
      <c r="E33">
        <v>88</v>
      </c>
      <c r="F33">
        <v>0</v>
      </c>
      <c r="G33">
        <v>0</v>
      </c>
      <c r="H33">
        <f t="shared" si="0"/>
        <v>88</v>
      </c>
      <c r="J33" t="s">
        <v>121</v>
      </c>
      <c r="K33">
        <v>6</v>
      </c>
      <c r="L33">
        <v>8</v>
      </c>
      <c r="M33">
        <v>39</v>
      </c>
      <c r="O33">
        <v>10</v>
      </c>
      <c r="P33">
        <v>13</v>
      </c>
      <c r="Q33">
        <v>3</v>
      </c>
      <c r="R33">
        <f t="shared" si="1"/>
        <v>79</v>
      </c>
    </row>
    <row r="34" spans="1:21" x14ac:dyDescent="0.25">
      <c r="B34" t="s">
        <v>122</v>
      </c>
      <c r="C34">
        <v>0</v>
      </c>
      <c r="D34">
        <v>4</v>
      </c>
      <c r="E34">
        <v>187</v>
      </c>
      <c r="F34">
        <v>0</v>
      </c>
      <c r="G34">
        <v>0</v>
      </c>
      <c r="H34">
        <f t="shared" si="0"/>
        <v>191</v>
      </c>
      <c r="J34" t="s">
        <v>122</v>
      </c>
      <c r="K34">
        <v>7</v>
      </c>
      <c r="L34">
        <v>21</v>
      </c>
      <c r="M34">
        <v>92</v>
      </c>
      <c r="O34">
        <v>12</v>
      </c>
      <c r="P34">
        <v>29</v>
      </c>
      <c r="Q34">
        <v>5</v>
      </c>
      <c r="R34">
        <f t="shared" si="1"/>
        <v>166</v>
      </c>
    </row>
    <row r="35" spans="1:21" x14ac:dyDescent="0.25">
      <c r="B35" t="s">
        <v>125</v>
      </c>
      <c r="C35">
        <v>0</v>
      </c>
      <c r="D35">
        <v>1</v>
      </c>
      <c r="E35">
        <v>144</v>
      </c>
      <c r="F35">
        <v>0</v>
      </c>
      <c r="G35">
        <v>0</v>
      </c>
      <c r="H35">
        <f t="shared" si="0"/>
        <v>145</v>
      </c>
      <c r="J35" t="s">
        <v>125</v>
      </c>
      <c r="K35">
        <v>7</v>
      </c>
      <c r="L35">
        <v>14</v>
      </c>
      <c r="M35">
        <v>83</v>
      </c>
      <c r="N35">
        <v>1</v>
      </c>
      <c r="O35">
        <v>7</v>
      </c>
      <c r="P35">
        <v>18</v>
      </c>
      <c r="Q35">
        <v>5</v>
      </c>
      <c r="R35">
        <f t="shared" si="1"/>
        <v>135</v>
      </c>
    </row>
    <row r="36" spans="1:21" x14ac:dyDescent="0.25">
      <c r="B36" t="s">
        <v>126</v>
      </c>
      <c r="C36">
        <v>0</v>
      </c>
      <c r="D36">
        <v>1</v>
      </c>
      <c r="E36">
        <v>195</v>
      </c>
      <c r="F36">
        <v>0</v>
      </c>
      <c r="G36">
        <v>0</v>
      </c>
      <c r="H36">
        <f t="shared" si="0"/>
        <v>196</v>
      </c>
      <c r="J36" t="s">
        <v>126</v>
      </c>
      <c r="K36">
        <v>10</v>
      </c>
      <c r="L36">
        <v>22</v>
      </c>
      <c r="M36">
        <v>116</v>
      </c>
      <c r="N36">
        <v>1</v>
      </c>
      <c r="O36">
        <v>15</v>
      </c>
      <c r="P36">
        <v>39</v>
      </c>
      <c r="Q36">
        <v>5</v>
      </c>
      <c r="R36">
        <f t="shared" si="1"/>
        <v>208</v>
      </c>
      <c r="U36">
        <v>1</v>
      </c>
    </row>
    <row r="37" spans="1:21" x14ac:dyDescent="0.25">
      <c r="B37" t="s">
        <v>127</v>
      </c>
      <c r="C37">
        <v>0</v>
      </c>
      <c r="D37">
        <v>4</v>
      </c>
      <c r="E37">
        <v>391</v>
      </c>
      <c r="F37">
        <v>0</v>
      </c>
      <c r="G37">
        <v>0</v>
      </c>
      <c r="H37">
        <f t="shared" si="0"/>
        <v>395</v>
      </c>
      <c r="J37" t="s">
        <v>127</v>
      </c>
      <c r="K37">
        <v>28</v>
      </c>
      <c r="L37">
        <v>61</v>
      </c>
      <c r="M37">
        <v>264</v>
      </c>
      <c r="O37">
        <v>68</v>
      </c>
      <c r="P37">
        <v>88</v>
      </c>
      <c r="Q37">
        <v>22</v>
      </c>
      <c r="R37">
        <f t="shared" si="1"/>
        <v>531</v>
      </c>
      <c r="T37">
        <v>1</v>
      </c>
      <c r="U37">
        <v>1</v>
      </c>
    </row>
    <row r="38" spans="1:21" x14ac:dyDescent="0.25">
      <c r="B38" t="s">
        <v>128</v>
      </c>
      <c r="C38">
        <v>0</v>
      </c>
      <c r="D38">
        <v>0</v>
      </c>
      <c r="E38">
        <v>376</v>
      </c>
      <c r="F38">
        <v>0</v>
      </c>
      <c r="G38">
        <v>0</v>
      </c>
      <c r="H38">
        <f t="shared" si="0"/>
        <v>376</v>
      </c>
      <c r="J38" t="s">
        <v>128</v>
      </c>
      <c r="K38">
        <v>37</v>
      </c>
      <c r="L38">
        <v>28</v>
      </c>
      <c r="M38">
        <v>224</v>
      </c>
      <c r="N38">
        <v>2</v>
      </c>
      <c r="O38">
        <v>55</v>
      </c>
      <c r="P38">
        <v>75</v>
      </c>
      <c r="Q38">
        <v>23</v>
      </c>
      <c r="R38">
        <f t="shared" si="1"/>
        <v>444</v>
      </c>
      <c r="U38">
        <v>2</v>
      </c>
    </row>
    <row r="39" spans="1:21" x14ac:dyDescent="0.25">
      <c r="A39" t="s">
        <v>553</v>
      </c>
      <c r="C39">
        <f>SUM(C2:C38)</f>
        <v>1</v>
      </c>
      <c r="D39">
        <f>SUM(D2:D38)</f>
        <v>92</v>
      </c>
      <c r="E39">
        <f>SUM(E2:E38)</f>
        <v>8181</v>
      </c>
      <c r="F39">
        <f>SUM(F2:F38)</f>
        <v>2</v>
      </c>
      <c r="G39">
        <f>SUM(G2:G38)</f>
        <v>2</v>
      </c>
      <c r="H39">
        <f>SUM(C39:G39)</f>
        <v>8278</v>
      </c>
      <c r="K39">
        <f t="shared" ref="K39:P39" si="2">SUM(K2:K38)</f>
        <v>620</v>
      </c>
      <c r="L39">
        <f t="shared" si="2"/>
        <v>850</v>
      </c>
      <c r="M39">
        <f t="shared" si="2"/>
        <v>5610</v>
      </c>
      <c r="N39">
        <f t="shared" si="2"/>
        <v>10</v>
      </c>
      <c r="O39">
        <f t="shared" si="2"/>
        <v>1344</v>
      </c>
      <c r="P39">
        <f t="shared" si="2"/>
        <v>1552</v>
      </c>
      <c r="Q39">
        <f>SUM(Q2:Q38)</f>
        <v>426</v>
      </c>
      <c r="R39">
        <f t="shared" si="1"/>
        <v>10412</v>
      </c>
      <c r="S39">
        <f>SUM(S2:S38)</f>
        <v>4</v>
      </c>
      <c r="T39">
        <f>SUM(T2:T38)</f>
        <v>5</v>
      </c>
      <c r="U39">
        <f>SUM(U2:U38)</f>
        <v>58</v>
      </c>
    </row>
    <row r="41" spans="1:21" x14ac:dyDescent="0.25">
      <c r="A41" t="s">
        <v>730</v>
      </c>
    </row>
    <row r="42" spans="1:21" x14ac:dyDescent="0.25">
      <c r="A42" t="s">
        <v>561</v>
      </c>
      <c r="B42" t="s">
        <v>562</v>
      </c>
    </row>
    <row r="56" spans="1:1" x14ac:dyDescent="0.25">
      <c r="A56" t="s">
        <v>554</v>
      </c>
    </row>
    <row r="60" spans="1:1" x14ac:dyDescent="0.25">
      <c r="A60" t="s">
        <v>555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Views>
    <sheetView topLeftCell="A7" zoomScale="85" zoomScaleNormal="85" workbookViewId="0">
      <selection activeCell="O48" sqref="O48"/>
    </sheetView>
  </sheetViews>
  <sheetFormatPr defaultRowHeight="15" x14ac:dyDescent="0.25"/>
  <cols>
    <col min="2" max="2" width="14.28515625" bestFit="1" customWidth="1"/>
    <col min="7" max="7" width="14.28515625" bestFit="1" customWidth="1"/>
    <col min="9" max="9" width="15.85546875" bestFit="1" customWidth="1"/>
    <col min="12" max="12" width="14.28515625" bestFit="1" customWidth="1"/>
    <col min="14" max="14" width="14.7109375" bestFit="1" customWidth="1"/>
  </cols>
  <sheetData>
    <row r="1" spans="1:17" x14ac:dyDescent="0.25">
      <c r="A1" t="s">
        <v>573</v>
      </c>
    </row>
    <row r="2" spans="1:17" x14ac:dyDescent="0.25">
      <c r="A2" t="s">
        <v>67</v>
      </c>
      <c r="C2" t="s">
        <v>624</v>
      </c>
      <c r="F2" t="s">
        <v>67</v>
      </c>
      <c r="H2" t="s">
        <v>624</v>
      </c>
      <c r="P2" t="s">
        <v>727</v>
      </c>
    </row>
    <row r="4" spans="1:17" x14ac:dyDescent="0.25">
      <c r="A4">
        <v>32</v>
      </c>
      <c r="B4" t="s">
        <v>574</v>
      </c>
      <c r="C4">
        <v>102</v>
      </c>
      <c r="D4" t="s">
        <v>575</v>
      </c>
      <c r="F4">
        <v>4</v>
      </c>
      <c r="G4" s="18" t="s">
        <v>608</v>
      </c>
      <c r="H4">
        <v>4</v>
      </c>
      <c r="I4" t="s">
        <v>712</v>
      </c>
      <c r="K4">
        <v>4</v>
      </c>
      <c r="L4" s="30" t="s">
        <v>609</v>
      </c>
      <c r="M4">
        <v>28</v>
      </c>
      <c r="N4" s="30" t="s">
        <v>609</v>
      </c>
      <c r="P4">
        <v>7</v>
      </c>
      <c r="Q4" t="s">
        <v>626</v>
      </c>
    </row>
    <row r="5" spans="1:17" x14ac:dyDescent="0.25">
      <c r="A5">
        <v>31</v>
      </c>
      <c r="B5" t="s">
        <v>575</v>
      </c>
      <c r="C5">
        <v>76</v>
      </c>
      <c r="D5" t="s">
        <v>582</v>
      </c>
      <c r="F5">
        <v>6</v>
      </c>
      <c r="G5" s="23" t="s">
        <v>602</v>
      </c>
      <c r="H5">
        <v>8</v>
      </c>
      <c r="I5" t="s">
        <v>662</v>
      </c>
      <c r="K5">
        <v>4</v>
      </c>
      <c r="L5" s="30" t="s">
        <v>610</v>
      </c>
      <c r="M5">
        <v>16</v>
      </c>
      <c r="N5" t="s">
        <v>632</v>
      </c>
      <c r="P5">
        <v>11</v>
      </c>
      <c r="Q5" t="s">
        <v>625</v>
      </c>
    </row>
    <row r="6" spans="1:17" x14ac:dyDescent="0.25">
      <c r="A6">
        <v>27</v>
      </c>
      <c r="B6" t="s">
        <v>576</v>
      </c>
      <c r="C6">
        <v>73</v>
      </c>
      <c r="D6" t="s">
        <v>578</v>
      </c>
      <c r="F6">
        <v>6</v>
      </c>
      <c r="G6" s="23" t="s">
        <v>601</v>
      </c>
      <c r="H6">
        <v>6</v>
      </c>
      <c r="I6" s="18" t="s">
        <v>608</v>
      </c>
      <c r="K6">
        <v>5</v>
      </c>
      <c r="L6" s="30" t="s">
        <v>604</v>
      </c>
      <c r="M6">
        <v>20</v>
      </c>
      <c r="N6" t="s">
        <v>628</v>
      </c>
      <c r="O6" t="s">
        <v>87</v>
      </c>
      <c r="P6">
        <v>6</v>
      </c>
      <c r="Q6" t="s">
        <v>601</v>
      </c>
    </row>
    <row r="7" spans="1:17" x14ac:dyDescent="0.25">
      <c r="A7">
        <v>26</v>
      </c>
      <c r="B7" t="s">
        <v>577</v>
      </c>
      <c r="C7">
        <v>70</v>
      </c>
      <c r="D7" t="s">
        <v>579</v>
      </c>
      <c r="F7">
        <v>13</v>
      </c>
      <c r="G7" s="24" t="s">
        <v>588</v>
      </c>
      <c r="H7">
        <v>28</v>
      </c>
      <c r="I7" t="s">
        <v>626</v>
      </c>
      <c r="J7" t="s">
        <v>87</v>
      </c>
      <c r="K7">
        <v>5</v>
      </c>
      <c r="L7" s="30" t="s">
        <v>603</v>
      </c>
      <c r="M7">
        <v>15</v>
      </c>
      <c r="N7" s="30" t="s">
        <v>610</v>
      </c>
      <c r="O7" t="s">
        <v>87</v>
      </c>
      <c r="P7">
        <v>10</v>
      </c>
      <c r="Q7" t="s">
        <v>588</v>
      </c>
    </row>
    <row r="8" spans="1:17" x14ac:dyDescent="0.25">
      <c r="A8">
        <v>23</v>
      </c>
      <c r="B8" t="s">
        <v>578</v>
      </c>
      <c r="C8">
        <v>67</v>
      </c>
      <c r="D8" t="s">
        <v>577</v>
      </c>
      <c r="F8">
        <v>11</v>
      </c>
      <c r="G8" s="24" t="s">
        <v>590</v>
      </c>
      <c r="H8">
        <v>28</v>
      </c>
      <c r="I8" t="s">
        <v>625</v>
      </c>
      <c r="J8" t="s">
        <v>87</v>
      </c>
      <c r="K8">
        <v>8</v>
      </c>
      <c r="L8" s="30" t="s">
        <v>593</v>
      </c>
      <c r="M8">
        <v>5</v>
      </c>
      <c r="N8" t="s">
        <v>695</v>
      </c>
      <c r="P8">
        <v>9</v>
      </c>
      <c r="Q8" t="s">
        <v>590</v>
      </c>
    </row>
    <row r="9" spans="1:17" x14ac:dyDescent="0.25">
      <c r="A9">
        <v>23</v>
      </c>
      <c r="B9" t="s">
        <v>579</v>
      </c>
      <c r="C9">
        <v>63</v>
      </c>
      <c r="D9" t="s">
        <v>574</v>
      </c>
      <c r="F9">
        <v>4</v>
      </c>
      <c r="G9" s="25" t="s">
        <v>618</v>
      </c>
      <c r="H9">
        <v>5</v>
      </c>
      <c r="I9" t="s">
        <v>700</v>
      </c>
      <c r="K9">
        <v>8</v>
      </c>
      <c r="L9" s="30" t="s">
        <v>592</v>
      </c>
      <c r="M9">
        <v>4</v>
      </c>
      <c r="N9" t="s">
        <v>714</v>
      </c>
      <c r="O9" t="s">
        <v>87</v>
      </c>
      <c r="P9">
        <v>5</v>
      </c>
      <c r="Q9" t="s">
        <v>629</v>
      </c>
    </row>
    <row r="10" spans="1:17" x14ac:dyDescent="0.25">
      <c r="A10">
        <v>22</v>
      </c>
      <c r="B10" t="s">
        <v>580</v>
      </c>
      <c r="C10">
        <v>62</v>
      </c>
      <c r="D10" t="s">
        <v>576</v>
      </c>
      <c r="F10">
        <v>4</v>
      </c>
      <c r="G10" s="25" t="s">
        <v>619</v>
      </c>
      <c r="H10">
        <v>39</v>
      </c>
      <c r="I10" s="23" t="s">
        <v>602</v>
      </c>
      <c r="J10" s="20"/>
      <c r="K10">
        <v>6</v>
      </c>
      <c r="L10" s="30" t="s">
        <v>599</v>
      </c>
      <c r="M10">
        <v>4</v>
      </c>
      <c r="N10" t="s">
        <v>713</v>
      </c>
      <c r="P10">
        <v>6</v>
      </c>
      <c r="Q10" t="s">
        <v>620</v>
      </c>
    </row>
    <row r="11" spans="1:17" x14ac:dyDescent="0.25">
      <c r="A11">
        <v>20</v>
      </c>
      <c r="B11" t="s">
        <v>581</v>
      </c>
      <c r="C11">
        <v>50</v>
      </c>
      <c r="D11" t="s">
        <v>581</v>
      </c>
      <c r="F11">
        <v>5</v>
      </c>
      <c r="G11" s="25" t="s">
        <v>605</v>
      </c>
      <c r="H11">
        <v>36</v>
      </c>
      <c r="I11" s="23" t="s">
        <v>601</v>
      </c>
      <c r="J11" t="s">
        <v>87</v>
      </c>
      <c r="K11">
        <v>4</v>
      </c>
      <c r="L11" s="30" t="s">
        <v>617</v>
      </c>
      <c r="M11">
        <v>24</v>
      </c>
      <c r="N11" s="30" t="s">
        <v>604</v>
      </c>
      <c r="O11" t="s">
        <v>87</v>
      </c>
      <c r="P11">
        <v>24</v>
      </c>
      <c r="Q11" t="s">
        <v>575</v>
      </c>
    </row>
    <row r="12" spans="1:17" x14ac:dyDescent="0.25">
      <c r="A12">
        <v>20</v>
      </c>
      <c r="B12" t="s">
        <v>582</v>
      </c>
      <c r="C12">
        <v>48</v>
      </c>
      <c r="D12" t="s">
        <v>596</v>
      </c>
      <c r="F12">
        <v>4</v>
      </c>
      <c r="G12" s="25" t="s">
        <v>620</v>
      </c>
      <c r="H12">
        <v>6</v>
      </c>
      <c r="I12" t="s">
        <v>688</v>
      </c>
      <c r="K12">
        <v>4</v>
      </c>
      <c r="L12" s="30" t="s">
        <v>616</v>
      </c>
      <c r="M12">
        <v>20</v>
      </c>
      <c r="N12" s="30" t="s">
        <v>603</v>
      </c>
      <c r="O12" t="s">
        <v>87</v>
      </c>
      <c r="P12">
        <v>20</v>
      </c>
      <c r="Q12" t="s">
        <v>582</v>
      </c>
    </row>
    <row r="13" spans="1:17" x14ac:dyDescent="0.25">
      <c r="A13">
        <v>18</v>
      </c>
      <c r="B13" t="s">
        <v>583</v>
      </c>
      <c r="C13">
        <v>42</v>
      </c>
      <c r="D13" t="s">
        <v>583</v>
      </c>
      <c r="F13">
        <v>31</v>
      </c>
      <c r="G13" s="26" t="s">
        <v>575</v>
      </c>
      <c r="H13">
        <v>6</v>
      </c>
      <c r="I13" t="s">
        <v>687</v>
      </c>
      <c r="K13">
        <v>15</v>
      </c>
      <c r="L13" s="30" t="s">
        <v>586</v>
      </c>
      <c r="M13">
        <v>30</v>
      </c>
      <c r="N13" s="30" t="s">
        <v>593</v>
      </c>
      <c r="O13" t="s">
        <v>87</v>
      </c>
      <c r="P13">
        <v>27</v>
      </c>
      <c r="Q13" t="s">
        <v>579</v>
      </c>
    </row>
    <row r="14" spans="1:17" x14ac:dyDescent="0.25">
      <c r="A14">
        <v>16</v>
      </c>
      <c r="B14" t="s">
        <v>584</v>
      </c>
      <c r="C14">
        <v>42</v>
      </c>
      <c r="D14" t="s">
        <v>588</v>
      </c>
      <c r="F14">
        <v>20</v>
      </c>
      <c r="G14" s="26" t="s">
        <v>582</v>
      </c>
      <c r="H14">
        <v>4</v>
      </c>
      <c r="I14" t="s">
        <v>725</v>
      </c>
      <c r="K14">
        <v>6</v>
      </c>
      <c r="L14" s="30" t="s">
        <v>600</v>
      </c>
      <c r="M14">
        <v>26</v>
      </c>
      <c r="N14" s="30" t="s">
        <v>592</v>
      </c>
      <c r="O14" t="s">
        <v>87</v>
      </c>
      <c r="P14">
        <v>22</v>
      </c>
      <c r="Q14" t="s">
        <v>578</v>
      </c>
    </row>
    <row r="15" spans="1:17" x14ac:dyDescent="0.25">
      <c r="A15">
        <v>16</v>
      </c>
      <c r="B15" t="s">
        <v>585</v>
      </c>
      <c r="C15">
        <v>41</v>
      </c>
      <c r="D15" t="s">
        <v>585</v>
      </c>
      <c r="F15">
        <v>4</v>
      </c>
      <c r="G15" s="21" t="s">
        <v>621</v>
      </c>
      <c r="H15">
        <v>5</v>
      </c>
      <c r="I15" s="24" t="s">
        <v>701</v>
      </c>
      <c r="K15">
        <v>22</v>
      </c>
      <c r="L15" s="30" t="s">
        <v>580</v>
      </c>
      <c r="M15">
        <v>4</v>
      </c>
      <c r="N15" t="s">
        <v>724</v>
      </c>
      <c r="P15">
        <v>13</v>
      </c>
      <c r="Q15" t="s">
        <v>657</v>
      </c>
    </row>
    <row r="16" spans="1:17" x14ac:dyDescent="0.25">
      <c r="A16">
        <v>15</v>
      </c>
      <c r="B16" t="s">
        <v>586</v>
      </c>
      <c r="C16">
        <v>39</v>
      </c>
      <c r="D16" t="s">
        <v>602</v>
      </c>
      <c r="F16">
        <v>23</v>
      </c>
      <c r="G16" s="21" t="s">
        <v>579</v>
      </c>
      <c r="H16">
        <v>8</v>
      </c>
      <c r="I16" s="24" t="s">
        <v>666</v>
      </c>
      <c r="K16">
        <v>16</v>
      </c>
      <c r="L16" s="30" t="s">
        <v>585</v>
      </c>
      <c r="M16">
        <v>18</v>
      </c>
      <c r="N16" t="s">
        <v>630</v>
      </c>
      <c r="P16">
        <v>8</v>
      </c>
      <c r="Q16" t="s">
        <v>611</v>
      </c>
    </row>
    <row r="17" spans="1:17" x14ac:dyDescent="0.25">
      <c r="A17">
        <v>14</v>
      </c>
      <c r="B17" t="s">
        <v>587</v>
      </c>
      <c r="C17">
        <v>38</v>
      </c>
      <c r="D17" t="s">
        <v>584</v>
      </c>
      <c r="F17">
        <v>23</v>
      </c>
      <c r="G17" s="22" t="s">
        <v>578</v>
      </c>
      <c r="H17">
        <v>42</v>
      </c>
      <c r="I17" t="s">
        <v>588</v>
      </c>
      <c r="J17" t="s">
        <v>87</v>
      </c>
      <c r="K17">
        <v>8</v>
      </c>
      <c r="L17" s="30" t="s">
        <v>596</v>
      </c>
      <c r="M17">
        <v>9</v>
      </c>
      <c r="N17" t="s">
        <v>654</v>
      </c>
      <c r="P17">
        <v>7</v>
      </c>
      <c r="Q17" t="s">
        <v>594</v>
      </c>
    </row>
    <row r="18" spans="1:17" x14ac:dyDescent="0.25">
      <c r="A18">
        <v>13</v>
      </c>
      <c r="B18" t="s">
        <v>588</v>
      </c>
      <c r="C18">
        <v>38</v>
      </c>
      <c r="D18" t="s">
        <v>586</v>
      </c>
      <c r="F18">
        <v>4</v>
      </c>
      <c r="G18" s="27" t="s">
        <v>611</v>
      </c>
      <c r="H18">
        <v>37</v>
      </c>
      <c r="I18" t="s">
        <v>590</v>
      </c>
      <c r="J18" t="s">
        <v>87</v>
      </c>
      <c r="K18">
        <v>10</v>
      </c>
      <c r="L18" s="30" t="s">
        <v>591</v>
      </c>
      <c r="M18">
        <v>6</v>
      </c>
      <c r="N18" t="s">
        <v>685</v>
      </c>
      <c r="P18">
        <v>5</v>
      </c>
      <c r="Q18" t="s">
        <v>613</v>
      </c>
    </row>
    <row r="19" spans="1:17" x14ac:dyDescent="0.25">
      <c r="A19">
        <v>12</v>
      </c>
      <c r="B19" t="s">
        <v>589</v>
      </c>
      <c r="C19">
        <v>38</v>
      </c>
      <c r="D19" t="s">
        <v>580</v>
      </c>
      <c r="F19">
        <v>4</v>
      </c>
      <c r="G19" s="27" t="s">
        <v>612</v>
      </c>
      <c r="H19">
        <v>4</v>
      </c>
      <c r="I19" t="s">
        <v>726</v>
      </c>
      <c r="K19">
        <v>18</v>
      </c>
      <c r="L19" s="30" t="s">
        <v>583</v>
      </c>
      <c r="M19">
        <v>25</v>
      </c>
      <c r="N19" t="s">
        <v>627</v>
      </c>
      <c r="O19" t="s">
        <v>87</v>
      </c>
      <c r="P19">
        <v>4</v>
      </c>
      <c r="Q19" t="s">
        <v>642</v>
      </c>
    </row>
    <row r="20" spans="1:17" x14ac:dyDescent="0.25">
      <c r="A20">
        <v>11</v>
      </c>
      <c r="B20" t="s">
        <v>590</v>
      </c>
      <c r="C20">
        <v>37</v>
      </c>
      <c r="D20" t="s">
        <v>590</v>
      </c>
      <c r="F20">
        <v>8</v>
      </c>
      <c r="G20" s="27" t="s">
        <v>594</v>
      </c>
      <c r="H20">
        <v>19</v>
      </c>
      <c r="I20" t="s">
        <v>629</v>
      </c>
      <c r="J20" t="s">
        <v>87</v>
      </c>
      <c r="K20">
        <v>20</v>
      </c>
      <c r="L20" s="30" t="s">
        <v>581</v>
      </c>
      <c r="M20">
        <v>9</v>
      </c>
      <c r="N20" t="s">
        <v>656</v>
      </c>
      <c r="O20" t="s">
        <v>87</v>
      </c>
      <c r="P20">
        <v>8</v>
      </c>
      <c r="Q20" t="s">
        <v>595</v>
      </c>
    </row>
    <row r="21" spans="1:17" x14ac:dyDescent="0.25">
      <c r="A21">
        <v>10</v>
      </c>
      <c r="B21" t="s">
        <v>591</v>
      </c>
      <c r="C21">
        <v>36</v>
      </c>
      <c r="D21" t="s">
        <v>601</v>
      </c>
      <c r="F21">
        <v>4</v>
      </c>
      <c r="G21" s="27" t="s">
        <v>613</v>
      </c>
      <c r="H21">
        <v>27</v>
      </c>
      <c r="I21" s="25" t="s">
        <v>618</v>
      </c>
      <c r="K21">
        <v>4</v>
      </c>
      <c r="L21" s="30" t="s">
        <v>622</v>
      </c>
      <c r="M21">
        <v>11</v>
      </c>
      <c r="N21" s="30" t="s">
        <v>599</v>
      </c>
      <c r="P21">
        <v>4</v>
      </c>
      <c r="Q21" t="s">
        <v>728</v>
      </c>
    </row>
    <row r="22" spans="1:17" x14ac:dyDescent="0.25">
      <c r="A22">
        <v>8</v>
      </c>
      <c r="B22" t="s">
        <v>592</v>
      </c>
      <c r="C22">
        <v>33</v>
      </c>
      <c r="D22" t="s">
        <v>605</v>
      </c>
      <c r="F22">
        <v>4</v>
      </c>
      <c r="G22" s="27" t="s">
        <v>614</v>
      </c>
      <c r="H22">
        <v>23</v>
      </c>
      <c r="I22" s="25" t="s">
        <v>619</v>
      </c>
      <c r="K22">
        <v>12</v>
      </c>
      <c r="L22" s="30" t="s">
        <v>589</v>
      </c>
      <c r="M22">
        <v>16</v>
      </c>
      <c r="N22" s="30" t="s">
        <v>617</v>
      </c>
      <c r="P22">
        <v>4</v>
      </c>
      <c r="Q22" t="s">
        <v>615</v>
      </c>
    </row>
    <row r="23" spans="1:17" x14ac:dyDescent="0.25">
      <c r="A23">
        <v>8</v>
      </c>
      <c r="B23" t="s">
        <v>593</v>
      </c>
      <c r="C23">
        <v>30</v>
      </c>
      <c r="D23" t="s">
        <v>593</v>
      </c>
      <c r="F23">
        <v>8</v>
      </c>
      <c r="G23" s="27" t="s">
        <v>595</v>
      </c>
      <c r="H23">
        <v>33</v>
      </c>
      <c r="I23" s="25" t="s">
        <v>605</v>
      </c>
      <c r="K23">
        <v>4</v>
      </c>
      <c r="L23" s="30" t="s">
        <v>623</v>
      </c>
      <c r="M23">
        <v>13</v>
      </c>
      <c r="N23" s="30" t="s">
        <v>616</v>
      </c>
      <c r="P23">
        <v>27</v>
      </c>
      <c r="Q23" t="s">
        <v>577</v>
      </c>
    </row>
    <row r="24" spans="1:17" x14ac:dyDescent="0.25">
      <c r="A24">
        <v>8</v>
      </c>
      <c r="B24" t="s">
        <v>594</v>
      </c>
      <c r="C24">
        <v>28</v>
      </c>
      <c r="D24" t="s">
        <v>609</v>
      </c>
      <c r="F24">
        <v>6</v>
      </c>
      <c r="G24" s="27" t="s">
        <v>598</v>
      </c>
      <c r="H24">
        <v>17</v>
      </c>
      <c r="I24" s="25" t="s">
        <v>620</v>
      </c>
      <c r="J24" t="s">
        <v>87</v>
      </c>
      <c r="K24">
        <v>4</v>
      </c>
      <c r="L24" s="31" t="s">
        <v>607</v>
      </c>
      <c r="M24">
        <v>8</v>
      </c>
      <c r="N24" t="s">
        <v>665</v>
      </c>
      <c r="O24" t="s">
        <v>87</v>
      </c>
      <c r="P24">
        <v>13</v>
      </c>
      <c r="Q24" t="s">
        <v>584</v>
      </c>
    </row>
    <row r="25" spans="1:17" x14ac:dyDescent="0.25">
      <c r="A25">
        <v>8</v>
      </c>
      <c r="B25" t="s">
        <v>595</v>
      </c>
      <c r="C25">
        <v>28</v>
      </c>
      <c r="D25" t="s">
        <v>591</v>
      </c>
      <c r="F25">
        <v>4</v>
      </c>
      <c r="G25" s="28" t="s">
        <v>615</v>
      </c>
      <c r="H25">
        <v>18</v>
      </c>
      <c r="I25" t="s">
        <v>631</v>
      </c>
      <c r="K25">
        <v>4</v>
      </c>
      <c r="L25" s="31" t="s">
        <v>606</v>
      </c>
      <c r="M25">
        <v>11</v>
      </c>
      <c r="N25" t="s">
        <v>644</v>
      </c>
      <c r="P25">
        <v>25</v>
      </c>
      <c r="Q25" t="s">
        <v>576</v>
      </c>
    </row>
    <row r="26" spans="1:17" x14ac:dyDescent="0.25">
      <c r="A26">
        <v>8</v>
      </c>
      <c r="B26" t="s">
        <v>596</v>
      </c>
      <c r="C26">
        <v>28</v>
      </c>
      <c r="D26" t="s">
        <v>625</v>
      </c>
      <c r="F26">
        <v>26</v>
      </c>
      <c r="G26" s="28" t="s">
        <v>577</v>
      </c>
      <c r="H26">
        <v>9</v>
      </c>
      <c r="I26" t="s">
        <v>659</v>
      </c>
      <c r="K26">
        <v>7</v>
      </c>
      <c r="L26" s="31" t="s">
        <v>597</v>
      </c>
      <c r="M26">
        <v>9</v>
      </c>
      <c r="N26" t="s">
        <v>655</v>
      </c>
      <c r="P26">
        <v>35</v>
      </c>
      <c r="Q26" t="s">
        <v>574</v>
      </c>
    </row>
    <row r="27" spans="1:17" x14ac:dyDescent="0.25">
      <c r="A27">
        <v>7</v>
      </c>
      <c r="B27" t="s">
        <v>597</v>
      </c>
      <c r="C27">
        <v>28</v>
      </c>
      <c r="D27" t="s">
        <v>626</v>
      </c>
      <c r="F27">
        <v>16</v>
      </c>
      <c r="G27" s="28" t="s">
        <v>584</v>
      </c>
      <c r="H27">
        <v>102</v>
      </c>
      <c r="I27" s="26" t="s">
        <v>575</v>
      </c>
      <c r="J27" t="s">
        <v>87</v>
      </c>
      <c r="K27">
        <v>14</v>
      </c>
      <c r="L27" s="31" t="s">
        <v>587</v>
      </c>
      <c r="M27">
        <v>7</v>
      </c>
      <c r="N27" t="s">
        <v>673</v>
      </c>
      <c r="P27">
        <v>5</v>
      </c>
      <c r="Q27" t="s">
        <v>628</v>
      </c>
    </row>
    <row r="28" spans="1:17" x14ac:dyDescent="0.25">
      <c r="A28">
        <v>6</v>
      </c>
      <c r="B28" t="s">
        <v>598</v>
      </c>
      <c r="C28">
        <v>27</v>
      </c>
      <c r="D28" t="s">
        <v>618</v>
      </c>
      <c r="F28">
        <v>27</v>
      </c>
      <c r="G28" s="29" t="s">
        <v>576</v>
      </c>
      <c r="H28">
        <v>76</v>
      </c>
      <c r="I28" s="26" t="s">
        <v>582</v>
      </c>
      <c r="J28" t="s">
        <v>87</v>
      </c>
      <c r="M28">
        <v>38</v>
      </c>
      <c r="N28" s="30" t="s">
        <v>586</v>
      </c>
      <c r="O28" t="s">
        <v>87</v>
      </c>
      <c r="P28">
        <v>10</v>
      </c>
      <c r="Q28" t="s">
        <v>610</v>
      </c>
    </row>
    <row r="29" spans="1:17" x14ac:dyDescent="0.25">
      <c r="A29">
        <v>6</v>
      </c>
      <c r="B29" t="s">
        <v>599</v>
      </c>
      <c r="C29">
        <v>26</v>
      </c>
      <c r="D29" t="s">
        <v>592</v>
      </c>
      <c r="F29">
        <v>32</v>
      </c>
      <c r="G29" s="29" t="s">
        <v>574</v>
      </c>
      <c r="H29">
        <v>9</v>
      </c>
      <c r="I29" t="s">
        <v>658</v>
      </c>
      <c r="M29">
        <v>25</v>
      </c>
      <c r="N29" s="30" t="s">
        <v>600</v>
      </c>
      <c r="O29" t="s">
        <v>87</v>
      </c>
      <c r="P29">
        <v>4</v>
      </c>
      <c r="Q29" t="s">
        <v>729</v>
      </c>
    </row>
    <row r="30" spans="1:17" x14ac:dyDescent="0.25">
      <c r="A30">
        <v>6</v>
      </c>
      <c r="B30" t="s">
        <v>600</v>
      </c>
      <c r="C30">
        <v>25</v>
      </c>
      <c r="D30" t="s">
        <v>594</v>
      </c>
      <c r="H30">
        <v>5</v>
      </c>
      <c r="I30" t="s">
        <v>702</v>
      </c>
      <c r="M30">
        <v>6</v>
      </c>
      <c r="N30" t="s">
        <v>686</v>
      </c>
      <c r="P30">
        <v>6</v>
      </c>
      <c r="Q30" t="s">
        <v>604</v>
      </c>
    </row>
    <row r="31" spans="1:17" x14ac:dyDescent="0.25">
      <c r="A31">
        <v>6</v>
      </c>
      <c r="B31" t="s">
        <v>601</v>
      </c>
      <c r="C31">
        <v>25</v>
      </c>
      <c r="D31" t="s">
        <v>627</v>
      </c>
      <c r="H31">
        <v>8</v>
      </c>
      <c r="I31" t="s">
        <v>667</v>
      </c>
      <c r="M31">
        <v>38</v>
      </c>
      <c r="N31" s="30" t="s">
        <v>580</v>
      </c>
      <c r="O31" t="s">
        <v>87</v>
      </c>
      <c r="P31">
        <v>4</v>
      </c>
      <c r="Q31" t="s">
        <v>603</v>
      </c>
    </row>
    <row r="32" spans="1:17" x14ac:dyDescent="0.25">
      <c r="A32">
        <v>6</v>
      </c>
      <c r="B32" t="s">
        <v>602</v>
      </c>
      <c r="C32">
        <v>25</v>
      </c>
      <c r="D32" t="s">
        <v>600</v>
      </c>
      <c r="H32">
        <v>12</v>
      </c>
      <c r="I32" s="21" t="s">
        <v>621</v>
      </c>
      <c r="M32">
        <v>41</v>
      </c>
      <c r="N32" s="30" t="s">
        <v>585</v>
      </c>
      <c r="O32" t="s">
        <v>87</v>
      </c>
      <c r="P32">
        <v>8</v>
      </c>
      <c r="Q32" t="s">
        <v>593</v>
      </c>
    </row>
    <row r="33" spans="1:17" x14ac:dyDescent="0.25">
      <c r="A33">
        <v>5</v>
      </c>
      <c r="B33" t="s">
        <v>603</v>
      </c>
      <c r="C33">
        <v>24</v>
      </c>
      <c r="D33" t="s">
        <v>604</v>
      </c>
      <c r="H33">
        <v>70</v>
      </c>
      <c r="I33" s="21" t="s">
        <v>579</v>
      </c>
      <c r="J33" t="s">
        <v>87</v>
      </c>
      <c r="M33">
        <v>4</v>
      </c>
      <c r="N33" t="s">
        <v>721</v>
      </c>
      <c r="P33">
        <v>8</v>
      </c>
      <c r="Q33" t="s">
        <v>592</v>
      </c>
    </row>
    <row r="34" spans="1:17" x14ac:dyDescent="0.25">
      <c r="A34">
        <v>5</v>
      </c>
      <c r="B34" t="s">
        <v>604</v>
      </c>
      <c r="C34">
        <v>23</v>
      </c>
      <c r="D34" t="s">
        <v>619</v>
      </c>
      <c r="H34">
        <v>5</v>
      </c>
      <c r="I34" t="s">
        <v>703</v>
      </c>
      <c r="M34">
        <v>5</v>
      </c>
      <c r="N34" t="s">
        <v>698</v>
      </c>
      <c r="P34">
        <v>4</v>
      </c>
      <c r="Q34" t="s">
        <v>665</v>
      </c>
    </row>
    <row r="35" spans="1:17" x14ac:dyDescent="0.25">
      <c r="A35">
        <v>5</v>
      </c>
      <c r="B35" t="s">
        <v>605</v>
      </c>
      <c r="C35">
        <v>20</v>
      </c>
      <c r="D35" t="s">
        <v>603</v>
      </c>
      <c r="H35">
        <v>73</v>
      </c>
      <c r="I35" s="22" t="s">
        <v>578</v>
      </c>
      <c r="J35" t="s">
        <v>87</v>
      </c>
      <c r="M35">
        <v>12</v>
      </c>
      <c r="N35" t="s">
        <v>639</v>
      </c>
      <c r="P35">
        <v>7</v>
      </c>
      <c r="Q35" t="s">
        <v>586</v>
      </c>
    </row>
    <row r="36" spans="1:17" x14ac:dyDescent="0.25">
      <c r="A36">
        <v>4</v>
      </c>
      <c r="B36" t="s">
        <v>606</v>
      </c>
      <c r="C36">
        <v>20</v>
      </c>
      <c r="D36" t="s">
        <v>628</v>
      </c>
      <c r="H36">
        <v>9</v>
      </c>
      <c r="I36" t="s">
        <v>657</v>
      </c>
      <c r="J36" t="s">
        <v>87</v>
      </c>
      <c r="M36">
        <v>9</v>
      </c>
      <c r="N36" t="s">
        <v>652</v>
      </c>
      <c r="P36">
        <v>6</v>
      </c>
      <c r="Q36" t="s">
        <v>600</v>
      </c>
    </row>
    <row r="37" spans="1:17" x14ac:dyDescent="0.25">
      <c r="A37">
        <v>4</v>
      </c>
      <c r="B37" t="s">
        <v>607</v>
      </c>
      <c r="C37">
        <v>19</v>
      </c>
      <c r="D37" t="s">
        <v>613</v>
      </c>
      <c r="H37">
        <v>14</v>
      </c>
      <c r="I37" t="s">
        <v>634</v>
      </c>
      <c r="M37">
        <v>9</v>
      </c>
      <c r="N37" t="s">
        <v>653</v>
      </c>
      <c r="P37">
        <v>6</v>
      </c>
      <c r="Q37" t="s">
        <v>580</v>
      </c>
    </row>
    <row r="38" spans="1:17" x14ac:dyDescent="0.25">
      <c r="A38">
        <v>4</v>
      </c>
      <c r="B38" t="s">
        <v>608</v>
      </c>
      <c r="C38">
        <v>19</v>
      </c>
      <c r="D38" t="s">
        <v>629</v>
      </c>
      <c r="H38">
        <v>14</v>
      </c>
      <c r="I38" s="27" t="s">
        <v>611</v>
      </c>
      <c r="J38" t="s">
        <v>87</v>
      </c>
      <c r="M38">
        <v>8</v>
      </c>
      <c r="N38" t="s">
        <v>664</v>
      </c>
      <c r="P38">
        <v>5</v>
      </c>
      <c r="Q38" t="s">
        <v>585</v>
      </c>
    </row>
    <row r="39" spans="1:17" x14ac:dyDescent="0.25">
      <c r="A39">
        <v>4</v>
      </c>
      <c r="B39" t="s">
        <v>609</v>
      </c>
      <c r="C39">
        <v>19</v>
      </c>
      <c r="D39" t="s">
        <v>622</v>
      </c>
      <c r="H39">
        <v>15</v>
      </c>
      <c r="I39" t="s">
        <v>633</v>
      </c>
      <c r="M39">
        <v>4</v>
      </c>
      <c r="N39" t="s">
        <v>722</v>
      </c>
      <c r="P39">
        <v>12</v>
      </c>
      <c r="Q39" t="s">
        <v>596</v>
      </c>
    </row>
    <row r="40" spans="1:17" x14ac:dyDescent="0.25">
      <c r="A40">
        <v>4</v>
      </c>
      <c r="B40" t="s">
        <v>610</v>
      </c>
      <c r="C40">
        <v>18</v>
      </c>
      <c r="D40" t="s">
        <v>614</v>
      </c>
      <c r="H40">
        <v>13</v>
      </c>
      <c r="I40" s="27" t="s">
        <v>612</v>
      </c>
      <c r="M40">
        <v>5</v>
      </c>
      <c r="N40" t="s">
        <v>699</v>
      </c>
      <c r="P40">
        <v>8</v>
      </c>
      <c r="Q40" t="s">
        <v>591</v>
      </c>
    </row>
    <row r="41" spans="1:17" x14ac:dyDescent="0.25">
      <c r="A41">
        <v>4</v>
      </c>
      <c r="B41" t="s">
        <v>611</v>
      </c>
      <c r="C41">
        <v>18</v>
      </c>
      <c r="D41" t="s">
        <v>595</v>
      </c>
      <c r="H41">
        <v>5</v>
      </c>
      <c r="I41" t="s">
        <v>696</v>
      </c>
      <c r="M41">
        <v>6</v>
      </c>
      <c r="N41" t="s">
        <v>682</v>
      </c>
      <c r="P41">
        <v>8</v>
      </c>
      <c r="Q41" t="s">
        <v>583</v>
      </c>
    </row>
    <row r="42" spans="1:17" x14ac:dyDescent="0.25">
      <c r="A42">
        <v>4</v>
      </c>
      <c r="B42" t="s">
        <v>612</v>
      </c>
      <c r="C42">
        <v>18</v>
      </c>
      <c r="D42" t="s">
        <v>630</v>
      </c>
      <c r="H42">
        <v>25</v>
      </c>
      <c r="I42" s="27" t="s">
        <v>594</v>
      </c>
      <c r="J42" t="s">
        <v>87</v>
      </c>
      <c r="M42">
        <v>6</v>
      </c>
      <c r="N42" t="s">
        <v>683</v>
      </c>
      <c r="P42">
        <v>10</v>
      </c>
      <c r="Q42" t="s">
        <v>581</v>
      </c>
    </row>
    <row r="43" spans="1:17" x14ac:dyDescent="0.25">
      <c r="A43">
        <v>4</v>
      </c>
      <c r="B43" t="s">
        <v>613</v>
      </c>
      <c r="C43">
        <v>18</v>
      </c>
      <c r="D43" t="s">
        <v>631</v>
      </c>
      <c r="H43">
        <v>19</v>
      </c>
      <c r="I43" s="27" t="s">
        <v>613</v>
      </c>
      <c r="J43" t="s">
        <v>87</v>
      </c>
      <c r="M43">
        <v>48</v>
      </c>
      <c r="N43" s="30" t="s">
        <v>596</v>
      </c>
      <c r="O43" t="s">
        <v>87</v>
      </c>
    </row>
    <row r="44" spans="1:17" x14ac:dyDescent="0.25">
      <c r="A44">
        <v>4</v>
      </c>
      <c r="B44" t="s">
        <v>614</v>
      </c>
      <c r="C44">
        <v>17</v>
      </c>
      <c r="D44" t="s">
        <v>620</v>
      </c>
      <c r="H44">
        <v>4</v>
      </c>
      <c r="I44" t="s">
        <v>719</v>
      </c>
      <c r="M44">
        <v>28</v>
      </c>
      <c r="N44" s="30" t="s">
        <v>591</v>
      </c>
      <c r="O44" t="s">
        <v>87</v>
      </c>
    </row>
    <row r="45" spans="1:17" x14ac:dyDescent="0.25">
      <c r="A45">
        <v>4</v>
      </c>
      <c r="B45" t="s">
        <v>615</v>
      </c>
      <c r="C45">
        <v>16</v>
      </c>
      <c r="D45" t="s">
        <v>632</v>
      </c>
      <c r="H45">
        <v>6</v>
      </c>
      <c r="I45" t="s">
        <v>681</v>
      </c>
      <c r="M45">
        <v>4</v>
      </c>
      <c r="N45" t="s">
        <v>723</v>
      </c>
    </row>
    <row r="46" spans="1:17" x14ac:dyDescent="0.25">
      <c r="A46">
        <v>4</v>
      </c>
      <c r="B46" t="s">
        <v>616</v>
      </c>
      <c r="C46">
        <v>16</v>
      </c>
      <c r="D46" t="s">
        <v>617</v>
      </c>
      <c r="H46">
        <v>18</v>
      </c>
      <c r="I46" s="27" t="s">
        <v>614</v>
      </c>
      <c r="M46">
        <v>42</v>
      </c>
      <c r="N46" s="30" t="s">
        <v>583</v>
      </c>
      <c r="O46" t="s">
        <v>87</v>
      </c>
    </row>
    <row r="47" spans="1:17" x14ac:dyDescent="0.25">
      <c r="A47">
        <v>4</v>
      </c>
      <c r="B47" t="s">
        <v>617</v>
      </c>
      <c r="C47">
        <v>15</v>
      </c>
      <c r="D47" t="s">
        <v>606</v>
      </c>
      <c r="H47">
        <v>11</v>
      </c>
      <c r="I47" t="s">
        <v>642</v>
      </c>
      <c r="M47">
        <v>6</v>
      </c>
      <c r="N47" t="s">
        <v>684</v>
      </c>
    </row>
    <row r="48" spans="1:17" x14ac:dyDescent="0.25">
      <c r="A48">
        <v>4</v>
      </c>
      <c r="B48" t="s">
        <v>618</v>
      </c>
      <c r="C48">
        <v>15</v>
      </c>
      <c r="D48" t="s">
        <v>610</v>
      </c>
      <c r="H48">
        <v>18</v>
      </c>
      <c r="I48" s="27" t="s">
        <v>595</v>
      </c>
      <c r="M48">
        <v>50</v>
      </c>
      <c r="N48" s="30" t="s">
        <v>581</v>
      </c>
      <c r="O48" t="s">
        <v>87</v>
      </c>
    </row>
    <row r="49" spans="1:14" x14ac:dyDescent="0.25">
      <c r="A49">
        <v>4</v>
      </c>
      <c r="B49" t="s">
        <v>619</v>
      </c>
      <c r="C49">
        <v>15</v>
      </c>
      <c r="D49" t="s">
        <v>633</v>
      </c>
      <c r="H49">
        <v>11</v>
      </c>
      <c r="I49" s="27" t="s">
        <v>643</v>
      </c>
      <c r="M49">
        <v>4</v>
      </c>
      <c r="N49" t="s">
        <v>720</v>
      </c>
    </row>
    <row r="50" spans="1:14" x14ac:dyDescent="0.25">
      <c r="A50">
        <v>4</v>
      </c>
      <c r="B50" t="s">
        <v>620</v>
      </c>
      <c r="C50">
        <v>14</v>
      </c>
      <c r="D50" t="s">
        <v>611</v>
      </c>
      <c r="H50">
        <v>10</v>
      </c>
      <c r="I50" s="27" t="s">
        <v>647</v>
      </c>
      <c r="M50">
        <v>19</v>
      </c>
      <c r="N50" s="30" t="s">
        <v>622</v>
      </c>
    </row>
    <row r="51" spans="1:14" x14ac:dyDescent="0.25">
      <c r="A51">
        <v>4</v>
      </c>
      <c r="B51" t="s">
        <v>621</v>
      </c>
      <c r="C51">
        <v>14</v>
      </c>
      <c r="D51" t="s">
        <v>634</v>
      </c>
      <c r="H51">
        <v>10</v>
      </c>
      <c r="I51" t="s">
        <v>646</v>
      </c>
      <c r="M51">
        <v>9</v>
      </c>
      <c r="N51" s="30" t="s">
        <v>589</v>
      </c>
    </row>
    <row r="52" spans="1:14" x14ac:dyDescent="0.25">
      <c r="A52">
        <v>4</v>
      </c>
      <c r="B52" t="s">
        <v>622</v>
      </c>
      <c r="C52">
        <v>14</v>
      </c>
      <c r="D52" t="s">
        <v>635</v>
      </c>
      <c r="H52">
        <v>8</v>
      </c>
      <c r="I52" s="27" t="s">
        <v>598</v>
      </c>
      <c r="M52">
        <v>7</v>
      </c>
      <c r="N52" s="30" t="s">
        <v>623</v>
      </c>
    </row>
    <row r="53" spans="1:14" x14ac:dyDescent="0.25">
      <c r="A53">
        <v>4</v>
      </c>
      <c r="B53" t="s">
        <v>623</v>
      </c>
      <c r="C53">
        <v>14</v>
      </c>
      <c r="D53" t="s">
        <v>636</v>
      </c>
      <c r="H53">
        <v>10</v>
      </c>
      <c r="I53" t="s">
        <v>648</v>
      </c>
      <c r="M53">
        <v>14</v>
      </c>
      <c r="N53" t="s">
        <v>636</v>
      </c>
    </row>
    <row r="54" spans="1:14" x14ac:dyDescent="0.25">
      <c r="C54">
        <v>13</v>
      </c>
      <c r="D54" t="s">
        <v>587</v>
      </c>
      <c r="H54">
        <v>4</v>
      </c>
      <c r="I54" t="s">
        <v>717</v>
      </c>
      <c r="M54">
        <v>4</v>
      </c>
      <c r="N54" t="s">
        <v>706</v>
      </c>
    </row>
    <row r="55" spans="1:14" x14ac:dyDescent="0.25">
      <c r="C55">
        <v>13</v>
      </c>
      <c r="D55" t="s">
        <v>597</v>
      </c>
      <c r="H55">
        <v>4</v>
      </c>
      <c r="I55" t="s">
        <v>718</v>
      </c>
      <c r="M55">
        <v>5</v>
      </c>
      <c r="N55" t="s">
        <v>691</v>
      </c>
    </row>
    <row r="56" spans="1:14" x14ac:dyDescent="0.25">
      <c r="C56">
        <v>13</v>
      </c>
      <c r="D56" t="s">
        <v>637</v>
      </c>
      <c r="H56">
        <v>11</v>
      </c>
      <c r="I56" t="s">
        <v>641</v>
      </c>
      <c r="M56">
        <v>4</v>
      </c>
      <c r="N56" t="s">
        <v>707</v>
      </c>
    </row>
    <row r="57" spans="1:14" x14ac:dyDescent="0.25">
      <c r="C57">
        <v>13</v>
      </c>
      <c r="D57" t="s">
        <v>612</v>
      </c>
      <c r="H57">
        <v>5</v>
      </c>
      <c r="I57" t="s">
        <v>697</v>
      </c>
      <c r="M57">
        <v>4</v>
      </c>
      <c r="N57" t="s">
        <v>708</v>
      </c>
    </row>
    <row r="58" spans="1:14" x14ac:dyDescent="0.25">
      <c r="C58">
        <v>13</v>
      </c>
      <c r="D58" t="s">
        <v>638</v>
      </c>
      <c r="H58">
        <v>7</v>
      </c>
      <c r="I58" t="s">
        <v>670</v>
      </c>
      <c r="M58">
        <v>5</v>
      </c>
      <c r="N58" t="s">
        <v>692</v>
      </c>
    </row>
    <row r="59" spans="1:14" x14ac:dyDescent="0.25">
      <c r="C59">
        <v>13</v>
      </c>
      <c r="D59" t="s">
        <v>616</v>
      </c>
      <c r="H59">
        <v>13</v>
      </c>
      <c r="I59" t="s">
        <v>638</v>
      </c>
      <c r="M59">
        <v>8</v>
      </c>
      <c r="N59" t="s">
        <v>660</v>
      </c>
    </row>
    <row r="60" spans="1:14" x14ac:dyDescent="0.25">
      <c r="C60">
        <v>12</v>
      </c>
      <c r="D60" t="s">
        <v>615</v>
      </c>
      <c r="H60">
        <v>12</v>
      </c>
      <c r="I60" s="28" t="s">
        <v>615</v>
      </c>
      <c r="M60">
        <v>8</v>
      </c>
      <c r="N60" t="s">
        <v>661</v>
      </c>
    </row>
    <row r="61" spans="1:14" x14ac:dyDescent="0.25">
      <c r="C61">
        <v>12</v>
      </c>
      <c r="D61" t="s">
        <v>639</v>
      </c>
      <c r="H61">
        <v>10</v>
      </c>
      <c r="I61" s="28" t="s">
        <v>649</v>
      </c>
      <c r="M61">
        <v>11</v>
      </c>
      <c r="N61" t="s">
        <v>640</v>
      </c>
    </row>
    <row r="62" spans="1:14" x14ac:dyDescent="0.25">
      <c r="C62">
        <v>12</v>
      </c>
      <c r="D62" t="s">
        <v>621</v>
      </c>
      <c r="H62">
        <v>14</v>
      </c>
      <c r="I62" t="s">
        <v>635</v>
      </c>
      <c r="M62">
        <v>5</v>
      </c>
      <c r="N62" t="s">
        <v>689</v>
      </c>
    </row>
    <row r="63" spans="1:14" x14ac:dyDescent="0.25">
      <c r="C63">
        <v>11</v>
      </c>
      <c r="D63" t="s">
        <v>640</v>
      </c>
      <c r="H63">
        <v>7</v>
      </c>
      <c r="I63" t="s">
        <v>671</v>
      </c>
      <c r="M63">
        <v>4</v>
      </c>
      <c r="N63" t="s">
        <v>705</v>
      </c>
    </row>
    <row r="64" spans="1:14" x14ac:dyDescent="0.25">
      <c r="C64">
        <v>11</v>
      </c>
      <c r="D64" t="s">
        <v>641</v>
      </c>
      <c r="H64">
        <v>67</v>
      </c>
      <c r="I64" t="s">
        <v>577</v>
      </c>
      <c r="J64" t="s">
        <v>87</v>
      </c>
      <c r="M64">
        <v>9</v>
      </c>
      <c r="N64" t="s">
        <v>650</v>
      </c>
    </row>
    <row r="65" spans="3:14" x14ac:dyDescent="0.25">
      <c r="C65">
        <v>11</v>
      </c>
      <c r="D65" t="s">
        <v>642</v>
      </c>
      <c r="H65">
        <v>38</v>
      </c>
      <c r="I65" s="28" t="s">
        <v>584</v>
      </c>
      <c r="J65" t="s">
        <v>87</v>
      </c>
      <c r="M65">
        <v>5</v>
      </c>
      <c r="N65" t="s">
        <v>690</v>
      </c>
    </row>
    <row r="66" spans="3:14" x14ac:dyDescent="0.25">
      <c r="C66">
        <v>11</v>
      </c>
      <c r="D66" t="s">
        <v>643</v>
      </c>
      <c r="H66">
        <v>7</v>
      </c>
      <c r="I66" t="s">
        <v>672</v>
      </c>
      <c r="M66">
        <v>7</v>
      </c>
      <c r="N66" t="s">
        <v>668</v>
      </c>
    </row>
    <row r="67" spans="3:14" x14ac:dyDescent="0.25">
      <c r="C67">
        <v>11</v>
      </c>
      <c r="D67" t="s">
        <v>644</v>
      </c>
      <c r="H67">
        <v>62</v>
      </c>
      <c r="I67" s="29" t="s">
        <v>576</v>
      </c>
      <c r="J67" t="s">
        <v>87</v>
      </c>
      <c r="M67">
        <v>4</v>
      </c>
      <c r="N67" t="s">
        <v>704</v>
      </c>
    </row>
    <row r="68" spans="3:14" x14ac:dyDescent="0.25">
      <c r="C68">
        <v>11</v>
      </c>
      <c r="D68" t="s">
        <v>599</v>
      </c>
      <c r="H68">
        <v>63</v>
      </c>
      <c r="I68" s="29" t="s">
        <v>574</v>
      </c>
      <c r="J68" t="s">
        <v>87</v>
      </c>
      <c r="M68">
        <v>7</v>
      </c>
      <c r="N68" t="s">
        <v>669</v>
      </c>
    </row>
    <row r="69" spans="3:14" x14ac:dyDescent="0.25">
      <c r="C69">
        <v>10</v>
      </c>
      <c r="D69" t="s">
        <v>645</v>
      </c>
      <c r="H69">
        <v>6</v>
      </c>
      <c r="I69" t="s">
        <v>675</v>
      </c>
      <c r="M69">
        <v>10</v>
      </c>
      <c r="N69" t="s">
        <v>645</v>
      </c>
    </row>
    <row r="70" spans="3:14" x14ac:dyDescent="0.25">
      <c r="C70">
        <v>10</v>
      </c>
      <c r="D70" t="s">
        <v>607</v>
      </c>
      <c r="H70">
        <v>4</v>
      </c>
      <c r="I70" t="s">
        <v>716</v>
      </c>
      <c r="M70">
        <v>4</v>
      </c>
      <c r="N70" t="s">
        <v>709</v>
      </c>
    </row>
    <row r="71" spans="3:14" x14ac:dyDescent="0.25">
      <c r="C71">
        <v>10</v>
      </c>
      <c r="D71" t="s">
        <v>646</v>
      </c>
      <c r="H71">
        <v>8</v>
      </c>
      <c r="I71" t="s">
        <v>663</v>
      </c>
      <c r="M71">
        <v>5</v>
      </c>
      <c r="N71" t="s">
        <v>693</v>
      </c>
    </row>
    <row r="72" spans="3:14" x14ac:dyDescent="0.25">
      <c r="C72">
        <v>10</v>
      </c>
      <c r="D72" t="s">
        <v>647</v>
      </c>
      <c r="H72">
        <v>13</v>
      </c>
      <c r="I72" t="s">
        <v>637</v>
      </c>
      <c r="M72">
        <v>5</v>
      </c>
      <c r="N72" t="s">
        <v>694</v>
      </c>
    </row>
    <row r="73" spans="3:14" x14ac:dyDescent="0.25">
      <c r="C73">
        <v>10</v>
      </c>
      <c r="D73" t="s">
        <v>648</v>
      </c>
      <c r="H73">
        <v>6</v>
      </c>
      <c r="I73" t="s">
        <v>680</v>
      </c>
      <c r="M73">
        <v>6</v>
      </c>
      <c r="N73" t="s">
        <v>674</v>
      </c>
    </row>
    <row r="74" spans="3:14" x14ac:dyDescent="0.25">
      <c r="C74">
        <v>10</v>
      </c>
      <c r="D74" t="s">
        <v>649</v>
      </c>
      <c r="H74">
        <v>4</v>
      </c>
      <c r="I74" t="s">
        <v>715</v>
      </c>
      <c r="M74">
        <v>4</v>
      </c>
      <c r="N74" t="s">
        <v>710</v>
      </c>
    </row>
    <row r="75" spans="3:14" x14ac:dyDescent="0.25">
      <c r="C75">
        <v>9</v>
      </c>
      <c r="D75" t="s">
        <v>650</v>
      </c>
      <c r="H75">
        <v>6</v>
      </c>
      <c r="I75" t="s">
        <v>677</v>
      </c>
      <c r="M75">
        <v>10</v>
      </c>
      <c r="N75" s="31" t="s">
        <v>607</v>
      </c>
    </row>
    <row r="76" spans="3:14" x14ac:dyDescent="0.25">
      <c r="C76">
        <v>9</v>
      </c>
      <c r="D76" t="s">
        <v>651</v>
      </c>
      <c r="H76">
        <v>6</v>
      </c>
      <c r="I76" t="s">
        <v>676</v>
      </c>
      <c r="M76">
        <v>4</v>
      </c>
      <c r="N76" t="s">
        <v>711</v>
      </c>
    </row>
    <row r="77" spans="3:14" x14ac:dyDescent="0.25">
      <c r="C77">
        <v>9</v>
      </c>
      <c r="D77" t="s">
        <v>652</v>
      </c>
      <c r="H77">
        <v>6</v>
      </c>
      <c r="I77" t="s">
        <v>679</v>
      </c>
      <c r="M77">
        <v>15</v>
      </c>
      <c r="N77" s="31" t="s">
        <v>606</v>
      </c>
    </row>
    <row r="78" spans="3:14" x14ac:dyDescent="0.25">
      <c r="C78">
        <v>9</v>
      </c>
      <c r="D78" t="s">
        <v>653</v>
      </c>
      <c r="H78">
        <v>6</v>
      </c>
      <c r="I78" t="s">
        <v>678</v>
      </c>
      <c r="M78">
        <v>9</v>
      </c>
      <c r="N78" t="s">
        <v>651</v>
      </c>
    </row>
    <row r="79" spans="3:14" x14ac:dyDescent="0.25">
      <c r="C79">
        <v>9</v>
      </c>
      <c r="D79" t="s">
        <v>654</v>
      </c>
      <c r="M79">
        <v>13</v>
      </c>
      <c r="N79" s="31" t="s">
        <v>597</v>
      </c>
    </row>
    <row r="80" spans="3:14" x14ac:dyDescent="0.25">
      <c r="C80">
        <v>9</v>
      </c>
      <c r="D80" t="s">
        <v>655</v>
      </c>
      <c r="M80">
        <v>13</v>
      </c>
      <c r="N80" s="31" t="s">
        <v>587</v>
      </c>
    </row>
    <row r="81" spans="3:4" x14ac:dyDescent="0.25">
      <c r="C81">
        <v>9</v>
      </c>
      <c r="D81" t="s">
        <v>656</v>
      </c>
    </row>
    <row r="82" spans="3:4" x14ac:dyDescent="0.25">
      <c r="C82">
        <v>9</v>
      </c>
      <c r="D82" t="s">
        <v>657</v>
      </c>
    </row>
    <row r="83" spans="3:4" x14ac:dyDescent="0.25">
      <c r="C83">
        <v>9</v>
      </c>
      <c r="D83" t="s">
        <v>658</v>
      </c>
    </row>
    <row r="84" spans="3:4" x14ac:dyDescent="0.25">
      <c r="C84">
        <v>9</v>
      </c>
      <c r="D84" t="s">
        <v>659</v>
      </c>
    </row>
    <row r="85" spans="3:4" x14ac:dyDescent="0.25">
      <c r="C85">
        <v>9</v>
      </c>
      <c r="D85" t="s">
        <v>589</v>
      </c>
    </row>
    <row r="86" spans="3:4" x14ac:dyDescent="0.25">
      <c r="C86">
        <v>8</v>
      </c>
      <c r="D86" t="s">
        <v>660</v>
      </c>
    </row>
    <row r="87" spans="3:4" x14ac:dyDescent="0.25">
      <c r="C87">
        <v>8</v>
      </c>
      <c r="D87" t="s">
        <v>661</v>
      </c>
    </row>
    <row r="88" spans="3:4" x14ac:dyDescent="0.25">
      <c r="C88">
        <v>8</v>
      </c>
      <c r="D88" t="s">
        <v>662</v>
      </c>
    </row>
    <row r="89" spans="3:4" x14ac:dyDescent="0.25">
      <c r="C89">
        <v>8</v>
      </c>
      <c r="D89" t="s">
        <v>663</v>
      </c>
    </row>
    <row r="90" spans="3:4" x14ac:dyDescent="0.25">
      <c r="C90">
        <v>8</v>
      </c>
      <c r="D90" t="s">
        <v>598</v>
      </c>
    </row>
    <row r="91" spans="3:4" x14ac:dyDescent="0.25">
      <c r="C91">
        <v>8</v>
      </c>
      <c r="D91" t="s">
        <v>664</v>
      </c>
    </row>
    <row r="92" spans="3:4" x14ac:dyDescent="0.25">
      <c r="C92">
        <v>8</v>
      </c>
      <c r="D92" t="s">
        <v>665</v>
      </c>
    </row>
    <row r="93" spans="3:4" x14ac:dyDescent="0.25">
      <c r="C93">
        <v>8</v>
      </c>
      <c r="D93" t="s">
        <v>666</v>
      </c>
    </row>
    <row r="94" spans="3:4" x14ac:dyDescent="0.25">
      <c r="C94">
        <v>8</v>
      </c>
      <c r="D94" t="s">
        <v>667</v>
      </c>
    </row>
    <row r="95" spans="3:4" x14ac:dyDescent="0.25">
      <c r="C95">
        <v>7</v>
      </c>
      <c r="D95" t="s">
        <v>668</v>
      </c>
    </row>
    <row r="96" spans="3:4" x14ac:dyDescent="0.25">
      <c r="C96">
        <v>7</v>
      </c>
      <c r="D96" t="s">
        <v>669</v>
      </c>
    </row>
    <row r="97" spans="3:4" x14ac:dyDescent="0.25">
      <c r="C97">
        <v>7</v>
      </c>
      <c r="D97" t="s">
        <v>670</v>
      </c>
    </row>
    <row r="98" spans="3:4" x14ac:dyDescent="0.25">
      <c r="C98">
        <v>7</v>
      </c>
      <c r="D98" t="s">
        <v>671</v>
      </c>
    </row>
    <row r="99" spans="3:4" x14ac:dyDescent="0.25">
      <c r="C99">
        <v>7</v>
      </c>
      <c r="D99" t="s">
        <v>672</v>
      </c>
    </row>
    <row r="100" spans="3:4" x14ac:dyDescent="0.25">
      <c r="C100">
        <v>7</v>
      </c>
      <c r="D100" t="s">
        <v>673</v>
      </c>
    </row>
    <row r="101" spans="3:4" x14ac:dyDescent="0.25">
      <c r="C101">
        <v>7</v>
      </c>
      <c r="D101" t="s">
        <v>623</v>
      </c>
    </row>
    <row r="102" spans="3:4" x14ac:dyDescent="0.25">
      <c r="C102">
        <v>6</v>
      </c>
      <c r="D102" t="s">
        <v>674</v>
      </c>
    </row>
    <row r="103" spans="3:4" x14ac:dyDescent="0.25">
      <c r="C103">
        <v>6</v>
      </c>
      <c r="D103" t="s">
        <v>608</v>
      </c>
    </row>
    <row r="104" spans="3:4" x14ac:dyDescent="0.25">
      <c r="C104">
        <v>6</v>
      </c>
      <c r="D104" t="s">
        <v>675</v>
      </c>
    </row>
    <row r="105" spans="3:4" x14ac:dyDescent="0.25">
      <c r="C105">
        <v>6</v>
      </c>
      <c r="D105" t="s">
        <v>676</v>
      </c>
    </row>
    <row r="106" spans="3:4" x14ac:dyDescent="0.25">
      <c r="C106">
        <v>6</v>
      </c>
      <c r="D106" t="s">
        <v>677</v>
      </c>
    </row>
    <row r="107" spans="3:4" x14ac:dyDescent="0.25">
      <c r="C107">
        <v>6</v>
      </c>
      <c r="D107" t="s">
        <v>678</v>
      </c>
    </row>
    <row r="108" spans="3:4" x14ac:dyDescent="0.25">
      <c r="C108">
        <v>6</v>
      </c>
      <c r="D108" t="s">
        <v>679</v>
      </c>
    </row>
    <row r="109" spans="3:4" x14ac:dyDescent="0.25">
      <c r="C109">
        <v>6</v>
      </c>
      <c r="D109" t="s">
        <v>680</v>
      </c>
    </row>
    <row r="110" spans="3:4" x14ac:dyDescent="0.25">
      <c r="C110">
        <v>6</v>
      </c>
      <c r="D110" t="s">
        <v>681</v>
      </c>
    </row>
    <row r="111" spans="3:4" x14ac:dyDescent="0.25">
      <c r="C111">
        <v>6</v>
      </c>
      <c r="D111" t="s">
        <v>682</v>
      </c>
    </row>
    <row r="112" spans="3:4" x14ac:dyDescent="0.25">
      <c r="C112">
        <v>6</v>
      </c>
      <c r="D112" t="s">
        <v>683</v>
      </c>
    </row>
    <row r="113" spans="3:4" x14ac:dyDescent="0.25">
      <c r="C113">
        <v>6</v>
      </c>
      <c r="D113" t="s">
        <v>684</v>
      </c>
    </row>
    <row r="114" spans="3:4" x14ac:dyDescent="0.25">
      <c r="C114">
        <v>6</v>
      </c>
      <c r="D114" t="s">
        <v>685</v>
      </c>
    </row>
    <row r="115" spans="3:4" x14ac:dyDescent="0.25">
      <c r="C115">
        <v>6</v>
      </c>
      <c r="D115" t="s">
        <v>686</v>
      </c>
    </row>
    <row r="116" spans="3:4" x14ac:dyDescent="0.25">
      <c r="C116">
        <v>6</v>
      </c>
      <c r="D116" t="s">
        <v>687</v>
      </c>
    </row>
    <row r="117" spans="3:4" x14ac:dyDescent="0.25">
      <c r="C117">
        <v>6</v>
      </c>
      <c r="D117" t="s">
        <v>688</v>
      </c>
    </row>
    <row r="118" spans="3:4" x14ac:dyDescent="0.25">
      <c r="C118">
        <v>5</v>
      </c>
      <c r="D118" t="s">
        <v>689</v>
      </c>
    </row>
    <row r="119" spans="3:4" x14ac:dyDescent="0.25">
      <c r="C119">
        <v>5</v>
      </c>
      <c r="D119" t="s">
        <v>690</v>
      </c>
    </row>
    <row r="120" spans="3:4" x14ac:dyDescent="0.25">
      <c r="C120">
        <v>5</v>
      </c>
      <c r="D120" t="s">
        <v>691</v>
      </c>
    </row>
    <row r="121" spans="3:4" x14ac:dyDescent="0.25">
      <c r="C121">
        <v>5</v>
      </c>
      <c r="D121" t="s">
        <v>692</v>
      </c>
    </row>
    <row r="122" spans="3:4" x14ac:dyDescent="0.25">
      <c r="C122">
        <v>5</v>
      </c>
      <c r="D122" t="s">
        <v>693</v>
      </c>
    </row>
    <row r="123" spans="3:4" x14ac:dyDescent="0.25">
      <c r="C123">
        <v>5</v>
      </c>
      <c r="D123" t="s">
        <v>694</v>
      </c>
    </row>
    <row r="124" spans="3:4" x14ac:dyDescent="0.25">
      <c r="C124">
        <v>5</v>
      </c>
      <c r="D124" t="s">
        <v>695</v>
      </c>
    </row>
    <row r="125" spans="3:4" x14ac:dyDescent="0.25">
      <c r="C125">
        <v>5</v>
      </c>
      <c r="D125" t="s">
        <v>696</v>
      </c>
    </row>
    <row r="126" spans="3:4" x14ac:dyDescent="0.25">
      <c r="C126">
        <v>5</v>
      </c>
      <c r="D126" t="s">
        <v>697</v>
      </c>
    </row>
    <row r="127" spans="3:4" x14ac:dyDescent="0.25">
      <c r="C127">
        <v>5</v>
      </c>
      <c r="D127" t="s">
        <v>698</v>
      </c>
    </row>
    <row r="128" spans="3:4" x14ac:dyDescent="0.25">
      <c r="C128">
        <v>5</v>
      </c>
      <c r="D128" t="s">
        <v>699</v>
      </c>
    </row>
    <row r="129" spans="3:4" x14ac:dyDescent="0.25">
      <c r="C129">
        <v>5</v>
      </c>
      <c r="D129" t="s">
        <v>700</v>
      </c>
    </row>
    <row r="130" spans="3:4" x14ac:dyDescent="0.25">
      <c r="C130">
        <v>5</v>
      </c>
      <c r="D130" t="s">
        <v>701</v>
      </c>
    </row>
    <row r="131" spans="3:4" x14ac:dyDescent="0.25">
      <c r="C131">
        <v>5</v>
      </c>
      <c r="D131" t="s">
        <v>702</v>
      </c>
    </row>
    <row r="132" spans="3:4" x14ac:dyDescent="0.25">
      <c r="C132">
        <v>5</v>
      </c>
      <c r="D132" t="s">
        <v>703</v>
      </c>
    </row>
    <row r="133" spans="3:4" x14ac:dyDescent="0.25">
      <c r="C133">
        <v>4</v>
      </c>
      <c r="D133" t="s">
        <v>704</v>
      </c>
    </row>
    <row r="134" spans="3:4" x14ac:dyDescent="0.25">
      <c r="C134">
        <v>4</v>
      </c>
      <c r="D134" t="s">
        <v>705</v>
      </c>
    </row>
    <row r="135" spans="3:4" x14ac:dyDescent="0.25">
      <c r="C135">
        <v>4</v>
      </c>
      <c r="D135" t="s">
        <v>706</v>
      </c>
    </row>
    <row r="136" spans="3:4" x14ac:dyDescent="0.25">
      <c r="C136">
        <v>4</v>
      </c>
      <c r="D136" t="s">
        <v>707</v>
      </c>
    </row>
    <row r="137" spans="3:4" x14ac:dyDescent="0.25">
      <c r="C137">
        <v>4</v>
      </c>
      <c r="D137" t="s">
        <v>708</v>
      </c>
    </row>
    <row r="138" spans="3:4" x14ac:dyDescent="0.25">
      <c r="C138">
        <v>4</v>
      </c>
      <c r="D138" t="s">
        <v>709</v>
      </c>
    </row>
    <row r="139" spans="3:4" x14ac:dyDescent="0.25">
      <c r="C139">
        <v>4</v>
      </c>
      <c r="D139" t="s">
        <v>710</v>
      </c>
    </row>
    <row r="140" spans="3:4" x14ac:dyDescent="0.25">
      <c r="C140">
        <v>4</v>
      </c>
      <c r="D140" t="s">
        <v>711</v>
      </c>
    </row>
    <row r="141" spans="3:4" x14ac:dyDescent="0.25">
      <c r="C141">
        <v>4</v>
      </c>
      <c r="D141" t="s">
        <v>712</v>
      </c>
    </row>
    <row r="142" spans="3:4" x14ac:dyDescent="0.25">
      <c r="C142">
        <v>4</v>
      </c>
      <c r="D142" t="s">
        <v>713</v>
      </c>
    </row>
    <row r="143" spans="3:4" x14ac:dyDescent="0.25">
      <c r="C143">
        <v>4</v>
      </c>
      <c r="D143" t="s">
        <v>714</v>
      </c>
    </row>
    <row r="144" spans="3:4" x14ac:dyDescent="0.25">
      <c r="C144">
        <v>4</v>
      </c>
      <c r="D144" t="s">
        <v>715</v>
      </c>
    </row>
    <row r="145" spans="3:4" x14ac:dyDescent="0.25">
      <c r="C145">
        <v>4</v>
      </c>
      <c r="D145" t="s">
        <v>716</v>
      </c>
    </row>
    <row r="146" spans="3:4" x14ac:dyDescent="0.25">
      <c r="C146">
        <v>4</v>
      </c>
      <c r="D146" t="s">
        <v>717</v>
      </c>
    </row>
    <row r="147" spans="3:4" x14ac:dyDescent="0.25">
      <c r="C147">
        <v>4</v>
      </c>
      <c r="D147" t="s">
        <v>718</v>
      </c>
    </row>
    <row r="148" spans="3:4" x14ac:dyDescent="0.25">
      <c r="C148">
        <v>4</v>
      </c>
      <c r="D148" t="s">
        <v>719</v>
      </c>
    </row>
    <row r="149" spans="3:4" x14ac:dyDescent="0.25">
      <c r="C149">
        <v>4</v>
      </c>
      <c r="D149" t="s">
        <v>720</v>
      </c>
    </row>
    <row r="150" spans="3:4" x14ac:dyDescent="0.25">
      <c r="C150">
        <v>4</v>
      </c>
      <c r="D150" t="s">
        <v>721</v>
      </c>
    </row>
    <row r="151" spans="3:4" x14ac:dyDescent="0.25">
      <c r="C151">
        <v>4</v>
      </c>
      <c r="D151" t="s">
        <v>722</v>
      </c>
    </row>
    <row r="152" spans="3:4" x14ac:dyDescent="0.25">
      <c r="C152">
        <v>4</v>
      </c>
      <c r="D152" t="s">
        <v>723</v>
      </c>
    </row>
    <row r="153" spans="3:4" x14ac:dyDescent="0.25">
      <c r="C153">
        <v>4</v>
      </c>
      <c r="D153" t="s">
        <v>724</v>
      </c>
    </row>
    <row r="154" spans="3:4" x14ac:dyDescent="0.25">
      <c r="C154">
        <v>4</v>
      </c>
      <c r="D154" t="s">
        <v>725</v>
      </c>
    </row>
    <row r="155" spans="3:4" x14ac:dyDescent="0.25">
      <c r="C155">
        <v>4</v>
      </c>
      <c r="D155" t="s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workbookViewId="0">
      <selection activeCell="F2" sqref="F2"/>
    </sheetView>
  </sheetViews>
  <sheetFormatPr defaultRowHeight="15" x14ac:dyDescent="0.25"/>
  <sheetData>
    <row r="1" spans="2:5" x14ac:dyDescent="0.25">
      <c r="B1" t="s">
        <v>741</v>
      </c>
    </row>
    <row r="2" spans="2:5" x14ac:dyDescent="0.25">
      <c r="B2" t="s">
        <v>41</v>
      </c>
      <c r="C2">
        <v>142</v>
      </c>
      <c r="D2">
        <f>10170+starts!E113</f>
        <v>12925</v>
      </c>
      <c r="E2" s="1">
        <f>C2/D2</f>
        <v>1.0986460348162476E-2</v>
      </c>
    </row>
    <row r="3" spans="2:5" x14ac:dyDescent="0.25">
      <c r="B3" t="s">
        <v>732</v>
      </c>
      <c r="C3">
        <v>62</v>
      </c>
      <c r="D3">
        <f>starts!E119</f>
        <v>2097</v>
      </c>
      <c r="E3" s="1">
        <f>C3/D3</f>
        <v>2.9566046733428709E-2</v>
      </c>
    </row>
    <row r="4" spans="2:5" x14ac:dyDescent="0.25">
      <c r="B4" t="s">
        <v>734</v>
      </c>
      <c r="C4">
        <v>101</v>
      </c>
      <c r="D4">
        <f>starts!E133</f>
        <v>3735</v>
      </c>
      <c r="E4" s="1">
        <f>C4/D4</f>
        <v>2.7041499330655958E-2</v>
      </c>
    </row>
    <row r="5" spans="2:5" x14ac:dyDescent="0.25">
      <c r="B5" t="s">
        <v>733</v>
      </c>
      <c r="C5">
        <v>57</v>
      </c>
      <c r="D5">
        <f>starts!E137</f>
        <v>4440</v>
      </c>
      <c r="E5" s="1">
        <f>C5/D5</f>
        <v>1.2837837837837839E-2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Status</vt:lpstr>
      <vt:lpstr>changes</vt:lpstr>
      <vt:lpstr>zartsi</vt:lpstr>
      <vt:lpstr>starts</vt:lpstr>
      <vt:lpstr>Prose endings</vt:lpstr>
      <vt:lpstr>Prose contour examples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2024-12-29T20:06:50Z</dcterms:created>
  <dcterms:modified xsi:type="dcterms:W3CDTF">2026-05-21T20:59:55Z</dcterms:modified>
</cp:coreProperties>
</file>