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theme/themeOverride11.xml" ContentType="application/vnd.openxmlformats-officedocument.themeOverrid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theme/themeOverride13.xml" ContentType="application/vnd.openxmlformats-officedocument.themeOverrid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theme/themeOverride14.xml" ContentType="application/vnd.openxmlformats-officedocument.themeOverride+xml"/>
  <Override PartName="/xl/charts/chart20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theme/themeOverride16.xml" ContentType="application/vnd.openxmlformats-officedocument.themeOverride+xml"/>
  <Override PartName="/xl/charts/chart23.xml" ContentType="application/vnd.openxmlformats-officedocument.drawingml.chart+xml"/>
  <Override PartName="/xl/theme/themeOverride17.xml" ContentType="application/vnd.openxmlformats-officedocument.themeOverrid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theme/themeOverride18.xml" ContentType="application/vnd.openxmlformats-officedocument.themeOverride+xml"/>
  <Override PartName="/xl/charts/chart25.xml" ContentType="application/vnd.openxmlformats-officedocument.drawingml.chart+xml"/>
  <Override PartName="/xl/theme/themeOverride19.xml" ContentType="application/vnd.openxmlformats-officedocument.themeOverrid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theme/themeOverride20.xml" ContentType="application/vnd.openxmlformats-officedocument.themeOverride+xml"/>
  <Override PartName="/xl/charts/chart27.xml" ContentType="application/vnd.openxmlformats-officedocument.drawingml.chart+xml"/>
  <Override PartName="/xl/theme/themeOverride21.xml" ContentType="application/vnd.openxmlformats-officedocument.themeOverride+xml"/>
  <Override PartName="/xl/charts/chart28.xml" ContentType="application/vnd.openxmlformats-officedocument.drawingml.chart+xml"/>
  <Override PartName="/xl/theme/themeOverride2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1280" windowHeight="14265" activeTab="2"/>
  </bookViews>
  <sheets>
    <sheet name="Poetry " sheetId="1" r:id="rId1"/>
    <sheet name="Poetry-by-chapter" sheetId="3" r:id="rId2"/>
    <sheet name="Prose" sheetId="2" r:id="rId3"/>
    <sheet name="Psalms-by-group" sheetId="4" r:id="rId4"/>
    <sheet name="The Five Scrolls" sheetId="6" r:id="rId5"/>
    <sheet name="Torah" sheetId="7" r:id="rId6"/>
    <sheet name="Joshua-Judges" sheetId="8" r:id="rId7"/>
    <sheet name="Samuel" sheetId="9" r:id="rId8"/>
    <sheet name="Kings" sheetId="10" r:id="rId9"/>
    <sheet name="Isaiah" sheetId="11" r:id="rId10"/>
    <sheet name="Jeremiah" sheetId="12" r:id="rId11"/>
    <sheet name="Ezekiel" sheetId="13" r:id="rId12"/>
    <sheet name="The-Twelve" sheetId="14" r:id="rId13"/>
    <sheet name="Daniel-E-N" sheetId="15" r:id="rId14"/>
    <sheet name="Chronicles" sheetId="16" r:id="rId15"/>
    <sheet name="LBH-EBH" sheetId="17" r:id="rId16"/>
    <sheet name="TENOR" sheetId="18" r:id="rId17"/>
  </sheets>
  <definedNames>
    <definedName name="_xlnm._FilterDatabase" localSheetId="2" hidden="1">Prose!$V$1:$AH$458</definedName>
  </definedNames>
  <calcPr calcId="145621"/>
  <fileRecoveryPr repairLoad="1"/>
</workbook>
</file>

<file path=xl/calcChain.xml><?xml version="1.0" encoding="utf-8"?>
<calcChain xmlns="http://schemas.openxmlformats.org/spreadsheetml/2006/main">
  <c r="S11" i="18" l="1"/>
  <c r="S6" i="18"/>
  <c r="R6" i="18"/>
  <c r="Q6" i="18"/>
  <c r="P6" i="18"/>
  <c r="O6" i="18"/>
  <c r="N6" i="18"/>
  <c r="M6" i="18"/>
  <c r="R9" i="18"/>
  <c r="Q9" i="18"/>
  <c r="L9" i="18"/>
  <c r="L8" i="18"/>
  <c r="L10" i="18"/>
  <c r="L7" i="18"/>
  <c r="S4" i="18"/>
  <c r="O9" i="18" s="1"/>
  <c r="S3" i="18"/>
  <c r="Q8" i="18" s="1"/>
  <c r="S5" i="18"/>
  <c r="N10" i="18" s="1"/>
  <c r="S2" i="18"/>
  <c r="Q7" i="18" s="1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E40" i="9"/>
  <c r="F40" i="9"/>
  <c r="G40" i="9"/>
  <c r="H40" i="9"/>
  <c r="E41" i="9"/>
  <c r="F41" i="9"/>
  <c r="G41" i="9"/>
  <c r="H41" i="9"/>
  <c r="E42" i="9"/>
  <c r="F42" i="9"/>
  <c r="G42" i="9"/>
  <c r="H42" i="9"/>
  <c r="E43" i="9"/>
  <c r="F43" i="9"/>
  <c r="G43" i="9"/>
  <c r="H43" i="9"/>
  <c r="E44" i="9"/>
  <c r="F44" i="9"/>
  <c r="G44" i="9"/>
  <c r="H44" i="9"/>
  <c r="S14" i="9"/>
  <c r="S7" i="9"/>
  <c r="Q14" i="9"/>
  <c r="Q7" i="9"/>
  <c r="Q13" i="9"/>
  <c r="Q12" i="9"/>
  <c r="Q11" i="9"/>
  <c r="Q10" i="9"/>
  <c r="Q9" i="9"/>
  <c r="Q8" i="9"/>
  <c r="Q6" i="9"/>
  <c r="Q5" i="9"/>
  <c r="Q4" i="9"/>
  <c r="Q3" i="9"/>
  <c r="Q2" i="9"/>
  <c r="D44" i="9"/>
  <c r="D43" i="9"/>
  <c r="D42" i="9"/>
  <c r="D41" i="9"/>
  <c r="D40" i="9"/>
  <c r="F39" i="9"/>
  <c r="J43" i="18" l="1"/>
  <c r="M8" i="18"/>
  <c r="P8" i="18"/>
  <c r="N9" i="18"/>
  <c r="M7" i="18"/>
  <c r="O10" i="18"/>
  <c r="N7" i="18"/>
  <c r="P10" i="18"/>
  <c r="R8" i="18"/>
  <c r="O7" i="18"/>
  <c r="Q10" i="18"/>
  <c r="M9" i="18"/>
  <c r="M11" i="18"/>
  <c r="P7" i="18"/>
  <c r="R10" i="18"/>
  <c r="R7" i="18"/>
  <c r="N8" i="18"/>
  <c r="P9" i="18"/>
  <c r="M10" i="18"/>
  <c r="O8" i="18"/>
  <c r="E45" i="9"/>
  <c r="E46" i="9" s="1"/>
  <c r="F45" i="9"/>
  <c r="F46" i="9" s="1"/>
  <c r="H45" i="9"/>
  <c r="H46" i="9" s="1"/>
  <c r="G45" i="9"/>
  <c r="G46" i="9" s="1"/>
  <c r="D105" i="17"/>
  <c r="R255" i="17"/>
  <c r="N9" i="17"/>
  <c r="AB18" i="17"/>
  <c r="Z254" i="17"/>
  <c r="Y254" i="17"/>
  <c r="X254" i="17"/>
  <c r="W254" i="17"/>
  <c r="V254" i="17"/>
  <c r="U254" i="17"/>
  <c r="T254" i="17"/>
  <c r="S254" i="17"/>
  <c r="R254" i="17"/>
  <c r="L104" i="17"/>
  <c r="K104" i="17"/>
  <c r="J104" i="17"/>
  <c r="I104" i="17"/>
  <c r="H104" i="17"/>
  <c r="G104" i="17"/>
  <c r="F104" i="17"/>
  <c r="E104" i="17"/>
  <c r="D104" i="17"/>
  <c r="R11" i="18" l="1"/>
  <c r="Q11" i="18"/>
  <c r="S10" i="18"/>
  <c r="S9" i="18"/>
  <c r="N11" i="18"/>
  <c r="S7" i="18"/>
  <c r="P11" i="18"/>
  <c r="S8" i="18"/>
  <c r="O11" i="18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D33" i="1" l="1"/>
  <c r="S22" i="7"/>
  <c r="S37" i="7"/>
  <c r="S29" i="7"/>
  <c r="S16" i="7"/>
  <c r="S8" i="7"/>
  <c r="S36" i="7" l="1"/>
  <c r="S35" i="7"/>
  <c r="S34" i="7"/>
  <c r="S33" i="7"/>
  <c r="S32" i="7"/>
  <c r="S31" i="7"/>
  <c r="S30" i="7"/>
  <c r="S28" i="7"/>
  <c r="S27" i="7"/>
  <c r="S26" i="7"/>
  <c r="S25" i="7"/>
  <c r="S24" i="7"/>
  <c r="S23" i="7"/>
  <c r="S21" i="7"/>
  <c r="S20" i="7"/>
  <c r="S19" i="7"/>
  <c r="S18" i="7"/>
  <c r="S17" i="7"/>
  <c r="S15" i="7"/>
  <c r="S14" i="7"/>
  <c r="S13" i="7"/>
  <c r="S12" i="7"/>
  <c r="S11" i="7"/>
  <c r="S10" i="7"/>
  <c r="S9" i="7"/>
  <c r="S7" i="7"/>
  <c r="S6" i="7"/>
  <c r="S5" i="7"/>
  <c r="S4" i="7"/>
  <c r="S3" i="7"/>
  <c r="S2" i="7"/>
  <c r="S32" i="6"/>
  <c r="S25" i="6"/>
  <c r="S19" i="6"/>
  <c r="S13" i="6"/>
  <c r="S7" i="6"/>
  <c r="S31" i="6"/>
  <c r="S30" i="6"/>
  <c r="S29" i="6"/>
  <c r="S28" i="6"/>
  <c r="S27" i="6"/>
  <c r="S26" i="6"/>
  <c r="S24" i="6"/>
  <c r="S23" i="6"/>
  <c r="S22" i="6"/>
  <c r="S21" i="6"/>
  <c r="S20" i="6"/>
  <c r="S18" i="6"/>
  <c r="S17" i="6"/>
  <c r="S16" i="6"/>
  <c r="S15" i="6"/>
  <c r="S14" i="6"/>
  <c r="S12" i="6"/>
  <c r="S11" i="6"/>
  <c r="S10" i="6"/>
  <c r="S9" i="6"/>
  <c r="S8" i="6"/>
  <c r="S6" i="6"/>
  <c r="S5" i="6"/>
  <c r="S4" i="6"/>
  <c r="S3" i="6"/>
  <c r="S2" i="6"/>
  <c r="V3" i="13"/>
  <c r="S7" i="13"/>
  <c r="S6" i="13"/>
  <c r="S5" i="13"/>
  <c r="S4" i="13"/>
  <c r="S3" i="13"/>
  <c r="S2" i="13"/>
  <c r="Q8" i="13"/>
  <c r="R8" i="13"/>
  <c r="U15" i="13"/>
  <c r="P8" i="13"/>
  <c r="O8" i="13"/>
  <c r="N8" i="13"/>
  <c r="M8" i="13"/>
  <c r="L8" i="13"/>
  <c r="V2" i="13" s="1"/>
  <c r="K8" i="13"/>
  <c r="J8" i="13"/>
  <c r="V4" i="13" s="1"/>
  <c r="I8" i="13"/>
  <c r="H8" i="13"/>
  <c r="G8" i="13"/>
  <c r="F8" i="13"/>
  <c r="E8" i="13"/>
  <c r="S8" i="13" s="1"/>
  <c r="K195" i="2"/>
  <c r="J195" i="2"/>
  <c r="I195" i="2"/>
  <c r="H195" i="2"/>
  <c r="G195" i="2"/>
  <c r="F195" i="2"/>
  <c r="E195" i="2"/>
  <c r="D195" i="2"/>
  <c r="K194" i="2"/>
  <c r="J194" i="2"/>
  <c r="I194" i="2"/>
  <c r="H194" i="2"/>
  <c r="G194" i="2"/>
  <c r="F194" i="2"/>
  <c r="E194" i="2"/>
  <c r="D194" i="2"/>
  <c r="K193" i="2"/>
  <c r="J193" i="2"/>
  <c r="I193" i="2"/>
  <c r="H193" i="2"/>
  <c r="G193" i="2"/>
  <c r="F193" i="2"/>
  <c r="E193" i="2"/>
  <c r="D193" i="2"/>
  <c r="K192" i="2"/>
  <c r="J192" i="2"/>
  <c r="I192" i="2"/>
  <c r="H192" i="2"/>
  <c r="G192" i="2"/>
  <c r="F192" i="2"/>
  <c r="E192" i="2"/>
  <c r="D192" i="2"/>
  <c r="K191" i="2"/>
  <c r="J191" i="2"/>
  <c r="I191" i="2"/>
  <c r="H191" i="2"/>
  <c r="G191" i="2"/>
  <c r="F191" i="2"/>
  <c r="E191" i="2"/>
  <c r="D191" i="2"/>
  <c r="K190" i="2"/>
  <c r="J190" i="2"/>
  <c r="I190" i="2"/>
  <c r="H190" i="2"/>
  <c r="G190" i="2"/>
  <c r="F190" i="2"/>
  <c r="E190" i="2"/>
  <c r="D190" i="2"/>
  <c r="K189" i="2"/>
  <c r="J189" i="2"/>
  <c r="I189" i="2"/>
  <c r="H189" i="2"/>
  <c r="G189" i="2"/>
  <c r="F189" i="2"/>
  <c r="E189" i="2"/>
  <c r="D189" i="2"/>
  <c r="K188" i="2"/>
  <c r="J188" i="2"/>
  <c r="I188" i="2"/>
  <c r="H188" i="2"/>
  <c r="G188" i="2"/>
  <c r="F188" i="2"/>
  <c r="E188" i="2"/>
  <c r="D188" i="2"/>
  <c r="K187" i="2"/>
  <c r="J187" i="2"/>
  <c r="I187" i="2"/>
  <c r="H187" i="2"/>
  <c r="G187" i="2"/>
  <c r="F187" i="2"/>
  <c r="E187" i="2"/>
  <c r="D187" i="2"/>
  <c r="K186" i="2"/>
  <c r="J186" i="2"/>
  <c r="I186" i="2"/>
  <c r="H186" i="2"/>
  <c r="G186" i="2"/>
  <c r="F186" i="2"/>
  <c r="E186" i="2"/>
  <c r="D186" i="2"/>
  <c r="K185" i="2"/>
  <c r="J185" i="2"/>
  <c r="I185" i="2"/>
  <c r="H185" i="2"/>
  <c r="G185" i="2"/>
  <c r="F185" i="2"/>
  <c r="E185" i="2"/>
  <c r="D185" i="2"/>
  <c r="K184" i="2"/>
  <c r="J184" i="2"/>
  <c r="I184" i="2"/>
  <c r="H184" i="2"/>
  <c r="G184" i="2"/>
  <c r="F184" i="2"/>
  <c r="E184" i="2"/>
  <c r="D184" i="2"/>
  <c r="K183" i="2"/>
  <c r="J183" i="2"/>
  <c r="I183" i="2"/>
  <c r="H183" i="2"/>
  <c r="G183" i="2"/>
  <c r="F183" i="2"/>
  <c r="E183" i="2"/>
  <c r="D183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24" i="2"/>
  <c r="J24" i="2"/>
  <c r="I24" i="2"/>
  <c r="H24" i="2"/>
  <c r="G24" i="2"/>
  <c r="F24" i="2"/>
  <c r="E24" i="2"/>
  <c r="D24" i="2"/>
  <c r="K23" i="2"/>
  <c r="J23" i="2"/>
  <c r="I23" i="2"/>
  <c r="H23" i="2"/>
  <c r="G23" i="2"/>
  <c r="F23" i="2"/>
  <c r="E23" i="2"/>
  <c r="D23" i="2"/>
  <c r="K22" i="2"/>
  <c r="J22" i="2"/>
  <c r="I22" i="2"/>
  <c r="H22" i="2"/>
  <c r="G22" i="2"/>
  <c r="F22" i="2"/>
  <c r="E22" i="2"/>
  <c r="D22" i="2"/>
  <c r="K21" i="2"/>
  <c r="J21" i="2"/>
  <c r="I21" i="2"/>
  <c r="H21" i="2"/>
  <c r="G21" i="2"/>
  <c r="F21" i="2"/>
  <c r="E21" i="2"/>
  <c r="D21" i="2"/>
  <c r="K20" i="2"/>
  <c r="J20" i="2"/>
  <c r="I20" i="2"/>
  <c r="H20" i="2"/>
  <c r="G20" i="2"/>
  <c r="F20" i="2"/>
  <c r="E20" i="2"/>
  <c r="D20" i="2"/>
  <c r="K17" i="2"/>
  <c r="J17" i="2"/>
  <c r="I17" i="2"/>
  <c r="H17" i="2"/>
  <c r="G17" i="2"/>
  <c r="F17" i="2"/>
  <c r="E17" i="2"/>
  <c r="D17" i="2"/>
  <c r="K16" i="2"/>
  <c r="J16" i="2"/>
  <c r="I16" i="2"/>
  <c r="H16" i="2"/>
  <c r="G16" i="2"/>
  <c r="F16" i="2"/>
  <c r="E16" i="2"/>
  <c r="D16" i="2"/>
  <c r="K15" i="2"/>
  <c r="J15" i="2"/>
  <c r="I15" i="2"/>
  <c r="H15" i="2"/>
  <c r="G15" i="2"/>
  <c r="F15" i="2"/>
  <c r="E15" i="2"/>
  <c r="D15" i="2"/>
  <c r="K14" i="2"/>
  <c r="J14" i="2"/>
  <c r="I14" i="2"/>
  <c r="H14" i="2"/>
  <c r="G14" i="2"/>
  <c r="F14" i="2"/>
  <c r="E14" i="2"/>
  <c r="D14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I11" i="2"/>
  <c r="H11" i="2"/>
  <c r="G11" i="2"/>
  <c r="F11" i="2"/>
  <c r="E11" i="2"/>
  <c r="D11" i="2"/>
  <c r="K10" i="2"/>
  <c r="J10" i="2"/>
  <c r="I10" i="2"/>
  <c r="H10" i="2"/>
  <c r="G10" i="2"/>
  <c r="F10" i="2"/>
  <c r="E10" i="2"/>
  <c r="D10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98" i="2"/>
  <c r="J98" i="2"/>
  <c r="I98" i="2"/>
  <c r="H98" i="2"/>
  <c r="G98" i="2"/>
  <c r="F98" i="2"/>
  <c r="E98" i="2"/>
  <c r="D98" i="2"/>
  <c r="K97" i="2"/>
  <c r="J97" i="2"/>
  <c r="I97" i="2"/>
  <c r="H97" i="2"/>
  <c r="G97" i="2"/>
  <c r="F97" i="2"/>
  <c r="E97" i="2"/>
  <c r="D97" i="2"/>
  <c r="K96" i="2"/>
  <c r="J96" i="2"/>
  <c r="I96" i="2"/>
  <c r="H96" i="2"/>
  <c r="G96" i="2"/>
  <c r="F96" i="2"/>
  <c r="E96" i="2"/>
  <c r="D96" i="2"/>
  <c r="K95" i="2"/>
  <c r="J95" i="2"/>
  <c r="I95" i="2"/>
  <c r="H95" i="2"/>
  <c r="G95" i="2"/>
  <c r="F95" i="2"/>
  <c r="E95" i="2"/>
  <c r="D95" i="2"/>
  <c r="K94" i="2"/>
  <c r="J94" i="2"/>
  <c r="I94" i="2"/>
  <c r="H94" i="2"/>
  <c r="G94" i="2"/>
  <c r="F94" i="2"/>
  <c r="E94" i="2"/>
  <c r="D94" i="2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I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B98" i="2"/>
  <c r="B97" i="2"/>
  <c r="B96" i="2"/>
  <c r="B95" i="2"/>
  <c r="B94" i="2"/>
  <c r="B93" i="2"/>
  <c r="B92" i="2"/>
  <c r="B91" i="2"/>
  <c r="B90" i="2"/>
  <c r="B89" i="2"/>
  <c r="B88" i="2"/>
  <c r="B87" i="2"/>
  <c r="K111" i="2"/>
  <c r="J111" i="2"/>
  <c r="I111" i="2"/>
  <c r="H111" i="2"/>
  <c r="G111" i="2"/>
  <c r="F111" i="2"/>
  <c r="E111" i="2"/>
  <c r="D111" i="2"/>
  <c r="K110" i="2"/>
  <c r="J110" i="2"/>
  <c r="I110" i="2"/>
  <c r="H110" i="2"/>
  <c r="G110" i="2"/>
  <c r="F110" i="2"/>
  <c r="E110" i="2"/>
  <c r="D110" i="2"/>
  <c r="K109" i="2"/>
  <c r="J109" i="2"/>
  <c r="I109" i="2"/>
  <c r="H109" i="2"/>
  <c r="G109" i="2"/>
  <c r="F109" i="2"/>
  <c r="E109" i="2"/>
  <c r="D109" i="2"/>
  <c r="K108" i="2"/>
  <c r="J108" i="2"/>
  <c r="I108" i="2"/>
  <c r="H108" i="2"/>
  <c r="G108" i="2"/>
  <c r="F108" i="2"/>
  <c r="E108" i="2"/>
  <c r="D108" i="2"/>
  <c r="K107" i="2"/>
  <c r="J107" i="2"/>
  <c r="I107" i="2"/>
  <c r="H107" i="2"/>
  <c r="G107" i="2"/>
  <c r="F107" i="2"/>
  <c r="E107" i="2"/>
  <c r="D107" i="2"/>
  <c r="K106" i="2"/>
  <c r="J106" i="2"/>
  <c r="I106" i="2"/>
  <c r="H106" i="2"/>
  <c r="G106" i="2"/>
  <c r="F106" i="2"/>
  <c r="E106" i="2"/>
  <c r="D106" i="2"/>
  <c r="K105" i="2"/>
  <c r="J105" i="2"/>
  <c r="I105" i="2"/>
  <c r="H105" i="2"/>
  <c r="G105" i="2"/>
  <c r="F105" i="2"/>
  <c r="E105" i="2"/>
  <c r="D105" i="2"/>
  <c r="K104" i="2"/>
  <c r="J104" i="2"/>
  <c r="I104" i="2"/>
  <c r="H104" i="2"/>
  <c r="G104" i="2"/>
  <c r="F104" i="2"/>
  <c r="E104" i="2"/>
  <c r="D104" i="2"/>
  <c r="K103" i="2"/>
  <c r="J103" i="2"/>
  <c r="I103" i="2"/>
  <c r="H103" i="2"/>
  <c r="G103" i="2"/>
  <c r="F103" i="2"/>
  <c r="E103" i="2"/>
  <c r="D103" i="2"/>
  <c r="K102" i="2"/>
  <c r="J102" i="2"/>
  <c r="I102" i="2"/>
  <c r="H102" i="2"/>
  <c r="G102" i="2"/>
  <c r="F102" i="2"/>
  <c r="E102" i="2"/>
  <c r="D102" i="2"/>
  <c r="K101" i="2"/>
  <c r="J101" i="2"/>
  <c r="I101" i="2"/>
  <c r="H101" i="2"/>
  <c r="G101" i="2"/>
  <c r="F101" i="2"/>
  <c r="E101" i="2"/>
  <c r="D101" i="2"/>
  <c r="K100" i="2"/>
  <c r="J100" i="2"/>
  <c r="I100" i="2"/>
  <c r="H100" i="2"/>
  <c r="G100" i="2"/>
  <c r="F100" i="2"/>
  <c r="E100" i="2"/>
  <c r="D100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K124" i="2"/>
  <c r="J124" i="2"/>
  <c r="I124" i="2"/>
  <c r="H124" i="2"/>
  <c r="G124" i="2"/>
  <c r="F124" i="2"/>
  <c r="E124" i="2"/>
  <c r="D124" i="2"/>
  <c r="K123" i="2"/>
  <c r="J123" i="2"/>
  <c r="I123" i="2"/>
  <c r="H123" i="2"/>
  <c r="G123" i="2"/>
  <c r="F123" i="2"/>
  <c r="E123" i="2"/>
  <c r="D123" i="2"/>
  <c r="K122" i="2"/>
  <c r="J122" i="2"/>
  <c r="I122" i="2"/>
  <c r="H122" i="2"/>
  <c r="G122" i="2"/>
  <c r="F122" i="2"/>
  <c r="E122" i="2"/>
  <c r="D122" i="2"/>
  <c r="K121" i="2"/>
  <c r="J121" i="2"/>
  <c r="I121" i="2"/>
  <c r="H121" i="2"/>
  <c r="G121" i="2"/>
  <c r="F121" i="2"/>
  <c r="E121" i="2"/>
  <c r="D121" i="2"/>
  <c r="K120" i="2"/>
  <c r="J120" i="2"/>
  <c r="I120" i="2"/>
  <c r="H120" i="2"/>
  <c r="G120" i="2"/>
  <c r="F120" i="2"/>
  <c r="E120" i="2"/>
  <c r="D120" i="2"/>
  <c r="K119" i="2"/>
  <c r="J119" i="2"/>
  <c r="I119" i="2"/>
  <c r="H119" i="2"/>
  <c r="G119" i="2"/>
  <c r="F119" i="2"/>
  <c r="E119" i="2"/>
  <c r="D119" i="2"/>
  <c r="K118" i="2"/>
  <c r="J118" i="2"/>
  <c r="I118" i="2"/>
  <c r="H118" i="2"/>
  <c r="G118" i="2"/>
  <c r="F118" i="2"/>
  <c r="E118" i="2"/>
  <c r="D118" i="2"/>
  <c r="K117" i="2"/>
  <c r="J117" i="2"/>
  <c r="I117" i="2"/>
  <c r="H117" i="2"/>
  <c r="G117" i="2"/>
  <c r="F117" i="2"/>
  <c r="E117" i="2"/>
  <c r="D117" i="2"/>
  <c r="K116" i="2"/>
  <c r="J116" i="2"/>
  <c r="I116" i="2"/>
  <c r="H116" i="2"/>
  <c r="G116" i="2"/>
  <c r="F116" i="2"/>
  <c r="E116" i="2"/>
  <c r="D116" i="2"/>
  <c r="K115" i="2"/>
  <c r="J115" i="2"/>
  <c r="I115" i="2"/>
  <c r="H115" i="2"/>
  <c r="G115" i="2"/>
  <c r="F115" i="2"/>
  <c r="E115" i="2"/>
  <c r="D115" i="2"/>
  <c r="K114" i="2"/>
  <c r="J114" i="2"/>
  <c r="I114" i="2"/>
  <c r="H114" i="2"/>
  <c r="G114" i="2"/>
  <c r="F114" i="2"/>
  <c r="E114" i="2"/>
  <c r="D114" i="2"/>
  <c r="K113" i="2"/>
  <c r="J113" i="2"/>
  <c r="I113" i="2"/>
  <c r="H113" i="2"/>
  <c r="G113" i="2"/>
  <c r="F113" i="2"/>
  <c r="E113" i="2"/>
  <c r="D113" i="2"/>
  <c r="B124" i="2"/>
  <c r="B123" i="2"/>
  <c r="B122" i="2"/>
  <c r="B121" i="2"/>
  <c r="B120" i="2"/>
  <c r="B119" i="2"/>
  <c r="B118" i="2"/>
  <c r="B117" i="2"/>
  <c r="B116" i="2"/>
  <c r="B115" i="2"/>
  <c r="B114" i="2"/>
  <c r="K138" i="2"/>
  <c r="J138" i="2"/>
  <c r="I138" i="2"/>
  <c r="H138" i="2"/>
  <c r="G138" i="2"/>
  <c r="F138" i="2"/>
  <c r="E138" i="2"/>
  <c r="D138" i="2"/>
  <c r="K137" i="2"/>
  <c r="J137" i="2"/>
  <c r="I137" i="2"/>
  <c r="H137" i="2"/>
  <c r="G137" i="2"/>
  <c r="F137" i="2"/>
  <c r="E137" i="2"/>
  <c r="D137" i="2"/>
  <c r="K136" i="2"/>
  <c r="J136" i="2"/>
  <c r="I136" i="2"/>
  <c r="H136" i="2"/>
  <c r="G136" i="2"/>
  <c r="F136" i="2"/>
  <c r="E136" i="2"/>
  <c r="D136" i="2"/>
  <c r="K135" i="2"/>
  <c r="J135" i="2"/>
  <c r="I135" i="2"/>
  <c r="H135" i="2"/>
  <c r="G135" i="2"/>
  <c r="F135" i="2"/>
  <c r="E135" i="2"/>
  <c r="D135" i="2"/>
  <c r="K134" i="2"/>
  <c r="J134" i="2"/>
  <c r="I134" i="2"/>
  <c r="H134" i="2"/>
  <c r="G134" i="2"/>
  <c r="F134" i="2"/>
  <c r="E134" i="2"/>
  <c r="D134" i="2"/>
  <c r="K133" i="2"/>
  <c r="J133" i="2"/>
  <c r="I133" i="2"/>
  <c r="H133" i="2"/>
  <c r="G133" i="2"/>
  <c r="F133" i="2"/>
  <c r="E133" i="2"/>
  <c r="D133" i="2"/>
  <c r="K132" i="2"/>
  <c r="J132" i="2"/>
  <c r="I132" i="2"/>
  <c r="H132" i="2"/>
  <c r="G132" i="2"/>
  <c r="F132" i="2"/>
  <c r="E132" i="2"/>
  <c r="D132" i="2"/>
  <c r="K131" i="2"/>
  <c r="J131" i="2"/>
  <c r="I131" i="2"/>
  <c r="H131" i="2"/>
  <c r="G131" i="2"/>
  <c r="F131" i="2"/>
  <c r="E131" i="2"/>
  <c r="D131" i="2"/>
  <c r="K130" i="2"/>
  <c r="J130" i="2"/>
  <c r="I130" i="2"/>
  <c r="H130" i="2"/>
  <c r="G130" i="2"/>
  <c r="F130" i="2"/>
  <c r="E130" i="2"/>
  <c r="D130" i="2"/>
  <c r="K129" i="2"/>
  <c r="J129" i="2"/>
  <c r="I129" i="2"/>
  <c r="H129" i="2"/>
  <c r="G129" i="2"/>
  <c r="F129" i="2"/>
  <c r="E129" i="2"/>
  <c r="D129" i="2"/>
  <c r="K128" i="2"/>
  <c r="J128" i="2"/>
  <c r="I128" i="2"/>
  <c r="H128" i="2"/>
  <c r="G128" i="2"/>
  <c r="F128" i="2"/>
  <c r="E128" i="2"/>
  <c r="D128" i="2"/>
  <c r="K127" i="2"/>
  <c r="J127" i="2"/>
  <c r="I127" i="2"/>
  <c r="H127" i="2"/>
  <c r="G127" i="2"/>
  <c r="F127" i="2"/>
  <c r="E127" i="2"/>
  <c r="D127" i="2"/>
  <c r="K126" i="2"/>
  <c r="J126" i="2"/>
  <c r="I126" i="2"/>
  <c r="H126" i="2"/>
  <c r="G126" i="2"/>
  <c r="F126" i="2"/>
  <c r="E126" i="2"/>
  <c r="D126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K151" i="2"/>
  <c r="J151" i="2"/>
  <c r="I151" i="2"/>
  <c r="H151" i="2"/>
  <c r="G151" i="2"/>
  <c r="F151" i="2"/>
  <c r="E151" i="2"/>
  <c r="D151" i="2"/>
  <c r="K150" i="2"/>
  <c r="J150" i="2"/>
  <c r="I150" i="2"/>
  <c r="H150" i="2"/>
  <c r="G150" i="2"/>
  <c r="F150" i="2"/>
  <c r="E150" i="2"/>
  <c r="D150" i="2"/>
  <c r="K149" i="2"/>
  <c r="J149" i="2"/>
  <c r="I149" i="2"/>
  <c r="H149" i="2"/>
  <c r="G149" i="2"/>
  <c r="F149" i="2"/>
  <c r="E149" i="2"/>
  <c r="D149" i="2"/>
  <c r="K148" i="2"/>
  <c r="J148" i="2"/>
  <c r="I148" i="2"/>
  <c r="H148" i="2"/>
  <c r="G148" i="2"/>
  <c r="F148" i="2"/>
  <c r="E148" i="2"/>
  <c r="D148" i="2"/>
  <c r="K147" i="2"/>
  <c r="J147" i="2"/>
  <c r="I147" i="2"/>
  <c r="H147" i="2"/>
  <c r="G147" i="2"/>
  <c r="F147" i="2"/>
  <c r="E147" i="2"/>
  <c r="D147" i="2"/>
  <c r="K146" i="2"/>
  <c r="J146" i="2"/>
  <c r="I146" i="2"/>
  <c r="H146" i="2"/>
  <c r="G146" i="2"/>
  <c r="F146" i="2"/>
  <c r="E146" i="2"/>
  <c r="D146" i="2"/>
  <c r="K145" i="2"/>
  <c r="J145" i="2"/>
  <c r="I145" i="2"/>
  <c r="H145" i="2"/>
  <c r="G145" i="2"/>
  <c r="F145" i="2"/>
  <c r="E145" i="2"/>
  <c r="D145" i="2"/>
  <c r="K144" i="2"/>
  <c r="J144" i="2"/>
  <c r="I144" i="2"/>
  <c r="H144" i="2"/>
  <c r="G144" i="2"/>
  <c r="F144" i="2"/>
  <c r="E144" i="2"/>
  <c r="D144" i="2"/>
  <c r="K143" i="2"/>
  <c r="J143" i="2"/>
  <c r="I143" i="2"/>
  <c r="H143" i="2"/>
  <c r="G143" i="2"/>
  <c r="F143" i="2"/>
  <c r="E143" i="2"/>
  <c r="D143" i="2"/>
  <c r="K142" i="2"/>
  <c r="J142" i="2"/>
  <c r="I142" i="2"/>
  <c r="H142" i="2"/>
  <c r="G142" i="2"/>
  <c r="F142" i="2"/>
  <c r="E142" i="2"/>
  <c r="D142" i="2"/>
  <c r="K141" i="2"/>
  <c r="J141" i="2"/>
  <c r="I141" i="2"/>
  <c r="H141" i="2"/>
  <c r="G141" i="2"/>
  <c r="F141" i="2"/>
  <c r="E141" i="2"/>
  <c r="D141" i="2"/>
  <c r="K140" i="2"/>
  <c r="J140" i="2"/>
  <c r="I140" i="2"/>
  <c r="H140" i="2"/>
  <c r="G140" i="2"/>
  <c r="F140" i="2"/>
  <c r="E140" i="2"/>
  <c r="D140" i="2"/>
  <c r="B151" i="2"/>
  <c r="B150" i="2"/>
  <c r="B149" i="2"/>
  <c r="B148" i="2"/>
  <c r="B147" i="2"/>
  <c r="B146" i="2"/>
  <c r="B145" i="2"/>
  <c r="B144" i="2"/>
  <c r="B143" i="2"/>
  <c r="B142" i="2"/>
  <c r="B141" i="2"/>
  <c r="K166" i="2"/>
  <c r="J166" i="2"/>
  <c r="I166" i="2"/>
  <c r="H166" i="2"/>
  <c r="G166" i="2"/>
  <c r="F166" i="2"/>
  <c r="E166" i="2"/>
  <c r="D166" i="2"/>
  <c r="K165" i="2"/>
  <c r="J165" i="2"/>
  <c r="I165" i="2"/>
  <c r="H165" i="2"/>
  <c r="G165" i="2"/>
  <c r="F165" i="2"/>
  <c r="E165" i="2"/>
  <c r="D165" i="2"/>
  <c r="K164" i="2"/>
  <c r="J164" i="2"/>
  <c r="I164" i="2"/>
  <c r="H164" i="2"/>
  <c r="G164" i="2"/>
  <c r="F164" i="2"/>
  <c r="E164" i="2"/>
  <c r="D164" i="2"/>
  <c r="K163" i="2"/>
  <c r="J163" i="2"/>
  <c r="I163" i="2"/>
  <c r="H163" i="2"/>
  <c r="G163" i="2"/>
  <c r="F163" i="2"/>
  <c r="E163" i="2"/>
  <c r="D163" i="2"/>
  <c r="K162" i="2"/>
  <c r="J162" i="2"/>
  <c r="I162" i="2"/>
  <c r="H162" i="2"/>
  <c r="G162" i="2"/>
  <c r="F162" i="2"/>
  <c r="E162" i="2"/>
  <c r="D162" i="2"/>
  <c r="K161" i="2"/>
  <c r="J161" i="2"/>
  <c r="I161" i="2"/>
  <c r="H161" i="2"/>
  <c r="G161" i="2"/>
  <c r="F161" i="2"/>
  <c r="E161" i="2"/>
  <c r="D161" i="2"/>
  <c r="K160" i="2"/>
  <c r="J160" i="2"/>
  <c r="I160" i="2"/>
  <c r="H160" i="2"/>
  <c r="G160" i="2"/>
  <c r="F160" i="2"/>
  <c r="E160" i="2"/>
  <c r="D160" i="2"/>
  <c r="K159" i="2"/>
  <c r="J159" i="2"/>
  <c r="I159" i="2"/>
  <c r="H159" i="2"/>
  <c r="G159" i="2"/>
  <c r="F159" i="2"/>
  <c r="E159" i="2"/>
  <c r="D159" i="2"/>
  <c r="K158" i="2"/>
  <c r="J158" i="2"/>
  <c r="I158" i="2"/>
  <c r="H158" i="2"/>
  <c r="G158" i="2"/>
  <c r="F158" i="2"/>
  <c r="E158" i="2"/>
  <c r="D158" i="2"/>
  <c r="K157" i="2"/>
  <c r="J157" i="2"/>
  <c r="I157" i="2"/>
  <c r="H157" i="2"/>
  <c r="G157" i="2"/>
  <c r="F157" i="2"/>
  <c r="E157" i="2"/>
  <c r="D157" i="2"/>
  <c r="K156" i="2"/>
  <c r="J156" i="2"/>
  <c r="I156" i="2"/>
  <c r="H156" i="2"/>
  <c r="G156" i="2"/>
  <c r="F156" i="2"/>
  <c r="E156" i="2"/>
  <c r="D156" i="2"/>
  <c r="K155" i="2"/>
  <c r="J155" i="2"/>
  <c r="I155" i="2"/>
  <c r="H155" i="2"/>
  <c r="G155" i="2"/>
  <c r="F155" i="2"/>
  <c r="E155" i="2"/>
  <c r="D155" i="2"/>
  <c r="K154" i="2"/>
  <c r="J154" i="2"/>
  <c r="I154" i="2"/>
  <c r="H154" i="2"/>
  <c r="G154" i="2"/>
  <c r="F154" i="2"/>
  <c r="E154" i="2"/>
  <c r="D154" i="2"/>
  <c r="K153" i="2"/>
  <c r="J153" i="2"/>
  <c r="I153" i="2"/>
  <c r="H153" i="2"/>
  <c r="G153" i="2"/>
  <c r="F153" i="2"/>
  <c r="E153" i="2"/>
  <c r="D153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K181" i="2"/>
  <c r="J181" i="2"/>
  <c r="I181" i="2"/>
  <c r="H181" i="2"/>
  <c r="G181" i="2"/>
  <c r="F181" i="2"/>
  <c r="E181" i="2"/>
  <c r="D181" i="2"/>
  <c r="K180" i="2"/>
  <c r="J180" i="2"/>
  <c r="I180" i="2"/>
  <c r="H180" i="2"/>
  <c r="G180" i="2"/>
  <c r="F180" i="2"/>
  <c r="E180" i="2"/>
  <c r="D180" i="2"/>
  <c r="K179" i="2"/>
  <c r="J179" i="2"/>
  <c r="I179" i="2"/>
  <c r="H179" i="2"/>
  <c r="G179" i="2"/>
  <c r="F179" i="2"/>
  <c r="E179" i="2"/>
  <c r="D179" i="2"/>
  <c r="K178" i="2"/>
  <c r="J178" i="2"/>
  <c r="I178" i="2"/>
  <c r="H178" i="2"/>
  <c r="G178" i="2"/>
  <c r="F178" i="2"/>
  <c r="E178" i="2"/>
  <c r="D178" i="2"/>
  <c r="K177" i="2"/>
  <c r="J177" i="2"/>
  <c r="I177" i="2"/>
  <c r="H177" i="2"/>
  <c r="G177" i="2"/>
  <c r="F177" i="2"/>
  <c r="E177" i="2"/>
  <c r="D177" i="2"/>
  <c r="K176" i="2"/>
  <c r="J176" i="2"/>
  <c r="I176" i="2"/>
  <c r="H176" i="2"/>
  <c r="G176" i="2"/>
  <c r="F176" i="2"/>
  <c r="E176" i="2"/>
  <c r="D176" i="2"/>
  <c r="K175" i="2"/>
  <c r="J175" i="2"/>
  <c r="I175" i="2"/>
  <c r="H175" i="2"/>
  <c r="G175" i="2"/>
  <c r="F175" i="2"/>
  <c r="E175" i="2"/>
  <c r="D175" i="2"/>
  <c r="K174" i="2"/>
  <c r="J174" i="2"/>
  <c r="I174" i="2"/>
  <c r="H174" i="2"/>
  <c r="G174" i="2"/>
  <c r="F174" i="2"/>
  <c r="E174" i="2"/>
  <c r="D174" i="2"/>
  <c r="K173" i="2"/>
  <c r="J173" i="2"/>
  <c r="I173" i="2"/>
  <c r="H173" i="2"/>
  <c r="G173" i="2"/>
  <c r="F173" i="2"/>
  <c r="E173" i="2"/>
  <c r="D173" i="2"/>
  <c r="K172" i="2"/>
  <c r="J172" i="2"/>
  <c r="I172" i="2"/>
  <c r="H172" i="2"/>
  <c r="G172" i="2"/>
  <c r="F172" i="2"/>
  <c r="E172" i="2"/>
  <c r="D172" i="2"/>
  <c r="K171" i="2"/>
  <c r="J171" i="2"/>
  <c r="I171" i="2"/>
  <c r="H171" i="2"/>
  <c r="G171" i="2"/>
  <c r="F171" i="2"/>
  <c r="E171" i="2"/>
  <c r="D171" i="2"/>
  <c r="K170" i="2"/>
  <c r="J170" i="2"/>
  <c r="I170" i="2"/>
  <c r="H170" i="2"/>
  <c r="G170" i="2"/>
  <c r="F170" i="2"/>
  <c r="E170" i="2"/>
  <c r="D170" i="2"/>
  <c r="K169" i="2"/>
  <c r="J169" i="2"/>
  <c r="I169" i="2"/>
  <c r="H169" i="2"/>
  <c r="G169" i="2"/>
  <c r="F169" i="2"/>
  <c r="E169" i="2"/>
  <c r="D169" i="2"/>
  <c r="K168" i="2"/>
  <c r="J168" i="2"/>
  <c r="I168" i="2"/>
  <c r="H168" i="2"/>
  <c r="G168" i="2"/>
  <c r="F168" i="2"/>
  <c r="E168" i="2"/>
  <c r="D168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C195" i="2"/>
  <c r="C194" i="2"/>
  <c r="C193" i="2"/>
  <c r="C192" i="2"/>
  <c r="C190" i="2"/>
  <c r="C189" i="2"/>
  <c r="C188" i="2"/>
  <c r="C187" i="2"/>
  <c r="C186" i="2"/>
  <c r="C185" i="2"/>
  <c r="C184" i="2"/>
  <c r="K209" i="2"/>
  <c r="J209" i="2"/>
  <c r="I209" i="2"/>
  <c r="H209" i="2"/>
  <c r="G209" i="2"/>
  <c r="F209" i="2"/>
  <c r="E209" i="2"/>
  <c r="D209" i="2"/>
  <c r="K208" i="2"/>
  <c r="J208" i="2"/>
  <c r="I208" i="2"/>
  <c r="H208" i="2"/>
  <c r="G208" i="2"/>
  <c r="F208" i="2"/>
  <c r="E208" i="2"/>
  <c r="D208" i="2"/>
  <c r="K207" i="2"/>
  <c r="J207" i="2"/>
  <c r="I207" i="2"/>
  <c r="H207" i="2"/>
  <c r="G207" i="2"/>
  <c r="F207" i="2"/>
  <c r="E207" i="2"/>
  <c r="D207" i="2"/>
  <c r="K206" i="2"/>
  <c r="J206" i="2"/>
  <c r="I206" i="2"/>
  <c r="H206" i="2"/>
  <c r="G206" i="2"/>
  <c r="F206" i="2"/>
  <c r="E206" i="2"/>
  <c r="D206" i="2"/>
  <c r="K205" i="2"/>
  <c r="J205" i="2"/>
  <c r="I205" i="2"/>
  <c r="H205" i="2"/>
  <c r="G205" i="2"/>
  <c r="F205" i="2"/>
  <c r="E205" i="2"/>
  <c r="D205" i="2"/>
  <c r="K204" i="2"/>
  <c r="J204" i="2"/>
  <c r="I204" i="2"/>
  <c r="H204" i="2"/>
  <c r="G204" i="2"/>
  <c r="F204" i="2"/>
  <c r="E204" i="2"/>
  <c r="D204" i="2"/>
  <c r="K203" i="2"/>
  <c r="J203" i="2"/>
  <c r="I203" i="2"/>
  <c r="H203" i="2"/>
  <c r="G203" i="2"/>
  <c r="F203" i="2"/>
  <c r="E203" i="2"/>
  <c r="D203" i="2"/>
  <c r="K202" i="2"/>
  <c r="J202" i="2"/>
  <c r="I202" i="2"/>
  <c r="H202" i="2"/>
  <c r="G202" i="2"/>
  <c r="F202" i="2"/>
  <c r="E202" i="2"/>
  <c r="D202" i="2"/>
  <c r="K201" i="2"/>
  <c r="J201" i="2"/>
  <c r="I201" i="2"/>
  <c r="H201" i="2"/>
  <c r="G201" i="2"/>
  <c r="F201" i="2"/>
  <c r="E201" i="2"/>
  <c r="D201" i="2"/>
  <c r="K200" i="2"/>
  <c r="J200" i="2"/>
  <c r="I200" i="2"/>
  <c r="H200" i="2"/>
  <c r="G200" i="2"/>
  <c r="F200" i="2"/>
  <c r="E200" i="2"/>
  <c r="D200" i="2"/>
  <c r="K199" i="2"/>
  <c r="J199" i="2"/>
  <c r="I199" i="2"/>
  <c r="H199" i="2"/>
  <c r="G199" i="2"/>
  <c r="F199" i="2"/>
  <c r="E199" i="2"/>
  <c r="D199" i="2"/>
  <c r="K198" i="2"/>
  <c r="J198" i="2"/>
  <c r="I198" i="2"/>
  <c r="H198" i="2"/>
  <c r="G198" i="2"/>
  <c r="F198" i="2"/>
  <c r="E198" i="2"/>
  <c r="D198" i="2"/>
  <c r="K197" i="2"/>
  <c r="J197" i="2"/>
  <c r="I197" i="2"/>
  <c r="H197" i="2"/>
  <c r="G197" i="2"/>
  <c r="F197" i="2"/>
  <c r="E197" i="2"/>
  <c r="D197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K221" i="2"/>
  <c r="J221" i="2"/>
  <c r="I221" i="2"/>
  <c r="H221" i="2"/>
  <c r="G221" i="2"/>
  <c r="F221" i="2"/>
  <c r="E221" i="2"/>
  <c r="D221" i="2"/>
  <c r="K220" i="2"/>
  <c r="J220" i="2"/>
  <c r="I220" i="2"/>
  <c r="H220" i="2"/>
  <c r="G220" i="2"/>
  <c r="F220" i="2"/>
  <c r="E220" i="2"/>
  <c r="D220" i="2"/>
  <c r="K219" i="2"/>
  <c r="J219" i="2"/>
  <c r="I219" i="2"/>
  <c r="H219" i="2"/>
  <c r="G219" i="2"/>
  <c r="F219" i="2"/>
  <c r="E219" i="2"/>
  <c r="D219" i="2"/>
  <c r="K218" i="2"/>
  <c r="J218" i="2"/>
  <c r="I218" i="2"/>
  <c r="H218" i="2"/>
  <c r="G218" i="2"/>
  <c r="F218" i="2"/>
  <c r="E218" i="2"/>
  <c r="D218" i="2"/>
  <c r="K217" i="2"/>
  <c r="J217" i="2"/>
  <c r="I217" i="2"/>
  <c r="H217" i="2"/>
  <c r="G217" i="2"/>
  <c r="F217" i="2"/>
  <c r="E217" i="2"/>
  <c r="D217" i="2"/>
  <c r="K216" i="2"/>
  <c r="J216" i="2"/>
  <c r="I216" i="2"/>
  <c r="H216" i="2"/>
  <c r="G216" i="2"/>
  <c r="F216" i="2"/>
  <c r="E216" i="2"/>
  <c r="D216" i="2"/>
  <c r="K215" i="2"/>
  <c r="J215" i="2"/>
  <c r="I215" i="2"/>
  <c r="H215" i="2"/>
  <c r="G215" i="2"/>
  <c r="F215" i="2"/>
  <c r="E215" i="2"/>
  <c r="D215" i="2"/>
  <c r="K214" i="2"/>
  <c r="J214" i="2"/>
  <c r="I214" i="2"/>
  <c r="H214" i="2"/>
  <c r="G214" i="2"/>
  <c r="F214" i="2"/>
  <c r="E214" i="2"/>
  <c r="D214" i="2"/>
  <c r="K213" i="2"/>
  <c r="J213" i="2"/>
  <c r="I213" i="2"/>
  <c r="H213" i="2"/>
  <c r="G213" i="2"/>
  <c r="F213" i="2"/>
  <c r="E213" i="2"/>
  <c r="D213" i="2"/>
  <c r="K212" i="2"/>
  <c r="J212" i="2"/>
  <c r="I212" i="2"/>
  <c r="H212" i="2"/>
  <c r="G212" i="2"/>
  <c r="F212" i="2"/>
  <c r="E212" i="2"/>
  <c r="D212" i="2"/>
  <c r="K211" i="2"/>
  <c r="J211" i="2"/>
  <c r="I211" i="2"/>
  <c r="H211" i="2"/>
  <c r="G211" i="2"/>
  <c r="F211" i="2"/>
  <c r="E211" i="2"/>
  <c r="D211" i="2"/>
  <c r="B221" i="2"/>
  <c r="B220" i="2"/>
  <c r="B219" i="2"/>
  <c r="B218" i="2"/>
  <c r="B217" i="2"/>
  <c r="B216" i="2"/>
  <c r="B215" i="2"/>
  <c r="B214" i="2"/>
  <c r="B213" i="2"/>
  <c r="B212" i="2"/>
  <c r="K233" i="2"/>
  <c r="J233" i="2"/>
  <c r="I233" i="2"/>
  <c r="H233" i="2"/>
  <c r="G233" i="2"/>
  <c r="F233" i="2"/>
  <c r="E233" i="2"/>
  <c r="D233" i="2"/>
  <c r="K232" i="2"/>
  <c r="J232" i="2"/>
  <c r="I232" i="2"/>
  <c r="H232" i="2"/>
  <c r="G232" i="2"/>
  <c r="F232" i="2"/>
  <c r="E232" i="2"/>
  <c r="D232" i="2"/>
  <c r="K231" i="2"/>
  <c r="J231" i="2"/>
  <c r="I231" i="2"/>
  <c r="H231" i="2"/>
  <c r="G231" i="2"/>
  <c r="F231" i="2"/>
  <c r="E231" i="2"/>
  <c r="D231" i="2"/>
  <c r="K230" i="2"/>
  <c r="J230" i="2"/>
  <c r="I230" i="2"/>
  <c r="H230" i="2"/>
  <c r="G230" i="2"/>
  <c r="F230" i="2"/>
  <c r="E230" i="2"/>
  <c r="D230" i="2"/>
  <c r="K229" i="2"/>
  <c r="J229" i="2"/>
  <c r="I229" i="2"/>
  <c r="H229" i="2"/>
  <c r="G229" i="2"/>
  <c r="F229" i="2"/>
  <c r="E229" i="2"/>
  <c r="D229" i="2"/>
  <c r="K228" i="2"/>
  <c r="J228" i="2"/>
  <c r="I228" i="2"/>
  <c r="H228" i="2"/>
  <c r="G228" i="2"/>
  <c r="F228" i="2"/>
  <c r="E228" i="2"/>
  <c r="D228" i="2"/>
  <c r="K227" i="2"/>
  <c r="J227" i="2"/>
  <c r="I227" i="2"/>
  <c r="H227" i="2"/>
  <c r="G227" i="2"/>
  <c r="F227" i="2"/>
  <c r="E227" i="2"/>
  <c r="D227" i="2"/>
  <c r="K226" i="2"/>
  <c r="J226" i="2"/>
  <c r="I226" i="2"/>
  <c r="H226" i="2"/>
  <c r="G226" i="2"/>
  <c r="F226" i="2"/>
  <c r="E226" i="2"/>
  <c r="D226" i="2"/>
  <c r="K225" i="2"/>
  <c r="J225" i="2"/>
  <c r="I225" i="2"/>
  <c r="H225" i="2"/>
  <c r="G225" i="2"/>
  <c r="F225" i="2"/>
  <c r="E225" i="2"/>
  <c r="D225" i="2"/>
  <c r="K224" i="2"/>
  <c r="J224" i="2"/>
  <c r="I224" i="2"/>
  <c r="H224" i="2"/>
  <c r="G224" i="2"/>
  <c r="F224" i="2"/>
  <c r="E224" i="2"/>
  <c r="D224" i="2"/>
  <c r="K223" i="2"/>
  <c r="J223" i="2"/>
  <c r="I223" i="2"/>
  <c r="H223" i="2"/>
  <c r="G223" i="2"/>
  <c r="F223" i="2"/>
  <c r="E223" i="2"/>
  <c r="D223" i="2"/>
  <c r="B233" i="2"/>
  <c r="B232" i="2"/>
  <c r="B231" i="2"/>
  <c r="B230" i="2"/>
  <c r="B229" i="2"/>
  <c r="B228" i="2"/>
  <c r="B227" i="2"/>
  <c r="B226" i="2"/>
  <c r="B225" i="2"/>
  <c r="B224" i="2"/>
  <c r="B223" i="2"/>
  <c r="K247" i="2"/>
  <c r="J247" i="2"/>
  <c r="I247" i="2"/>
  <c r="H247" i="2"/>
  <c r="G247" i="2"/>
  <c r="F247" i="2"/>
  <c r="E247" i="2"/>
  <c r="D247" i="2"/>
  <c r="K246" i="2"/>
  <c r="J246" i="2"/>
  <c r="I246" i="2"/>
  <c r="H246" i="2"/>
  <c r="G246" i="2"/>
  <c r="F246" i="2"/>
  <c r="E246" i="2"/>
  <c r="D246" i="2"/>
  <c r="K245" i="2"/>
  <c r="J245" i="2"/>
  <c r="I245" i="2"/>
  <c r="H245" i="2"/>
  <c r="G245" i="2"/>
  <c r="F245" i="2"/>
  <c r="E245" i="2"/>
  <c r="D245" i="2"/>
  <c r="K244" i="2"/>
  <c r="J244" i="2"/>
  <c r="I244" i="2"/>
  <c r="H244" i="2"/>
  <c r="G244" i="2"/>
  <c r="F244" i="2"/>
  <c r="E244" i="2"/>
  <c r="D244" i="2"/>
  <c r="K243" i="2"/>
  <c r="J243" i="2"/>
  <c r="I243" i="2"/>
  <c r="H243" i="2"/>
  <c r="G243" i="2"/>
  <c r="F243" i="2"/>
  <c r="E243" i="2"/>
  <c r="D243" i="2"/>
  <c r="K242" i="2"/>
  <c r="J242" i="2"/>
  <c r="I242" i="2"/>
  <c r="H242" i="2"/>
  <c r="G242" i="2"/>
  <c r="F242" i="2"/>
  <c r="E242" i="2"/>
  <c r="D242" i="2"/>
  <c r="K241" i="2"/>
  <c r="J241" i="2"/>
  <c r="I241" i="2"/>
  <c r="H241" i="2"/>
  <c r="G241" i="2"/>
  <c r="F241" i="2"/>
  <c r="E241" i="2"/>
  <c r="D241" i="2"/>
  <c r="K240" i="2"/>
  <c r="J240" i="2"/>
  <c r="I240" i="2"/>
  <c r="H240" i="2"/>
  <c r="G240" i="2"/>
  <c r="F240" i="2"/>
  <c r="E240" i="2"/>
  <c r="D240" i="2"/>
  <c r="K239" i="2"/>
  <c r="J239" i="2"/>
  <c r="I239" i="2"/>
  <c r="H239" i="2"/>
  <c r="G239" i="2"/>
  <c r="F239" i="2"/>
  <c r="E239" i="2"/>
  <c r="D239" i="2"/>
  <c r="K238" i="2"/>
  <c r="J238" i="2"/>
  <c r="I238" i="2"/>
  <c r="H238" i="2"/>
  <c r="G238" i="2"/>
  <c r="F238" i="2"/>
  <c r="E238" i="2"/>
  <c r="D238" i="2"/>
  <c r="K237" i="2"/>
  <c r="J237" i="2"/>
  <c r="I237" i="2"/>
  <c r="H237" i="2"/>
  <c r="G237" i="2"/>
  <c r="F237" i="2"/>
  <c r="E237" i="2"/>
  <c r="D237" i="2"/>
  <c r="K236" i="2"/>
  <c r="J236" i="2"/>
  <c r="I236" i="2"/>
  <c r="H236" i="2"/>
  <c r="G236" i="2"/>
  <c r="F236" i="2"/>
  <c r="E236" i="2"/>
  <c r="D236" i="2"/>
  <c r="K235" i="2"/>
  <c r="J235" i="2"/>
  <c r="I235" i="2"/>
  <c r="H235" i="2"/>
  <c r="G235" i="2"/>
  <c r="F235" i="2"/>
  <c r="E235" i="2"/>
  <c r="D235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K257" i="2"/>
  <c r="J257" i="2"/>
  <c r="I257" i="2"/>
  <c r="H257" i="2"/>
  <c r="G257" i="2"/>
  <c r="F257" i="2"/>
  <c r="E257" i="2"/>
  <c r="D257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G255" i="2"/>
  <c r="F255" i="2"/>
  <c r="E255" i="2"/>
  <c r="D255" i="2"/>
  <c r="K254" i="2"/>
  <c r="J254" i="2"/>
  <c r="I254" i="2"/>
  <c r="H254" i="2"/>
  <c r="G254" i="2"/>
  <c r="F254" i="2"/>
  <c r="E254" i="2"/>
  <c r="D254" i="2"/>
  <c r="K253" i="2"/>
  <c r="J253" i="2"/>
  <c r="I253" i="2"/>
  <c r="H253" i="2"/>
  <c r="G253" i="2"/>
  <c r="F253" i="2"/>
  <c r="E253" i="2"/>
  <c r="D253" i="2"/>
  <c r="K252" i="2"/>
  <c r="J252" i="2"/>
  <c r="I252" i="2"/>
  <c r="H252" i="2"/>
  <c r="G252" i="2"/>
  <c r="F252" i="2"/>
  <c r="E252" i="2"/>
  <c r="D252" i="2"/>
  <c r="K251" i="2"/>
  <c r="J251" i="2"/>
  <c r="I251" i="2"/>
  <c r="H251" i="2"/>
  <c r="G251" i="2"/>
  <c r="F251" i="2"/>
  <c r="E251" i="2"/>
  <c r="D251" i="2"/>
  <c r="K250" i="2"/>
  <c r="J250" i="2"/>
  <c r="I250" i="2"/>
  <c r="H250" i="2"/>
  <c r="G250" i="2"/>
  <c r="F250" i="2"/>
  <c r="E250" i="2"/>
  <c r="D250" i="2"/>
  <c r="K249" i="2"/>
  <c r="J249" i="2"/>
  <c r="I249" i="2"/>
  <c r="H249" i="2"/>
  <c r="G249" i="2"/>
  <c r="F249" i="2"/>
  <c r="E249" i="2"/>
  <c r="D249" i="2"/>
  <c r="B257" i="2"/>
  <c r="B256" i="2"/>
  <c r="B255" i="2"/>
  <c r="B254" i="2"/>
  <c r="B253" i="2"/>
  <c r="B252" i="2"/>
  <c r="B251" i="2"/>
  <c r="B250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B270" i="2"/>
  <c r="B269" i="2"/>
  <c r="B268" i="2"/>
  <c r="B267" i="2"/>
  <c r="B266" i="2"/>
  <c r="B265" i="2"/>
  <c r="B264" i="2"/>
  <c r="B263" i="2"/>
  <c r="B262" i="2"/>
  <c r="B261" i="2"/>
  <c r="B260" i="2"/>
  <c r="K282" i="2"/>
  <c r="J282" i="2"/>
  <c r="I282" i="2"/>
  <c r="H282" i="2"/>
  <c r="G282" i="2"/>
  <c r="F282" i="2"/>
  <c r="E282" i="2"/>
  <c r="D282" i="2"/>
  <c r="K281" i="2"/>
  <c r="J281" i="2"/>
  <c r="I281" i="2"/>
  <c r="H281" i="2"/>
  <c r="G281" i="2"/>
  <c r="F281" i="2"/>
  <c r="E281" i="2"/>
  <c r="D281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B282" i="2"/>
  <c r="B281" i="2"/>
  <c r="B280" i="2"/>
  <c r="B279" i="2"/>
  <c r="B278" i="2"/>
  <c r="B277" i="2"/>
  <c r="B276" i="2"/>
  <c r="B275" i="2"/>
  <c r="B274" i="2"/>
  <c r="B273" i="2"/>
  <c r="K290" i="2"/>
  <c r="J290" i="2"/>
  <c r="I290" i="2"/>
  <c r="H290" i="2"/>
  <c r="G290" i="2"/>
  <c r="F290" i="2"/>
  <c r="E290" i="2"/>
  <c r="D290" i="2"/>
  <c r="K289" i="2"/>
  <c r="J289" i="2"/>
  <c r="I289" i="2"/>
  <c r="H289" i="2"/>
  <c r="G289" i="2"/>
  <c r="F289" i="2"/>
  <c r="E289" i="2"/>
  <c r="D289" i="2"/>
  <c r="K288" i="2"/>
  <c r="J288" i="2"/>
  <c r="I288" i="2"/>
  <c r="H288" i="2"/>
  <c r="G288" i="2"/>
  <c r="F288" i="2"/>
  <c r="E288" i="2"/>
  <c r="D288" i="2"/>
  <c r="K287" i="2"/>
  <c r="J287" i="2"/>
  <c r="I287" i="2"/>
  <c r="H287" i="2"/>
  <c r="G287" i="2"/>
  <c r="F287" i="2"/>
  <c r="E287" i="2"/>
  <c r="D287" i="2"/>
  <c r="K286" i="2"/>
  <c r="J286" i="2"/>
  <c r="I286" i="2"/>
  <c r="H286" i="2"/>
  <c r="G286" i="2"/>
  <c r="F286" i="2"/>
  <c r="E286" i="2"/>
  <c r="D286" i="2"/>
  <c r="K285" i="2"/>
  <c r="J285" i="2"/>
  <c r="I285" i="2"/>
  <c r="H285" i="2"/>
  <c r="G285" i="2"/>
  <c r="F285" i="2"/>
  <c r="E285" i="2"/>
  <c r="D285" i="2"/>
  <c r="K284" i="2"/>
  <c r="J284" i="2"/>
  <c r="I284" i="2"/>
  <c r="H284" i="2"/>
  <c r="G284" i="2"/>
  <c r="F284" i="2"/>
  <c r="E284" i="2"/>
  <c r="D284" i="2"/>
  <c r="B290" i="2"/>
  <c r="B289" i="2"/>
  <c r="B288" i="2"/>
  <c r="B287" i="2"/>
  <c r="B286" i="2"/>
  <c r="B285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J299" i="2"/>
  <c r="I299" i="2"/>
  <c r="H299" i="2"/>
  <c r="G299" i="2"/>
  <c r="F299" i="2"/>
  <c r="E299" i="2"/>
  <c r="D299" i="2"/>
  <c r="K298" i="2"/>
  <c r="J298" i="2"/>
  <c r="I298" i="2"/>
  <c r="H298" i="2"/>
  <c r="G298" i="2"/>
  <c r="F298" i="2"/>
  <c r="E298" i="2"/>
  <c r="D298" i="2"/>
  <c r="K297" i="2"/>
  <c r="J297" i="2"/>
  <c r="I297" i="2"/>
  <c r="H297" i="2"/>
  <c r="G297" i="2"/>
  <c r="F297" i="2"/>
  <c r="E297" i="2"/>
  <c r="D297" i="2"/>
  <c r="K296" i="2"/>
  <c r="J296" i="2"/>
  <c r="I296" i="2"/>
  <c r="H296" i="2"/>
  <c r="G296" i="2"/>
  <c r="F296" i="2"/>
  <c r="E296" i="2"/>
  <c r="D296" i="2"/>
  <c r="K295" i="2"/>
  <c r="J295" i="2"/>
  <c r="I295" i="2"/>
  <c r="H295" i="2"/>
  <c r="G295" i="2"/>
  <c r="F295" i="2"/>
  <c r="E295" i="2"/>
  <c r="D295" i="2"/>
  <c r="K294" i="2"/>
  <c r="J294" i="2"/>
  <c r="I294" i="2"/>
  <c r="H294" i="2"/>
  <c r="G294" i="2"/>
  <c r="F294" i="2"/>
  <c r="E294" i="2"/>
  <c r="D294" i="2"/>
  <c r="K293" i="2"/>
  <c r="J293" i="2"/>
  <c r="I293" i="2"/>
  <c r="H293" i="2"/>
  <c r="G293" i="2"/>
  <c r="F293" i="2"/>
  <c r="E293" i="2"/>
  <c r="D293" i="2"/>
  <c r="K292" i="2"/>
  <c r="J292" i="2"/>
  <c r="I292" i="2"/>
  <c r="H292" i="2"/>
  <c r="G292" i="2"/>
  <c r="F292" i="2"/>
  <c r="E292" i="2"/>
  <c r="D292" i="2"/>
  <c r="B301" i="2"/>
  <c r="B300" i="2"/>
  <c r="B299" i="2"/>
  <c r="B298" i="2"/>
  <c r="B297" i="2"/>
  <c r="B296" i="2"/>
  <c r="B295" i="2"/>
  <c r="B294" i="2"/>
  <c r="B29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B312" i="2"/>
  <c r="B311" i="2"/>
  <c r="B310" i="2"/>
  <c r="B309" i="2"/>
  <c r="B308" i="2"/>
  <c r="B307" i="2"/>
  <c r="B306" i="2"/>
  <c r="B305" i="2"/>
  <c r="B304" i="2"/>
  <c r="B303" i="2"/>
  <c r="K323" i="2"/>
  <c r="J323" i="2"/>
  <c r="I323" i="2"/>
  <c r="H323" i="2"/>
  <c r="G323" i="2"/>
  <c r="F323" i="2"/>
  <c r="E323" i="2"/>
  <c r="D323" i="2"/>
  <c r="K322" i="2"/>
  <c r="J322" i="2"/>
  <c r="I322" i="2"/>
  <c r="H322" i="2"/>
  <c r="G322" i="2"/>
  <c r="F322" i="2"/>
  <c r="E322" i="2"/>
  <c r="D322" i="2"/>
  <c r="K321" i="2"/>
  <c r="J321" i="2"/>
  <c r="I321" i="2"/>
  <c r="H321" i="2"/>
  <c r="G321" i="2"/>
  <c r="F321" i="2"/>
  <c r="E321" i="2"/>
  <c r="D321" i="2"/>
  <c r="K320" i="2"/>
  <c r="J320" i="2"/>
  <c r="I320" i="2"/>
  <c r="H320" i="2"/>
  <c r="G320" i="2"/>
  <c r="F320" i="2"/>
  <c r="E320" i="2"/>
  <c r="D320" i="2"/>
  <c r="K319" i="2"/>
  <c r="J319" i="2"/>
  <c r="I319" i="2"/>
  <c r="H319" i="2"/>
  <c r="G319" i="2"/>
  <c r="F319" i="2"/>
  <c r="E319" i="2"/>
  <c r="D319" i="2"/>
  <c r="K318" i="2"/>
  <c r="J318" i="2"/>
  <c r="I318" i="2"/>
  <c r="H318" i="2"/>
  <c r="G318" i="2"/>
  <c r="F318" i="2"/>
  <c r="E318" i="2"/>
  <c r="D318" i="2"/>
  <c r="K317" i="2"/>
  <c r="J317" i="2"/>
  <c r="I317" i="2"/>
  <c r="H317" i="2"/>
  <c r="G317" i="2"/>
  <c r="F317" i="2"/>
  <c r="E317" i="2"/>
  <c r="D317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B323" i="2"/>
  <c r="B322" i="2"/>
  <c r="B321" i="2"/>
  <c r="B320" i="2"/>
  <c r="B319" i="2"/>
  <c r="B318" i="2"/>
  <c r="B317" i="2"/>
  <c r="B316" i="2"/>
  <c r="B315" i="2"/>
  <c r="K336" i="2"/>
  <c r="J336" i="2"/>
  <c r="I336" i="2"/>
  <c r="H336" i="2"/>
  <c r="G336" i="2"/>
  <c r="F336" i="2"/>
  <c r="E336" i="2"/>
  <c r="K335" i="2"/>
  <c r="J335" i="2"/>
  <c r="I335" i="2"/>
  <c r="H335" i="2"/>
  <c r="G335" i="2"/>
  <c r="F335" i="2"/>
  <c r="E335" i="2"/>
  <c r="K334" i="2"/>
  <c r="J334" i="2"/>
  <c r="I334" i="2"/>
  <c r="H334" i="2"/>
  <c r="G334" i="2"/>
  <c r="F334" i="2"/>
  <c r="E334" i="2"/>
  <c r="K333" i="2"/>
  <c r="J333" i="2"/>
  <c r="I333" i="2"/>
  <c r="H333" i="2"/>
  <c r="G333" i="2"/>
  <c r="F333" i="2"/>
  <c r="E333" i="2"/>
  <c r="K332" i="2"/>
  <c r="J332" i="2"/>
  <c r="I332" i="2"/>
  <c r="H332" i="2"/>
  <c r="G332" i="2"/>
  <c r="F332" i="2"/>
  <c r="E332" i="2"/>
  <c r="K331" i="2"/>
  <c r="J331" i="2"/>
  <c r="I331" i="2"/>
  <c r="H331" i="2"/>
  <c r="G331" i="2"/>
  <c r="F331" i="2"/>
  <c r="E331" i="2"/>
  <c r="K330" i="2"/>
  <c r="J330" i="2"/>
  <c r="I330" i="2"/>
  <c r="H330" i="2"/>
  <c r="G330" i="2"/>
  <c r="F330" i="2"/>
  <c r="E330" i="2"/>
  <c r="K329" i="2"/>
  <c r="J329" i="2"/>
  <c r="I329" i="2"/>
  <c r="H329" i="2"/>
  <c r="G329" i="2"/>
  <c r="F329" i="2"/>
  <c r="E329" i="2"/>
  <c r="K328" i="2"/>
  <c r="J328" i="2"/>
  <c r="I328" i="2"/>
  <c r="H328" i="2"/>
  <c r="G328" i="2"/>
  <c r="F328" i="2"/>
  <c r="E328" i="2"/>
  <c r="K327" i="2"/>
  <c r="J327" i="2"/>
  <c r="I327" i="2"/>
  <c r="H327" i="2"/>
  <c r="G327" i="2"/>
  <c r="F327" i="2"/>
  <c r="E327" i="2"/>
  <c r="K326" i="2"/>
  <c r="J326" i="2"/>
  <c r="I326" i="2"/>
  <c r="H326" i="2"/>
  <c r="G326" i="2"/>
  <c r="F326" i="2"/>
  <c r="E326" i="2"/>
  <c r="K325" i="2"/>
  <c r="J325" i="2"/>
  <c r="I325" i="2"/>
  <c r="H325" i="2"/>
  <c r="G325" i="2"/>
  <c r="F325" i="2"/>
  <c r="E325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B336" i="2"/>
  <c r="B335" i="2"/>
  <c r="B334" i="2"/>
  <c r="B333" i="2"/>
  <c r="B332" i="2"/>
  <c r="B331" i="2"/>
  <c r="B330" i="2"/>
  <c r="B329" i="2"/>
  <c r="B328" i="2"/>
  <c r="B327" i="2"/>
  <c r="B326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B349" i="2"/>
  <c r="B348" i="2"/>
  <c r="B347" i="2"/>
  <c r="B346" i="2"/>
  <c r="B345" i="2"/>
  <c r="B344" i="2"/>
  <c r="B343" i="2"/>
  <c r="B342" i="2"/>
  <c r="B341" i="2"/>
  <c r="B340" i="2"/>
  <c r="B339" i="2"/>
  <c r="K362" i="2"/>
  <c r="J362" i="2"/>
  <c r="I362" i="2"/>
  <c r="H362" i="2"/>
  <c r="G362" i="2"/>
  <c r="F362" i="2"/>
  <c r="E362" i="2"/>
  <c r="D362" i="2"/>
  <c r="K361" i="2"/>
  <c r="J361" i="2"/>
  <c r="I361" i="2"/>
  <c r="H361" i="2"/>
  <c r="G361" i="2"/>
  <c r="F361" i="2"/>
  <c r="E361" i="2"/>
  <c r="D361" i="2"/>
  <c r="K360" i="2"/>
  <c r="J360" i="2"/>
  <c r="I360" i="2"/>
  <c r="H360" i="2"/>
  <c r="G360" i="2"/>
  <c r="F360" i="2"/>
  <c r="E360" i="2"/>
  <c r="D360" i="2"/>
  <c r="K359" i="2"/>
  <c r="J359" i="2"/>
  <c r="I359" i="2"/>
  <c r="H359" i="2"/>
  <c r="G359" i="2"/>
  <c r="F359" i="2"/>
  <c r="E359" i="2"/>
  <c r="D359" i="2"/>
  <c r="K358" i="2"/>
  <c r="J358" i="2"/>
  <c r="I358" i="2"/>
  <c r="H358" i="2"/>
  <c r="G358" i="2"/>
  <c r="F358" i="2"/>
  <c r="E358" i="2"/>
  <c r="D358" i="2"/>
  <c r="K357" i="2"/>
  <c r="J357" i="2"/>
  <c r="I357" i="2"/>
  <c r="H357" i="2"/>
  <c r="G357" i="2"/>
  <c r="F357" i="2"/>
  <c r="E357" i="2"/>
  <c r="D357" i="2"/>
  <c r="K356" i="2"/>
  <c r="J356" i="2"/>
  <c r="I356" i="2"/>
  <c r="H356" i="2"/>
  <c r="G356" i="2"/>
  <c r="F356" i="2"/>
  <c r="E356" i="2"/>
  <c r="D356" i="2"/>
  <c r="K355" i="2"/>
  <c r="J355" i="2"/>
  <c r="I355" i="2"/>
  <c r="H355" i="2"/>
  <c r="G355" i="2"/>
  <c r="F355" i="2"/>
  <c r="E355" i="2"/>
  <c r="D355" i="2"/>
  <c r="K354" i="2"/>
  <c r="J354" i="2"/>
  <c r="I354" i="2"/>
  <c r="H354" i="2"/>
  <c r="G354" i="2"/>
  <c r="F354" i="2"/>
  <c r="E354" i="2"/>
  <c r="D354" i="2"/>
  <c r="K353" i="2"/>
  <c r="J353" i="2"/>
  <c r="I353" i="2"/>
  <c r="H353" i="2"/>
  <c r="G353" i="2"/>
  <c r="F353" i="2"/>
  <c r="E353" i="2"/>
  <c r="D353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B362" i="2"/>
  <c r="B361" i="2"/>
  <c r="B360" i="2"/>
  <c r="B359" i="2"/>
  <c r="B358" i="2"/>
  <c r="B357" i="2"/>
  <c r="B356" i="2"/>
  <c r="B355" i="2"/>
  <c r="B354" i="2"/>
  <c r="B353" i="2"/>
  <c r="B352" i="2"/>
  <c r="K373" i="2"/>
  <c r="J373" i="2"/>
  <c r="I373" i="2"/>
  <c r="H373" i="2"/>
  <c r="G373" i="2"/>
  <c r="F373" i="2"/>
  <c r="E373" i="2"/>
  <c r="D373" i="2"/>
  <c r="K372" i="2"/>
  <c r="J372" i="2"/>
  <c r="I372" i="2"/>
  <c r="H372" i="2"/>
  <c r="G372" i="2"/>
  <c r="F372" i="2"/>
  <c r="E372" i="2"/>
  <c r="D372" i="2"/>
  <c r="K371" i="2"/>
  <c r="J371" i="2"/>
  <c r="I371" i="2"/>
  <c r="H371" i="2"/>
  <c r="G371" i="2"/>
  <c r="F371" i="2"/>
  <c r="E371" i="2"/>
  <c r="D371" i="2"/>
  <c r="K370" i="2"/>
  <c r="J370" i="2"/>
  <c r="I370" i="2"/>
  <c r="H370" i="2"/>
  <c r="G370" i="2"/>
  <c r="F370" i="2"/>
  <c r="E370" i="2"/>
  <c r="D370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J365" i="2"/>
  <c r="I365" i="2"/>
  <c r="H365" i="2"/>
  <c r="G365" i="2"/>
  <c r="F365" i="2"/>
  <c r="E365" i="2"/>
  <c r="D365" i="2"/>
  <c r="K364" i="2"/>
  <c r="J364" i="2"/>
  <c r="I364" i="2"/>
  <c r="H364" i="2"/>
  <c r="G364" i="2"/>
  <c r="F364" i="2"/>
  <c r="E364" i="2"/>
  <c r="D364" i="2"/>
  <c r="B373" i="2"/>
  <c r="B372" i="2"/>
  <c r="B371" i="2"/>
  <c r="B370" i="2"/>
  <c r="B369" i="2"/>
  <c r="B368" i="2"/>
  <c r="B367" i="2"/>
  <c r="B366" i="2"/>
  <c r="B365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J376" i="2"/>
  <c r="I376" i="2"/>
  <c r="H376" i="2"/>
  <c r="G376" i="2"/>
  <c r="F376" i="2"/>
  <c r="E376" i="2"/>
  <c r="D376" i="2"/>
  <c r="K375" i="2"/>
  <c r="J375" i="2"/>
  <c r="I375" i="2"/>
  <c r="H375" i="2"/>
  <c r="G375" i="2"/>
  <c r="F375" i="2"/>
  <c r="E375" i="2"/>
  <c r="D375" i="2"/>
  <c r="B386" i="2"/>
  <c r="B385" i="2"/>
  <c r="B384" i="2"/>
  <c r="B383" i="2"/>
  <c r="B382" i="2"/>
  <c r="B381" i="2"/>
  <c r="B380" i="2"/>
  <c r="B379" i="2"/>
  <c r="B378" i="2"/>
  <c r="B377" i="2"/>
  <c r="B376" i="2"/>
  <c r="K398" i="2"/>
  <c r="J398" i="2"/>
  <c r="I398" i="2"/>
  <c r="H398" i="2"/>
  <c r="G398" i="2"/>
  <c r="F398" i="2"/>
  <c r="E398" i="2"/>
  <c r="K397" i="2"/>
  <c r="J397" i="2"/>
  <c r="I397" i="2"/>
  <c r="H397" i="2"/>
  <c r="G397" i="2"/>
  <c r="F397" i="2"/>
  <c r="E397" i="2"/>
  <c r="K396" i="2"/>
  <c r="J396" i="2"/>
  <c r="I396" i="2"/>
  <c r="H396" i="2"/>
  <c r="G396" i="2"/>
  <c r="F396" i="2"/>
  <c r="E396" i="2"/>
  <c r="K395" i="2"/>
  <c r="J395" i="2"/>
  <c r="I395" i="2"/>
  <c r="H395" i="2"/>
  <c r="G395" i="2"/>
  <c r="F395" i="2"/>
  <c r="E395" i="2"/>
  <c r="K394" i="2"/>
  <c r="J394" i="2"/>
  <c r="I394" i="2"/>
  <c r="H394" i="2"/>
  <c r="G394" i="2"/>
  <c r="F394" i="2"/>
  <c r="E394" i="2"/>
  <c r="K393" i="2"/>
  <c r="J393" i="2"/>
  <c r="I393" i="2"/>
  <c r="H393" i="2"/>
  <c r="G393" i="2"/>
  <c r="F393" i="2"/>
  <c r="E393" i="2"/>
  <c r="K392" i="2"/>
  <c r="J392" i="2"/>
  <c r="I392" i="2"/>
  <c r="H392" i="2"/>
  <c r="G392" i="2"/>
  <c r="F392" i="2"/>
  <c r="E392" i="2"/>
  <c r="K391" i="2"/>
  <c r="J391" i="2"/>
  <c r="I391" i="2"/>
  <c r="H391" i="2"/>
  <c r="G391" i="2"/>
  <c r="F391" i="2"/>
  <c r="E391" i="2"/>
  <c r="K390" i="2"/>
  <c r="J390" i="2"/>
  <c r="I390" i="2"/>
  <c r="H390" i="2"/>
  <c r="G390" i="2"/>
  <c r="F390" i="2"/>
  <c r="E390" i="2"/>
  <c r="K389" i="2"/>
  <c r="J389" i="2"/>
  <c r="I389" i="2"/>
  <c r="H389" i="2"/>
  <c r="G389" i="2"/>
  <c r="F389" i="2"/>
  <c r="E389" i="2"/>
  <c r="K388" i="2"/>
  <c r="J388" i="2"/>
  <c r="I388" i="2"/>
  <c r="H388" i="2"/>
  <c r="G388" i="2"/>
  <c r="F388" i="2"/>
  <c r="E388" i="2"/>
  <c r="D398" i="2"/>
  <c r="D397" i="2"/>
  <c r="D396" i="2"/>
  <c r="D395" i="2"/>
  <c r="D394" i="2"/>
  <c r="D393" i="2"/>
  <c r="D392" i="2"/>
  <c r="D391" i="2"/>
  <c r="D390" i="2"/>
  <c r="D389" i="2"/>
  <c r="D388" i="2"/>
  <c r="B398" i="2"/>
  <c r="B397" i="2"/>
  <c r="B396" i="2"/>
  <c r="B395" i="2"/>
  <c r="B394" i="2"/>
  <c r="B393" i="2"/>
  <c r="B392" i="2"/>
  <c r="B391" i="2"/>
  <c r="B390" i="2"/>
  <c r="B389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B411" i="2"/>
  <c r="B410" i="2"/>
  <c r="B409" i="2"/>
  <c r="B408" i="2"/>
  <c r="B407" i="2"/>
  <c r="B406" i="2"/>
  <c r="B405" i="2"/>
  <c r="B404" i="2"/>
  <c r="B403" i="2"/>
  <c r="B402" i="2"/>
  <c r="B401" i="2"/>
  <c r="K425" i="2"/>
  <c r="J425" i="2"/>
  <c r="I425" i="2"/>
  <c r="H425" i="2"/>
  <c r="G425" i="2"/>
  <c r="F425" i="2"/>
  <c r="E425" i="2"/>
  <c r="D425" i="2"/>
  <c r="C425" i="2"/>
  <c r="K424" i="2"/>
  <c r="J424" i="2"/>
  <c r="I424" i="2"/>
  <c r="H424" i="2"/>
  <c r="G424" i="2"/>
  <c r="F424" i="2"/>
  <c r="E424" i="2"/>
  <c r="D424" i="2"/>
  <c r="C424" i="2"/>
  <c r="K423" i="2"/>
  <c r="J423" i="2"/>
  <c r="I423" i="2"/>
  <c r="H423" i="2"/>
  <c r="G423" i="2"/>
  <c r="F423" i="2"/>
  <c r="E423" i="2"/>
  <c r="D423" i="2"/>
  <c r="C423" i="2"/>
  <c r="K422" i="2"/>
  <c r="J422" i="2"/>
  <c r="I422" i="2"/>
  <c r="H422" i="2"/>
  <c r="G422" i="2"/>
  <c r="F422" i="2"/>
  <c r="E422" i="2"/>
  <c r="D422" i="2"/>
  <c r="C422" i="2"/>
  <c r="K421" i="2"/>
  <c r="J421" i="2"/>
  <c r="I421" i="2"/>
  <c r="H421" i="2"/>
  <c r="G421" i="2"/>
  <c r="F421" i="2"/>
  <c r="E421" i="2"/>
  <c r="D421" i="2"/>
  <c r="C421" i="2"/>
  <c r="K420" i="2"/>
  <c r="J420" i="2"/>
  <c r="I420" i="2"/>
  <c r="H420" i="2"/>
  <c r="G420" i="2"/>
  <c r="F420" i="2"/>
  <c r="E420" i="2"/>
  <c r="D420" i="2"/>
  <c r="C420" i="2"/>
  <c r="K419" i="2"/>
  <c r="J419" i="2"/>
  <c r="I419" i="2"/>
  <c r="H419" i="2"/>
  <c r="G419" i="2"/>
  <c r="F419" i="2"/>
  <c r="E419" i="2"/>
  <c r="D419" i="2"/>
  <c r="C419" i="2"/>
  <c r="K418" i="2"/>
  <c r="J418" i="2"/>
  <c r="I418" i="2"/>
  <c r="H418" i="2"/>
  <c r="G418" i="2"/>
  <c r="F418" i="2"/>
  <c r="E418" i="2"/>
  <c r="D418" i="2"/>
  <c r="C418" i="2"/>
  <c r="K417" i="2"/>
  <c r="J417" i="2"/>
  <c r="I417" i="2"/>
  <c r="H417" i="2"/>
  <c r="G417" i="2"/>
  <c r="F417" i="2"/>
  <c r="E417" i="2"/>
  <c r="D417" i="2"/>
  <c r="C417" i="2"/>
  <c r="K416" i="2"/>
  <c r="J416" i="2"/>
  <c r="I416" i="2"/>
  <c r="H416" i="2"/>
  <c r="G416" i="2"/>
  <c r="F416" i="2"/>
  <c r="E416" i="2"/>
  <c r="D416" i="2"/>
  <c r="C416" i="2"/>
  <c r="K415" i="2"/>
  <c r="J415" i="2"/>
  <c r="I415" i="2"/>
  <c r="H415" i="2"/>
  <c r="G415" i="2"/>
  <c r="F415" i="2"/>
  <c r="E415" i="2"/>
  <c r="D415" i="2"/>
  <c r="C415" i="2"/>
  <c r="K414" i="2"/>
  <c r="J414" i="2"/>
  <c r="I414" i="2"/>
  <c r="H414" i="2"/>
  <c r="G414" i="2"/>
  <c r="F414" i="2"/>
  <c r="E414" i="2"/>
  <c r="D414" i="2"/>
  <c r="C414" i="2"/>
  <c r="K413" i="2"/>
  <c r="J413" i="2"/>
  <c r="I413" i="2"/>
  <c r="H413" i="2"/>
  <c r="G413" i="2"/>
  <c r="F413" i="2"/>
  <c r="E413" i="2"/>
  <c r="D413" i="2"/>
  <c r="C413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J434" i="2"/>
  <c r="I434" i="2"/>
  <c r="H434" i="2"/>
  <c r="G434" i="2"/>
  <c r="F434" i="2"/>
  <c r="E434" i="2"/>
  <c r="D434" i="2"/>
  <c r="K433" i="2"/>
  <c r="J433" i="2"/>
  <c r="I433" i="2"/>
  <c r="H433" i="2"/>
  <c r="G433" i="2"/>
  <c r="F433" i="2"/>
  <c r="E433" i="2"/>
  <c r="D433" i="2"/>
  <c r="K432" i="2"/>
  <c r="J432" i="2"/>
  <c r="I432" i="2"/>
  <c r="H432" i="2"/>
  <c r="G432" i="2"/>
  <c r="F432" i="2"/>
  <c r="E432" i="2"/>
  <c r="D432" i="2"/>
  <c r="K431" i="2"/>
  <c r="J431" i="2"/>
  <c r="I431" i="2"/>
  <c r="H431" i="2"/>
  <c r="G431" i="2"/>
  <c r="F431" i="2"/>
  <c r="E431" i="2"/>
  <c r="D431" i="2"/>
  <c r="K430" i="2"/>
  <c r="J430" i="2"/>
  <c r="I430" i="2"/>
  <c r="H430" i="2"/>
  <c r="G430" i="2"/>
  <c r="F430" i="2"/>
  <c r="E430" i="2"/>
  <c r="D430" i="2"/>
  <c r="K429" i="2"/>
  <c r="J429" i="2"/>
  <c r="I429" i="2"/>
  <c r="H429" i="2"/>
  <c r="G429" i="2"/>
  <c r="F429" i="2"/>
  <c r="E429" i="2"/>
  <c r="D429" i="2"/>
  <c r="K428" i="2"/>
  <c r="J428" i="2"/>
  <c r="I428" i="2"/>
  <c r="H428" i="2"/>
  <c r="G428" i="2"/>
  <c r="F428" i="2"/>
  <c r="E428" i="2"/>
  <c r="D428" i="2"/>
  <c r="K427" i="2"/>
  <c r="J427" i="2"/>
  <c r="I427" i="2"/>
  <c r="H427" i="2"/>
  <c r="G427" i="2"/>
  <c r="F427" i="2"/>
  <c r="E427" i="2"/>
  <c r="D427" i="2"/>
  <c r="B438" i="2"/>
  <c r="B437" i="2"/>
  <c r="B436" i="2"/>
  <c r="B435" i="2"/>
  <c r="B434" i="2"/>
  <c r="B433" i="2"/>
  <c r="B432" i="2"/>
  <c r="B431" i="2"/>
  <c r="B430" i="2"/>
  <c r="B429" i="2"/>
  <c r="B428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K467" i="2"/>
  <c r="J467" i="2"/>
  <c r="I467" i="2"/>
  <c r="H467" i="2"/>
  <c r="G467" i="2"/>
  <c r="F467" i="2"/>
  <c r="E467" i="2"/>
  <c r="D467" i="2"/>
  <c r="K466" i="2"/>
  <c r="J466" i="2"/>
  <c r="I466" i="2"/>
  <c r="H466" i="2"/>
  <c r="G466" i="2"/>
  <c r="F466" i="2"/>
  <c r="E466" i="2"/>
  <c r="D466" i="2"/>
  <c r="K465" i="2"/>
  <c r="J465" i="2"/>
  <c r="I465" i="2"/>
  <c r="H465" i="2"/>
  <c r="G465" i="2"/>
  <c r="F465" i="2"/>
  <c r="E465" i="2"/>
  <c r="D465" i="2"/>
  <c r="K464" i="2"/>
  <c r="J464" i="2"/>
  <c r="I464" i="2"/>
  <c r="H464" i="2"/>
  <c r="G464" i="2"/>
  <c r="F464" i="2"/>
  <c r="E464" i="2"/>
  <c r="D464" i="2"/>
  <c r="K463" i="2"/>
  <c r="J463" i="2"/>
  <c r="I463" i="2"/>
  <c r="H463" i="2"/>
  <c r="G463" i="2"/>
  <c r="F463" i="2"/>
  <c r="E463" i="2"/>
  <c r="D463" i="2"/>
  <c r="K462" i="2"/>
  <c r="J462" i="2"/>
  <c r="I462" i="2"/>
  <c r="H462" i="2"/>
  <c r="G462" i="2"/>
  <c r="F462" i="2"/>
  <c r="E462" i="2"/>
  <c r="D462" i="2"/>
  <c r="K461" i="2"/>
  <c r="J461" i="2"/>
  <c r="I461" i="2"/>
  <c r="H461" i="2"/>
  <c r="G461" i="2"/>
  <c r="F461" i="2"/>
  <c r="E461" i="2"/>
  <c r="D461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K495" i="2"/>
  <c r="J495" i="2"/>
  <c r="I495" i="2"/>
  <c r="H495" i="2"/>
  <c r="G495" i="2"/>
  <c r="F495" i="2"/>
  <c r="E495" i="2"/>
  <c r="D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B483" i="2"/>
  <c r="B469" i="2"/>
  <c r="B455" i="2"/>
  <c r="B440" i="2"/>
  <c r="B427" i="2"/>
  <c r="B413" i="2"/>
  <c r="B400" i="2"/>
  <c r="B388" i="2"/>
  <c r="B375" i="2"/>
  <c r="B364" i="2"/>
  <c r="B351" i="2"/>
  <c r="B338" i="2"/>
  <c r="B325" i="2"/>
  <c r="B314" i="2"/>
  <c r="B292" i="2"/>
  <c r="B284" i="2"/>
  <c r="B272" i="2"/>
  <c r="B259" i="2"/>
  <c r="B249" i="2"/>
  <c r="B235" i="2"/>
  <c r="B211" i="2"/>
  <c r="B197" i="2"/>
  <c r="B168" i="2"/>
  <c r="B153" i="2"/>
  <c r="B140" i="2"/>
  <c r="B126" i="2"/>
  <c r="B113" i="2"/>
  <c r="B86" i="2"/>
  <c r="K84" i="2"/>
  <c r="J84" i="2"/>
  <c r="I84" i="2"/>
  <c r="H84" i="2"/>
  <c r="G84" i="2"/>
  <c r="F84" i="2"/>
  <c r="E84" i="2"/>
  <c r="D84" i="2"/>
  <c r="K83" i="2"/>
  <c r="J83" i="2"/>
  <c r="I83" i="2"/>
  <c r="H83" i="2"/>
  <c r="G83" i="2"/>
  <c r="F83" i="2"/>
  <c r="E83" i="2"/>
  <c r="D83" i="2"/>
  <c r="K82" i="2"/>
  <c r="J82" i="2"/>
  <c r="I82" i="2"/>
  <c r="H82" i="2"/>
  <c r="G82" i="2"/>
  <c r="F82" i="2"/>
  <c r="E82" i="2"/>
  <c r="D82" i="2"/>
  <c r="K81" i="2"/>
  <c r="J81" i="2"/>
  <c r="I81" i="2"/>
  <c r="H81" i="2"/>
  <c r="G81" i="2"/>
  <c r="F81" i="2"/>
  <c r="E81" i="2"/>
  <c r="D81" i="2"/>
  <c r="K80" i="2"/>
  <c r="J80" i="2"/>
  <c r="I80" i="2"/>
  <c r="H80" i="2"/>
  <c r="G80" i="2"/>
  <c r="F80" i="2"/>
  <c r="E80" i="2"/>
  <c r="D80" i="2"/>
  <c r="K79" i="2"/>
  <c r="J79" i="2"/>
  <c r="I79" i="2"/>
  <c r="C79" i="2" s="1"/>
  <c r="L79" i="2" s="1"/>
  <c r="H79" i="2"/>
  <c r="G79" i="2"/>
  <c r="F79" i="2"/>
  <c r="E79" i="2"/>
  <c r="D79" i="2"/>
  <c r="K78" i="2"/>
  <c r="J78" i="2"/>
  <c r="I78" i="2"/>
  <c r="H78" i="2"/>
  <c r="G78" i="2"/>
  <c r="F78" i="2"/>
  <c r="E78" i="2"/>
  <c r="D78" i="2"/>
  <c r="K77" i="2"/>
  <c r="J77" i="2"/>
  <c r="I77" i="2"/>
  <c r="H77" i="2"/>
  <c r="G77" i="2"/>
  <c r="F77" i="2"/>
  <c r="E77" i="2"/>
  <c r="D77" i="2"/>
  <c r="K76" i="2"/>
  <c r="J76" i="2"/>
  <c r="I76" i="2"/>
  <c r="H76" i="2"/>
  <c r="G76" i="2"/>
  <c r="F76" i="2"/>
  <c r="E76" i="2"/>
  <c r="D76" i="2"/>
  <c r="K75" i="2"/>
  <c r="J75" i="2"/>
  <c r="I75" i="2"/>
  <c r="H75" i="2"/>
  <c r="G75" i="2"/>
  <c r="F75" i="2"/>
  <c r="E75" i="2"/>
  <c r="D75" i="2"/>
  <c r="K74" i="2"/>
  <c r="J74" i="2"/>
  <c r="I74" i="2"/>
  <c r="H74" i="2"/>
  <c r="G74" i="2"/>
  <c r="F74" i="2"/>
  <c r="E74" i="2"/>
  <c r="D74" i="2"/>
  <c r="K73" i="2"/>
  <c r="J73" i="2"/>
  <c r="I73" i="2"/>
  <c r="H73" i="2"/>
  <c r="G73" i="2"/>
  <c r="F73" i="2"/>
  <c r="E73" i="2"/>
  <c r="D73" i="2"/>
  <c r="K72" i="2"/>
  <c r="J72" i="2"/>
  <c r="I72" i="2"/>
  <c r="H72" i="2"/>
  <c r="G72" i="2"/>
  <c r="F72" i="2"/>
  <c r="E72" i="2"/>
  <c r="D72" i="2"/>
  <c r="K71" i="2"/>
  <c r="J71" i="2"/>
  <c r="I71" i="2"/>
  <c r="C71" i="2" s="1"/>
  <c r="L71" i="2" s="1"/>
  <c r="H71" i="2"/>
  <c r="G71" i="2"/>
  <c r="F71" i="2"/>
  <c r="E71" i="2"/>
  <c r="D71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K68" i="2"/>
  <c r="J68" i="2"/>
  <c r="I68" i="2"/>
  <c r="H68" i="2"/>
  <c r="G68" i="2"/>
  <c r="F68" i="2"/>
  <c r="E68" i="2"/>
  <c r="D68" i="2"/>
  <c r="K67" i="2"/>
  <c r="J67" i="2"/>
  <c r="I67" i="2"/>
  <c r="H67" i="2"/>
  <c r="G67" i="2"/>
  <c r="F67" i="2"/>
  <c r="E67" i="2"/>
  <c r="D67" i="2"/>
  <c r="K66" i="2"/>
  <c r="J66" i="2"/>
  <c r="I66" i="2"/>
  <c r="H66" i="2"/>
  <c r="G66" i="2"/>
  <c r="F66" i="2"/>
  <c r="E66" i="2"/>
  <c r="D66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K64" i="2"/>
  <c r="J64" i="2"/>
  <c r="I64" i="2"/>
  <c r="H64" i="2"/>
  <c r="G64" i="2"/>
  <c r="F64" i="2"/>
  <c r="E64" i="2"/>
  <c r="D64" i="2"/>
  <c r="K63" i="2"/>
  <c r="J63" i="2"/>
  <c r="I63" i="2"/>
  <c r="H63" i="2"/>
  <c r="G63" i="2"/>
  <c r="F63" i="2"/>
  <c r="E63" i="2"/>
  <c r="D63" i="2"/>
  <c r="K62" i="2"/>
  <c r="J62" i="2"/>
  <c r="I62" i="2"/>
  <c r="H62" i="2"/>
  <c r="G62" i="2"/>
  <c r="F62" i="2"/>
  <c r="E62" i="2"/>
  <c r="D62" i="2"/>
  <c r="K61" i="2"/>
  <c r="J61" i="2"/>
  <c r="I61" i="2"/>
  <c r="H61" i="2"/>
  <c r="G61" i="2"/>
  <c r="F61" i="2"/>
  <c r="E61" i="2"/>
  <c r="D61" i="2"/>
  <c r="K60" i="2"/>
  <c r="J60" i="2"/>
  <c r="I60" i="2"/>
  <c r="H60" i="2"/>
  <c r="G60" i="2"/>
  <c r="F60" i="2"/>
  <c r="E60" i="2"/>
  <c r="D60" i="2"/>
  <c r="K59" i="2"/>
  <c r="J59" i="2"/>
  <c r="I59" i="2"/>
  <c r="H59" i="2"/>
  <c r="G59" i="2"/>
  <c r="F59" i="2"/>
  <c r="E59" i="2"/>
  <c r="D59" i="2"/>
  <c r="K58" i="2"/>
  <c r="J58" i="2"/>
  <c r="I58" i="2"/>
  <c r="H58" i="2"/>
  <c r="G58" i="2"/>
  <c r="F58" i="2"/>
  <c r="E58" i="2"/>
  <c r="D58" i="2"/>
  <c r="K57" i="2"/>
  <c r="J57" i="2"/>
  <c r="I57" i="2"/>
  <c r="H57" i="2"/>
  <c r="G57" i="2"/>
  <c r="F57" i="2"/>
  <c r="E57" i="2"/>
  <c r="D57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K54" i="2"/>
  <c r="J54" i="2"/>
  <c r="I54" i="2"/>
  <c r="H54" i="2"/>
  <c r="G54" i="2"/>
  <c r="F54" i="2"/>
  <c r="C54" i="2" s="1"/>
  <c r="L54" i="2" s="1"/>
  <c r="E54" i="2"/>
  <c r="D54" i="2"/>
  <c r="K53" i="2"/>
  <c r="J53" i="2"/>
  <c r="I53" i="2"/>
  <c r="H53" i="2"/>
  <c r="G53" i="2"/>
  <c r="F53" i="2"/>
  <c r="E53" i="2"/>
  <c r="D53" i="2"/>
  <c r="K52" i="2"/>
  <c r="J52" i="2"/>
  <c r="I52" i="2"/>
  <c r="H52" i="2"/>
  <c r="G52" i="2"/>
  <c r="F52" i="2"/>
  <c r="E52" i="2"/>
  <c r="D52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K50" i="2"/>
  <c r="J50" i="2"/>
  <c r="I50" i="2"/>
  <c r="H50" i="2"/>
  <c r="G50" i="2"/>
  <c r="F50" i="2"/>
  <c r="E50" i="2"/>
  <c r="D50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K47" i="2"/>
  <c r="J47" i="2"/>
  <c r="I47" i="2"/>
  <c r="H47" i="2"/>
  <c r="G47" i="2"/>
  <c r="F47" i="2"/>
  <c r="E47" i="2"/>
  <c r="D47" i="2"/>
  <c r="K46" i="2"/>
  <c r="J46" i="2"/>
  <c r="I46" i="2"/>
  <c r="H46" i="2"/>
  <c r="G46" i="2"/>
  <c r="F46" i="2"/>
  <c r="E46" i="2"/>
  <c r="D46" i="2"/>
  <c r="K45" i="2"/>
  <c r="J45" i="2"/>
  <c r="I45" i="2"/>
  <c r="H45" i="2"/>
  <c r="G45" i="2"/>
  <c r="F45" i="2"/>
  <c r="E45" i="2"/>
  <c r="D45" i="2"/>
  <c r="K44" i="2"/>
  <c r="J44" i="2"/>
  <c r="I44" i="2"/>
  <c r="H44" i="2"/>
  <c r="G44" i="2"/>
  <c r="F44" i="2"/>
  <c r="E44" i="2"/>
  <c r="D44" i="2"/>
  <c r="K43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K41" i="2"/>
  <c r="J41" i="2"/>
  <c r="I41" i="2"/>
  <c r="H41" i="2"/>
  <c r="G41" i="2"/>
  <c r="F41" i="2"/>
  <c r="E41" i="2"/>
  <c r="D41" i="2"/>
  <c r="K40" i="2"/>
  <c r="J40" i="2"/>
  <c r="I40" i="2"/>
  <c r="H40" i="2"/>
  <c r="G40" i="2"/>
  <c r="F40" i="2"/>
  <c r="E40" i="2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C31" i="2"/>
  <c r="C23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K19" i="2"/>
  <c r="J19" i="2"/>
  <c r="I19" i="2"/>
  <c r="H19" i="2"/>
  <c r="G19" i="2"/>
  <c r="F19" i="2"/>
  <c r="E19" i="2"/>
  <c r="D19" i="2"/>
  <c r="B19" i="2"/>
  <c r="C15" i="2"/>
  <c r="C6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C5" i="2"/>
  <c r="K3" i="2"/>
  <c r="J3" i="2"/>
  <c r="I3" i="2"/>
  <c r="H3" i="2"/>
  <c r="G3" i="2"/>
  <c r="F3" i="2"/>
  <c r="E3" i="2"/>
  <c r="E496" i="2" s="1"/>
  <c r="D3" i="2"/>
  <c r="B3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C471" i="2"/>
  <c r="C464" i="2"/>
  <c r="C456" i="2"/>
  <c r="C388" i="2"/>
  <c r="C379" i="2"/>
  <c r="C370" i="2"/>
  <c r="C354" i="2"/>
  <c r="C330" i="2"/>
  <c r="C320" i="2"/>
  <c r="C311" i="2"/>
  <c r="C303" i="2"/>
  <c r="C266" i="2"/>
  <c r="C257" i="2"/>
  <c r="C249" i="2"/>
  <c r="C217" i="2"/>
  <c r="C208" i="2"/>
  <c r="C200" i="2"/>
  <c r="C191" i="2"/>
  <c r="C183" i="2"/>
  <c r="C166" i="2"/>
  <c r="C158" i="2"/>
  <c r="C149" i="2"/>
  <c r="C141" i="2"/>
  <c r="C109" i="2"/>
  <c r="C101" i="2"/>
  <c r="C62" i="2"/>
  <c r="L62" i="2" s="1"/>
  <c r="C45" i="2" l="1"/>
  <c r="C52" i="2"/>
  <c r="C53" i="2"/>
  <c r="L53" i="2" s="1"/>
  <c r="C55" i="2"/>
  <c r="L55" i="2" s="1"/>
  <c r="C56" i="2"/>
  <c r="L56" i="2" s="1"/>
  <c r="C57" i="2"/>
  <c r="L57" i="2" s="1"/>
  <c r="C58" i="2"/>
  <c r="L58" i="2" s="1"/>
  <c r="C59" i="2"/>
  <c r="L59" i="2" s="1"/>
  <c r="C60" i="2"/>
  <c r="L60" i="2" s="1"/>
  <c r="C61" i="2"/>
  <c r="L61" i="2" s="1"/>
  <c r="C63" i="2"/>
  <c r="L63" i="2" s="1"/>
  <c r="C64" i="2"/>
  <c r="C477" i="2"/>
  <c r="C470" i="2"/>
  <c r="C478" i="2"/>
  <c r="C473" i="2"/>
  <c r="C481" i="2"/>
  <c r="C479" i="2"/>
  <c r="C455" i="2"/>
  <c r="C457" i="2"/>
  <c r="C458" i="2"/>
  <c r="C459" i="2"/>
  <c r="C460" i="2"/>
  <c r="C461" i="2"/>
  <c r="C462" i="2"/>
  <c r="C463" i="2"/>
  <c r="C465" i="2"/>
  <c r="C466" i="2"/>
  <c r="C447" i="2"/>
  <c r="C431" i="2"/>
  <c r="C407" i="2"/>
  <c r="C390" i="2"/>
  <c r="C397" i="2"/>
  <c r="C398" i="2"/>
  <c r="C375" i="2"/>
  <c r="C376" i="2"/>
  <c r="C377" i="2"/>
  <c r="C378" i="2"/>
  <c r="C380" i="2"/>
  <c r="C381" i="2"/>
  <c r="C382" i="2"/>
  <c r="C383" i="2"/>
  <c r="C384" i="2"/>
  <c r="C385" i="2"/>
  <c r="C386" i="2"/>
  <c r="C364" i="2"/>
  <c r="C365" i="2"/>
  <c r="C366" i="2"/>
  <c r="C367" i="2"/>
  <c r="C368" i="2"/>
  <c r="C369" i="2"/>
  <c r="C371" i="2"/>
  <c r="C372" i="2"/>
  <c r="C373" i="2"/>
  <c r="C362" i="2"/>
  <c r="C338" i="2"/>
  <c r="C346" i="2"/>
  <c r="C336" i="2"/>
  <c r="C314" i="2"/>
  <c r="C315" i="2"/>
  <c r="C316" i="2"/>
  <c r="C317" i="2"/>
  <c r="C318" i="2"/>
  <c r="C319" i="2"/>
  <c r="C321" i="2"/>
  <c r="C322" i="2"/>
  <c r="C323" i="2"/>
  <c r="C304" i="2"/>
  <c r="C305" i="2"/>
  <c r="C306" i="2"/>
  <c r="C307" i="2"/>
  <c r="C308" i="2"/>
  <c r="C309" i="2"/>
  <c r="C310" i="2"/>
  <c r="C312" i="2"/>
  <c r="C298" i="2"/>
  <c r="C286" i="2"/>
  <c r="C275" i="2"/>
  <c r="C259" i="2"/>
  <c r="C260" i="2"/>
  <c r="C261" i="2"/>
  <c r="C262" i="2"/>
  <c r="C263" i="2"/>
  <c r="C264" i="2"/>
  <c r="C265" i="2"/>
  <c r="C267" i="2"/>
  <c r="C268" i="2"/>
  <c r="C269" i="2"/>
  <c r="C270" i="2"/>
  <c r="C250" i="2"/>
  <c r="C251" i="2"/>
  <c r="C252" i="2"/>
  <c r="C253" i="2"/>
  <c r="C254" i="2"/>
  <c r="C255" i="2"/>
  <c r="C256" i="2"/>
  <c r="C235" i="2"/>
  <c r="C243" i="2"/>
  <c r="C226" i="2"/>
  <c r="C211" i="2"/>
  <c r="C212" i="2"/>
  <c r="C213" i="2"/>
  <c r="C214" i="2"/>
  <c r="C215" i="2"/>
  <c r="C216" i="2"/>
  <c r="C218" i="2"/>
  <c r="C219" i="2"/>
  <c r="C220" i="2"/>
  <c r="C221" i="2"/>
  <c r="C197" i="2"/>
  <c r="C198" i="2"/>
  <c r="C199" i="2"/>
  <c r="C201" i="2"/>
  <c r="C202" i="2"/>
  <c r="C203" i="2"/>
  <c r="C204" i="2"/>
  <c r="C205" i="2"/>
  <c r="C206" i="2"/>
  <c r="C207" i="2"/>
  <c r="C209" i="2"/>
  <c r="C168" i="2"/>
  <c r="C176" i="2"/>
  <c r="C153" i="2"/>
  <c r="C154" i="2"/>
  <c r="C155" i="2"/>
  <c r="C156" i="2"/>
  <c r="C157" i="2"/>
  <c r="C159" i="2"/>
  <c r="C160" i="2"/>
  <c r="C161" i="2"/>
  <c r="C162" i="2"/>
  <c r="C163" i="2"/>
  <c r="C164" i="2"/>
  <c r="C165" i="2"/>
  <c r="C140" i="2"/>
  <c r="C142" i="2"/>
  <c r="C143" i="2"/>
  <c r="C144" i="2"/>
  <c r="C145" i="2"/>
  <c r="C146" i="2"/>
  <c r="C147" i="2"/>
  <c r="C148" i="2"/>
  <c r="C150" i="2"/>
  <c r="C151" i="2"/>
  <c r="C127" i="2"/>
  <c r="C135" i="2"/>
  <c r="C116" i="2"/>
  <c r="C124" i="2"/>
  <c r="C100" i="2"/>
  <c r="C102" i="2"/>
  <c r="C103" i="2"/>
  <c r="C104" i="2"/>
  <c r="C105" i="2"/>
  <c r="C106" i="2"/>
  <c r="C107" i="2"/>
  <c r="C108" i="2"/>
  <c r="C110" i="2"/>
  <c r="C111" i="2"/>
  <c r="C89" i="2"/>
  <c r="C97" i="2"/>
  <c r="C4" i="2"/>
  <c r="C7" i="2"/>
  <c r="C8" i="2"/>
  <c r="C9" i="2"/>
  <c r="C10" i="2"/>
  <c r="C11" i="2"/>
  <c r="C12" i="2"/>
  <c r="C13" i="2"/>
  <c r="C14" i="2"/>
  <c r="C16" i="2"/>
  <c r="C17" i="2"/>
  <c r="C20" i="2"/>
  <c r="C21" i="2"/>
  <c r="C22" i="2"/>
  <c r="C24" i="2"/>
  <c r="C25" i="2"/>
  <c r="C26" i="2"/>
  <c r="C27" i="2"/>
  <c r="C28" i="2"/>
  <c r="C29" i="2"/>
  <c r="C30" i="2"/>
  <c r="C32" i="2"/>
  <c r="C33" i="2"/>
  <c r="C34" i="2"/>
  <c r="C35" i="2"/>
  <c r="C36" i="2"/>
  <c r="F496" i="2"/>
  <c r="C332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49" i="2"/>
  <c r="G496" i="2"/>
  <c r="L184" i="2"/>
  <c r="L186" i="2"/>
  <c r="L188" i="2"/>
  <c r="L189" i="2"/>
  <c r="L190" i="2"/>
  <c r="L191" i="2"/>
  <c r="H496" i="2"/>
  <c r="L326" i="2"/>
  <c r="L334" i="2"/>
  <c r="L314" i="2"/>
  <c r="L315" i="2"/>
  <c r="L316" i="2"/>
  <c r="L153" i="2"/>
  <c r="L154" i="2"/>
  <c r="L155" i="2"/>
  <c r="L156" i="2"/>
  <c r="L157" i="2"/>
  <c r="L158" i="2"/>
  <c r="L159" i="2"/>
  <c r="L160" i="2"/>
  <c r="I496" i="2"/>
  <c r="L395" i="2"/>
  <c r="L351" i="2"/>
  <c r="J496" i="2"/>
  <c r="C328" i="2"/>
  <c r="L116" i="2"/>
  <c r="L124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6" i="2"/>
  <c r="L14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195" i="2"/>
  <c r="K496" i="2"/>
  <c r="L389" i="2"/>
  <c r="L397" i="2"/>
  <c r="D496" i="2"/>
  <c r="C484" i="2"/>
  <c r="C485" i="2"/>
  <c r="C486" i="2"/>
  <c r="C487" i="2"/>
  <c r="C488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16" i="2"/>
  <c r="L424" i="2"/>
  <c r="L390" i="2"/>
  <c r="L398" i="2"/>
  <c r="L338" i="2"/>
  <c r="L475" i="2"/>
  <c r="C427" i="2"/>
  <c r="C428" i="2"/>
  <c r="C429" i="2"/>
  <c r="L418" i="2"/>
  <c r="L392" i="2"/>
  <c r="L364" i="2"/>
  <c r="L365" i="2"/>
  <c r="L366" i="2"/>
  <c r="L367" i="2"/>
  <c r="L368" i="2"/>
  <c r="L369" i="2"/>
  <c r="L370" i="2"/>
  <c r="L371" i="2"/>
  <c r="L372" i="2"/>
  <c r="L373" i="2"/>
  <c r="L329" i="2"/>
  <c r="C325" i="2"/>
  <c r="C326" i="2"/>
  <c r="L296" i="2"/>
  <c r="L298" i="2"/>
  <c r="L272" i="2"/>
  <c r="L273" i="2"/>
  <c r="L274" i="2"/>
  <c r="L275" i="2"/>
  <c r="L276" i="2"/>
  <c r="L277" i="2"/>
  <c r="L278" i="2"/>
  <c r="L279" i="2"/>
  <c r="L280" i="2"/>
  <c r="L281" i="2"/>
  <c r="L282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168" i="2"/>
  <c r="C169" i="2"/>
  <c r="C170" i="2"/>
  <c r="C171" i="2"/>
  <c r="C172" i="2"/>
  <c r="C173" i="2"/>
  <c r="C174" i="2"/>
  <c r="C175" i="2"/>
  <c r="L176" i="2"/>
  <c r="C177" i="2"/>
  <c r="C178" i="2"/>
  <c r="C179" i="2"/>
  <c r="C180" i="2"/>
  <c r="C181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C86" i="2"/>
  <c r="L45" i="2"/>
  <c r="L46" i="2"/>
  <c r="C66" i="2"/>
  <c r="L66" i="2" s="1"/>
  <c r="C67" i="2"/>
  <c r="L67" i="2" s="1"/>
  <c r="C68" i="2"/>
  <c r="L68" i="2" s="1"/>
  <c r="C69" i="2"/>
  <c r="L69" i="2" s="1"/>
  <c r="C70" i="2"/>
  <c r="L70" i="2" s="1"/>
  <c r="C72" i="2"/>
  <c r="L72" i="2" s="1"/>
  <c r="C73" i="2"/>
  <c r="L73" i="2" s="1"/>
  <c r="C74" i="2"/>
  <c r="L74" i="2" s="1"/>
  <c r="L419" i="2"/>
  <c r="L393" i="2"/>
  <c r="L330" i="2"/>
  <c r="L4" i="2"/>
  <c r="C387" i="2"/>
  <c r="T13" i="6" s="1"/>
  <c r="C426" i="2"/>
  <c r="T32" i="6" s="1"/>
  <c r="L420" i="2"/>
  <c r="L401" i="2"/>
  <c r="L402" i="2"/>
  <c r="L403" i="2"/>
  <c r="L404" i="2"/>
  <c r="L405" i="2"/>
  <c r="L407" i="2"/>
  <c r="L409" i="2"/>
  <c r="L410" i="2"/>
  <c r="L411" i="2"/>
  <c r="L394" i="2"/>
  <c r="L331" i="2"/>
  <c r="C272" i="2"/>
  <c r="C273" i="2"/>
  <c r="C274" i="2"/>
  <c r="C276" i="2"/>
  <c r="C277" i="2"/>
  <c r="C278" i="2"/>
  <c r="C279" i="2"/>
  <c r="C280" i="2"/>
  <c r="C281" i="2"/>
  <c r="C282" i="2"/>
  <c r="C223" i="2"/>
  <c r="C224" i="2"/>
  <c r="C225" i="2"/>
  <c r="L226" i="2"/>
  <c r="C227" i="2"/>
  <c r="C228" i="2"/>
  <c r="C229" i="2"/>
  <c r="C230" i="2"/>
  <c r="L470" i="2"/>
  <c r="L478" i="2"/>
  <c r="C472" i="2"/>
  <c r="L440" i="2"/>
  <c r="L441" i="2"/>
  <c r="L444" i="2"/>
  <c r="L445" i="2"/>
  <c r="L446" i="2"/>
  <c r="L447" i="2"/>
  <c r="L448" i="2"/>
  <c r="L449" i="2"/>
  <c r="L452" i="2"/>
  <c r="L453" i="2"/>
  <c r="L413" i="2"/>
  <c r="L421" i="2"/>
  <c r="L352" i="2"/>
  <c r="L353" i="2"/>
  <c r="L354" i="2"/>
  <c r="L357" i="2"/>
  <c r="L358" i="2"/>
  <c r="L359" i="2"/>
  <c r="L360" i="2"/>
  <c r="L361" i="2"/>
  <c r="L362" i="2"/>
  <c r="C334" i="2"/>
  <c r="L332" i="2"/>
  <c r="L250" i="2"/>
  <c r="L251" i="2"/>
  <c r="L252" i="2"/>
  <c r="L253" i="2"/>
  <c r="L254" i="2"/>
  <c r="L255" i="2"/>
  <c r="L256" i="2"/>
  <c r="L257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414" i="2"/>
  <c r="L422" i="2"/>
  <c r="L388" i="2"/>
  <c r="L396" i="2"/>
  <c r="L325" i="2"/>
  <c r="L333" i="2"/>
  <c r="L211" i="2"/>
  <c r="L212" i="2"/>
  <c r="L213" i="2"/>
  <c r="L214" i="2"/>
  <c r="L215" i="2"/>
  <c r="L216" i="2"/>
  <c r="L217" i="2"/>
  <c r="L218" i="2"/>
  <c r="L219" i="2"/>
  <c r="L220" i="2"/>
  <c r="L221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92" i="2"/>
  <c r="L194" i="2"/>
  <c r="L472" i="2"/>
  <c r="L415" i="2"/>
  <c r="L423" i="2"/>
  <c r="L317" i="2"/>
  <c r="L318" i="2"/>
  <c r="L319" i="2"/>
  <c r="L320" i="2"/>
  <c r="L321" i="2"/>
  <c r="L322" i="2"/>
  <c r="L323" i="2"/>
  <c r="L161" i="2"/>
  <c r="L162" i="2"/>
  <c r="L163" i="2"/>
  <c r="L164" i="2"/>
  <c r="L165" i="2"/>
  <c r="L166" i="2"/>
  <c r="L185" i="2"/>
  <c r="L187" i="2"/>
  <c r="L193" i="2"/>
  <c r="C339" i="2"/>
  <c r="C340" i="2"/>
  <c r="C341" i="2"/>
  <c r="C342" i="2"/>
  <c r="C343" i="2"/>
  <c r="C344" i="2"/>
  <c r="C345" i="2"/>
  <c r="L346" i="2"/>
  <c r="C347" i="2"/>
  <c r="L348" i="2"/>
  <c r="C327" i="2"/>
  <c r="L335" i="2"/>
  <c r="L284" i="2"/>
  <c r="L285" i="2"/>
  <c r="L286" i="2"/>
  <c r="L287" i="2"/>
  <c r="L288" i="2"/>
  <c r="L289" i="2"/>
  <c r="L290" i="2"/>
  <c r="L417" i="2"/>
  <c r="L425" i="2"/>
  <c r="L391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28" i="2"/>
  <c r="L336" i="2"/>
  <c r="L303" i="2"/>
  <c r="L304" i="2"/>
  <c r="L305" i="2"/>
  <c r="L306" i="2"/>
  <c r="L307" i="2"/>
  <c r="L308" i="2"/>
  <c r="L309" i="2"/>
  <c r="L310" i="2"/>
  <c r="L311" i="2"/>
  <c r="L312" i="2"/>
  <c r="L235" i="2"/>
  <c r="L243" i="2"/>
  <c r="L36" i="2"/>
  <c r="C65" i="2"/>
  <c r="T29" i="7" s="1"/>
  <c r="L52" i="2"/>
  <c r="L3" i="2"/>
  <c r="L476" i="2"/>
  <c r="L64" i="2"/>
  <c r="L469" i="2"/>
  <c r="L477" i="2"/>
  <c r="C374" i="2"/>
  <c r="T7" i="6" s="1"/>
  <c r="L471" i="2"/>
  <c r="L479" i="2"/>
  <c r="C38" i="2"/>
  <c r="L38" i="2"/>
  <c r="C39" i="2"/>
  <c r="L39" i="2"/>
  <c r="C40" i="2"/>
  <c r="L40" i="2"/>
  <c r="C41" i="2"/>
  <c r="L41" i="2"/>
  <c r="C42" i="2"/>
  <c r="L42" i="2"/>
  <c r="C43" i="2"/>
  <c r="L43" i="2"/>
  <c r="C44" i="2"/>
  <c r="L44" i="2"/>
  <c r="C47" i="2"/>
  <c r="L47" i="2"/>
  <c r="C48" i="2"/>
  <c r="L48" i="2"/>
  <c r="C49" i="2"/>
  <c r="L49" i="2"/>
  <c r="C50" i="2"/>
  <c r="L50" i="2"/>
  <c r="C75" i="2"/>
  <c r="L75" i="2" s="1"/>
  <c r="C76" i="2"/>
  <c r="L76" i="2" s="1"/>
  <c r="C77" i="2"/>
  <c r="L77" i="2" s="1"/>
  <c r="C78" i="2"/>
  <c r="L78" i="2" s="1"/>
  <c r="C80" i="2"/>
  <c r="L80" i="2" s="1"/>
  <c r="C81" i="2"/>
  <c r="L81" i="2" s="1"/>
  <c r="C82" i="2"/>
  <c r="L82" i="2" s="1"/>
  <c r="C83" i="2"/>
  <c r="L83" i="2" s="1"/>
  <c r="C84" i="2"/>
  <c r="L84" i="2"/>
  <c r="L480" i="2"/>
  <c r="L19" i="2"/>
  <c r="L483" i="2"/>
  <c r="L484" i="2"/>
  <c r="L485" i="2"/>
  <c r="L486" i="2"/>
  <c r="L487" i="2"/>
  <c r="L488" i="2"/>
  <c r="C489" i="2"/>
  <c r="L489" i="2"/>
  <c r="C490" i="2"/>
  <c r="L490" i="2"/>
  <c r="C491" i="2"/>
  <c r="L491" i="2"/>
  <c r="L473" i="2"/>
  <c r="L481" i="2"/>
  <c r="L474" i="2"/>
  <c r="C492" i="2"/>
  <c r="C493" i="2"/>
  <c r="C494" i="2"/>
  <c r="C495" i="2"/>
  <c r="C467" i="2"/>
  <c r="C331" i="2"/>
  <c r="C236" i="2"/>
  <c r="C237" i="2"/>
  <c r="C238" i="2"/>
  <c r="C239" i="2"/>
  <c r="C240" i="2"/>
  <c r="C241" i="2"/>
  <c r="C242" i="2"/>
  <c r="C244" i="2"/>
  <c r="C245" i="2"/>
  <c r="C246" i="2"/>
  <c r="C247" i="2"/>
  <c r="C113" i="2"/>
  <c r="C114" i="2"/>
  <c r="C115" i="2"/>
  <c r="C117" i="2"/>
  <c r="C118" i="2"/>
  <c r="C119" i="2"/>
  <c r="C120" i="2"/>
  <c r="C121" i="2"/>
  <c r="C122" i="2"/>
  <c r="C123" i="2"/>
  <c r="L118" i="2"/>
  <c r="L170" i="2"/>
  <c r="L178" i="2"/>
  <c r="L340" i="2"/>
  <c r="L495" i="2"/>
  <c r="C348" i="2"/>
  <c r="C349" i="2"/>
  <c r="C292" i="2"/>
  <c r="C293" i="2"/>
  <c r="C294" i="2"/>
  <c r="C295" i="2"/>
  <c r="C296" i="2"/>
  <c r="C297" i="2"/>
  <c r="C299" i="2"/>
  <c r="C300" i="2"/>
  <c r="C301" i="2"/>
  <c r="C87" i="2"/>
  <c r="C88" i="2"/>
  <c r="C90" i="2"/>
  <c r="C91" i="2"/>
  <c r="C92" i="2"/>
  <c r="C93" i="2"/>
  <c r="C94" i="2"/>
  <c r="C95" i="2"/>
  <c r="C96" i="2"/>
  <c r="C98" i="2"/>
  <c r="L10" i="2"/>
  <c r="L11" i="2"/>
  <c r="L16" i="2"/>
  <c r="L119" i="2"/>
  <c r="L171" i="2"/>
  <c r="L179" i="2"/>
  <c r="L183" i="2"/>
  <c r="L227" i="2"/>
  <c r="L236" i="2"/>
  <c r="L244" i="2"/>
  <c r="L297" i="2"/>
  <c r="L341" i="2"/>
  <c r="L349" i="2"/>
  <c r="C333" i="2"/>
  <c r="L120" i="2"/>
  <c r="L172" i="2"/>
  <c r="L180" i="2"/>
  <c r="L228" i="2"/>
  <c r="L237" i="2"/>
  <c r="L245" i="2"/>
  <c r="L342" i="2"/>
  <c r="C430" i="2"/>
  <c r="C432" i="2"/>
  <c r="C433" i="2"/>
  <c r="C434" i="2"/>
  <c r="C435" i="2"/>
  <c r="C436" i="2"/>
  <c r="C437" i="2"/>
  <c r="C438" i="2"/>
  <c r="C231" i="2"/>
  <c r="C232" i="2"/>
  <c r="C233" i="2"/>
  <c r="L5" i="2"/>
  <c r="L7" i="2"/>
  <c r="L8" i="2"/>
  <c r="L9" i="2"/>
  <c r="L12" i="2"/>
  <c r="L13" i="2"/>
  <c r="L15" i="2"/>
  <c r="L17" i="2"/>
  <c r="L113" i="2"/>
  <c r="L121" i="2"/>
  <c r="L173" i="2"/>
  <c r="L181" i="2"/>
  <c r="L229" i="2"/>
  <c r="L238" i="2"/>
  <c r="L246" i="2"/>
  <c r="L299" i="2"/>
  <c r="L343" i="2"/>
  <c r="C335" i="2"/>
  <c r="L114" i="2"/>
  <c r="L122" i="2"/>
  <c r="L174" i="2"/>
  <c r="L230" i="2"/>
  <c r="L239" i="2"/>
  <c r="L247" i="2"/>
  <c r="L292" i="2"/>
  <c r="L300" i="2"/>
  <c r="L327" i="2"/>
  <c r="L344" i="2"/>
  <c r="C480" i="2"/>
  <c r="C400" i="2"/>
  <c r="C401" i="2"/>
  <c r="C402" i="2"/>
  <c r="C403" i="2"/>
  <c r="C404" i="2"/>
  <c r="C405" i="2"/>
  <c r="C406" i="2"/>
  <c r="C408" i="2"/>
  <c r="C409" i="2"/>
  <c r="C410" i="2"/>
  <c r="C411" i="2"/>
  <c r="L115" i="2"/>
  <c r="L123" i="2"/>
  <c r="L175" i="2"/>
  <c r="L223" i="2"/>
  <c r="L231" i="2"/>
  <c r="L240" i="2"/>
  <c r="L293" i="2"/>
  <c r="L301" i="2"/>
  <c r="L345" i="2"/>
  <c r="L406" i="2"/>
  <c r="L492" i="2"/>
  <c r="C440" i="2"/>
  <c r="C441" i="2"/>
  <c r="C442" i="2"/>
  <c r="C443" i="2"/>
  <c r="C444" i="2"/>
  <c r="C445" i="2"/>
  <c r="C446" i="2"/>
  <c r="C448" i="2"/>
  <c r="C449" i="2"/>
  <c r="C450" i="2"/>
  <c r="C451" i="2"/>
  <c r="C452" i="2"/>
  <c r="C453" i="2"/>
  <c r="C351" i="2"/>
  <c r="C352" i="2"/>
  <c r="C353" i="2"/>
  <c r="C355" i="2"/>
  <c r="C356" i="2"/>
  <c r="C357" i="2"/>
  <c r="C358" i="2"/>
  <c r="C359" i="2"/>
  <c r="C360" i="2"/>
  <c r="C361" i="2"/>
  <c r="L224" i="2"/>
  <c r="L232" i="2"/>
  <c r="L241" i="2"/>
  <c r="L294" i="2"/>
  <c r="L355" i="2"/>
  <c r="L442" i="2"/>
  <c r="L450" i="2"/>
  <c r="L493" i="2"/>
  <c r="C389" i="2"/>
  <c r="C392" i="2"/>
  <c r="C393" i="2"/>
  <c r="C394" i="2"/>
  <c r="C395" i="2"/>
  <c r="C396" i="2"/>
  <c r="C284" i="2"/>
  <c r="C285" i="2"/>
  <c r="C287" i="2"/>
  <c r="C288" i="2"/>
  <c r="C289" i="2"/>
  <c r="C290" i="2"/>
  <c r="C126" i="2"/>
  <c r="C128" i="2"/>
  <c r="C129" i="2"/>
  <c r="C130" i="2"/>
  <c r="C131" i="2"/>
  <c r="C132" i="2"/>
  <c r="C133" i="2"/>
  <c r="C134" i="2"/>
  <c r="C136" i="2"/>
  <c r="C137" i="2"/>
  <c r="C138" i="2"/>
  <c r="L117" i="2"/>
  <c r="L169" i="2"/>
  <c r="L177" i="2"/>
  <c r="L225" i="2"/>
  <c r="L233" i="2"/>
  <c r="L242" i="2"/>
  <c r="L295" i="2"/>
  <c r="L339" i="2"/>
  <c r="L347" i="2"/>
  <c r="L356" i="2"/>
  <c r="L400" i="2"/>
  <c r="L408" i="2"/>
  <c r="L443" i="2"/>
  <c r="L451" i="2"/>
  <c r="L494" i="2"/>
  <c r="C329" i="2"/>
  <c r="C391" i="2"/>
  <c r="C469" i="2"/>
  <c r="C474" i="2"/>
  <c r="C476" i="2"/>
  <c r="C475" i="2"/>
  <c r="C19" i="2"/>
  <c r="C37" i="2" s="1"/>
  <c r="C483" i="2"/>
  <c r="C399" i="2" l="1"/>
  <c r="T19" i="6" s="1"/>
  <c r="C363" i="2"/>
  <c r="C51" i="2"/>
  <c r="T22" i="7" s="1"/>
  <c r="C85" i="2"/>
  <c r="C412" i="2"/>
  <c r="T25" i="6" s="1"/>
  <c r="Q54" i="14"/>
  <c r="Q53" i="14"/>
  <c r="Q52" i="14"/>
  <c r="Q51" i="14"/>
  <c r="Q50" i="14"/>
  <c r="Q82" i="14"/>
  <c r="Q81" i="14"/>
  <c r="Q80" i="14"/>
  <c r="Q79" i="14"/>
  <c r="Q78" i="14"/>
  <c r="Q77" i="14"/>
  <c r="Q75" i="14"/>
  <c r="Q74" i="14"/>
  <c r="Q73" i="14"/>
  <c r="Q72" i="14"/>
  <c r="Q71" i="14"/>
  <c r="Q70" i="14"/>
  <c r="Q68" i="14"/>
  <c r="Q67" i="14"/>
  <c r="Q66" i="14"/>
  <c r="Q65" i="14"/>
  <c r="Q64" i="14"/>
  <c r="Q63" i="14"/>
  <c r="Q61" i="14"/>
  <c r="Q60" i="14"/>
  <c r="Q59" i="14"/>
  <c r="Q58" i="14"/>
  <c r="Q57" i="14"/>
  <c r="Q56" i="14"/>
  <c r="Q48" i="14"/>
  <c r="Q47" i="14"/>
  <c r="Q46" i="14"/>
  <c r="Q45" i="14"/>
  <c r="Q44" i="14"/>
  <c r="Q43" i="14"/>
  <c r="Q41" i="14"/>
  <c r="Q40" i="14"/>
  <c r="Q39" i="14"/>
  <c r="Q38" i="14"/>
  <c r="Q37" i="14"/>
  <c r="Q36" i="14"/>
  <c r="Q34" i="14"/>
  <c r="Q33" i="14"/>
  <c r="Q32" i="14"/>
  <c r="Q31" i="14"/>
  <c r="Q30" i="14"/>
  <c r="Q29" i="14"/>
  <c r="Q27" i="14"/>
  <c r="Q26" i="14"/>
  <c r="Q25" i="14"/>
  <c r="Q24" i="14"/>
  <c r="Q23" i="14"/>
  <c r="Q21" i="14"/>
  <c r="Q20" i="14"/>
  <c r="Q19" i="14"/>
  <c r="Q18" i="14"/>
  <c r="Q17" i="14"/>
  <c r="Q16" i="14"/>
  <c r="Q14" i="14"/>
  <c r="Q13" i="14"/>
  <c r="Q12" i="14"/>
  <c r="Q11" i="14"/>
  <c r="Q10" i="14"/>
  <c r="Q9" i="14"/>
  <c r="Q7" i="14"/>
  <c r="Q6" i="14"/>
  <c r="Q5" i="14"/>
  <c r="Q4" i="14"/>
  <c r="Q3" i="14"/>
  <c r="Q2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P7" i="14"/>
  <c r="O7" i="14"/>
  <c r="N7" i="14"/>
  <c r="M7" i="14"/>
  <c r="L7" i="14"/>
  <c r="K7" i="14"/>
  <c r="J7" i="14"/>
  <c r="I7" i="14"/>
  <c r="H7" i="14"/>
  <c r="G7" i="14"/>
  <c r="F7" i="14"/>
  <c r="E7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C3" i="2" l="1"/>
  <c r="C18" i="2" s="1"/>
  <c r="N92" i="4" l="1"/>
  <c r="M92" i="4"/>
  <c r="L92" i="4"/>
  <c r="K92" i="4"/>
  <c r="J92" i="4"/>
  <c r="I92" i="4"/>
  <c r="H92" i="4"/>
  <c r="G92" i="4"/>
  <c r="F92" i="4"/>
  <c r="E92" i="4"/>
  <c r="O92" i="4" l="1"/>
  <c r="N82" i="4"/>
  <c r="M82" i="4"/>
  <c r="L82" i="4"/>
  <c r="K82" i="4"/>
  <c r="J82" i="4"/>
  <c r="I82" i="4"/>
  <c r="H82" i="4"/>
  <c r="G82" i="4"/>
  <c r="F82" i="4"/>
  <c r="E82" i="4"/>
  <c r="N72" i="4"/>
  <c r="M72" i="4"/>
  <c r="L72" i="4"/>
  <c r="K72" i="4"/>
  <c r="J72" i="4"/>
  <c r="I72" i="4"/>
  <c r="H72" i="4"/>
  <c r="G72" i="4"/>
  <c r="F72" i="4"/>
  <c r="E72" i="4"/>
  <c r="O72" i="4" l="1"/>
  <c r="O82" i="4"/>
</calcChain>
</file>

<file path=xl/sharedStrings.xml><?xml version="1.0" encoding="utf-8"?>
<sst xmlns="http://schemas.openxmlformats.org/spreadsheetml/2006/main" count="6471" uniqueCount="139">
  <si>
    <t>JOB</t>
  </si>
  <si>
    <t>revia</t>
  </si>
  <si>
    <t>geresh</t>
  </si>
  <si>
    <t>ole</t>
  </si>
  <si>
    <t>tsinnor</t>
  </si>
  <si>
    <t>pazer</t>
  </si>
  <si>
    <t>qadma</t>
  </si>
  <si>
    <t>PSALMS</t>
  </si>
  <si>
    <t>azla</t>
  </si>
  <si>
    <t>zarqa</t>
  </si>
  <si>
    <t>revia-mugrash</t>
  </si>
  <si>
    <t>shalshelet</t>
  </si>
  <si>
    <t>PROVERBS</t>
  </si>
  <si>
    <t>Total</t>
  </si>
  <si>
    <t>d</t>
  </si>
  <si>
    <t>e</t>
  </si>
  <si>
    <t>f</t>
  </si>
  <si>
    <t>g</t>
  </si>
  <si>
    <t>A</t>
  </si>
  <si>
    <t>B</t>
  </si>
  <si>
    <t>C</t>
  </si>
  <si>
    <t>GENESIS</t>
  </si>
  <si>
    <t>segol</t>
  </si>
  <si>
    <t>tarsin</t>
  </si>
  <si>
    <t>pashta</t>
  </si>
  <si>
    <t>EXODUS</t>
  </si>
  <si>
    <t>LEVITICUS</t>
  </si>
  <si>
    <t>NUMBERS</t>
  </si>
  <si>
    <t>DEUTERONOMY</t>
  </si>
  <si>
    <t>JOSHUA</t>
  </si>
  <si>
    <t>JUDGES</t>
  </si>
  <si>
    <t>1 SAMUEL</t>
  </si>
  <si>
    <t>2 SAMUEL</t>
  </si>
  <si>
    <t>1 KINGS</t>
  </si>
  <si>
    <t>2 KINGS</t>
  </si>
  <si>
    <t>ISAIAH</t>
  </si>
  <si>
    <t>JEREMIAH</t>
  </si>
  <si>
    <t>EZEKIEL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</si>
  <si>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</si>
  <si>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</si>
  <si>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</si>
  <si>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</si>
  <si>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</si>
  <si>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</si>
  <si>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</si>
  <si>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</si>
  <si>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</si>
  <si>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</si>
  <si>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</si>
  <si>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</si>
  <si>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SONG</t>
  </si>
  <si>
    <t>RUTH</t>
  </si>
  <si>
    <t>LAMENTATIONS</t>
  </si>
  <si>
    <t>QOHELET</t>
  </si>
  <si>
    <t>ESTHER</t>
  </si>
  <si>
    <t>DANIEL</t>
  </si>
  <si>
    <t>EZRA</t>
  </si>
  <si>
    <t>NEHEMIAH</t>
  </si>
  <si>
    <t>1 CHRONICLES</t>
  </si>
  <si>
    <t>2 CHRONICLES</t>
  </si>
  <si>
    <t>c</t>
  </si>
  <si>
    <t>z-gadol pashta</t>
  </si>
  <si>
    <t>pashta pashta</t>
  </si>
  <si>
    <t>telisha-gedola</t>
  </si>
  <si>
    <t>telisha-qetana</t>
  </si>
  <si>
    <t>zaqef-gadol</t>
  </si>
  <si>
    <t>zaqef-qatan</t>
  </si>
  <si>
    <t>pazer azla</t>
  </si>
  <si>
    <t>z-qatan tsinnor</t>
  </si>
  <si>
    <t>pazer z-qatan</t>
  </si>
  <si>
    <t>azla pashta</t>
  </si>
  <si>
    <t>z-qatan azla</t>
  </si>
  <si>
    <t>qarne-farah</t>
  </si>
  <si>
    <t>revia z-qatan</t>
  </si>
  <si>
    <t>azla t-qatana</t>
  </si>
  <si>
    <t>revia pazer</t>
  </si>
  <si>
    <t>tarsin revia</t>
  </si>
  <si>
    <t>azla z-qatan</t>
  </si>
  <si>
    <t>geresh t-gedola</t>
  </si>
  <si>
    <t>1 syllable</t>
  </si>
  <si>
    <t>ornaments on</t>
  </si>
  <si>
    <t>Sequence is by frequency of occurrence on all recitation pitches</t>
  </si>
  <si>
    <t>POETRY</t>
  </si>
  <si>
    <t>PROSE</t>
  </si>
  <si>
    <t>illuy</t>
  </si>
  <si>
    <t>D4</t>
  </si>
  <si>
    <t>E4</t>
  </si>
  <si>
    <t>F4</t>
  </si>
  <si>
    <t>A4</t>
  </si>
  <si>
    <t>C5</t>
  </si>
  <si>
    <t>G4</t>
  </si>
  <si>
    <t>B4</t>
  </si>
  <si>
    <t>rev-mugr</t>
  </si>
  <si>
    <t>book-seq</t>
  </si>
  <si>
    <t>Book</t>
  </si>
  <si>
    <t>pitch</t>
  </si>
  <si>
    <t>degree</t>
  </si>
  <si>
    <t>shv mode</t>
  </si>
  <si>
    <t>Total ornaments for each note  -- by mode</t>
  </si>
  <si>
    <t>Psalm totals by mode used</t>
  </si>
  <si>
    <t>book seq</t>
  </si>
  <si>
    <t>book</t>
  </si>
  <si>
    <t>note</t>
  </si>
  <si>
    <t>Psalms of Korah</t>
  </si>
  <si>
    <t>Psalms of David</t>
  </si>
  <si>
    <t>Psalms of Asaph</t>
  </si>
  <si>
    <t>Shalshelet</t>
  </si>
  <si>
    <t>Qadma</t>
  </si>
  <si>
    <t>Segol</t>
  </si>
  <si>
    <t>Tsinnor</t>
  </si>
  <si>
    <t>Qarne</t>
  </si>
  <si>
    <t>Telisha-qetana</t>
  </si>
  <si>
    <t>Telisha-gedola</t>
  </si>
  <si>
    <t>Pashta</t>
  </si>
  <si>
    <t>Zaqef-gadol</t>
  </si>
  <si>
    <t>Zaefq-qatan</t>
  </si>
  <si>
    <t>Azla</t>
  </si>
  <si>
    <t>Revia</t>
  </si>
  <si>
    <t>Sequence is by frequency of occurrence on recitation pitches beginning with d</t>
  </si>
  <si>
    <t>Paste raw data here</t>
  </si>
  <si>
    <t>checksum</t>
  </si>
  <si>
    <t>missing</t>
  </si>
  <si>
    <t>Tarsin</t>
  </si>
  <si>
    <t>Pazer</t>
  </si>
  <si>
    <t>missing 2 composite</t>
  </si>
  <si>
    <t>missing 8 composite</t>
  </si>
  <si>
    <t>2 Chr 24:27 -- not in Aleppo</t>
  </si>
  <si>
    <t>LBH</t>
  </si>
  <si>
    <t>D</t>
  </si>
  <si>
    <t>E</t>
  </si>
  <si>
    <t>F</t>
  </si>
  <si>
    <t>G</t>
  </si>
  <si>
    <t>EBH</t>
  </si>
  <si>
    <t>Zaqef-qatan</t>
  </si>
  <si>
    <t>1 Sam z-q</t>
  </si>
  <si>
    <t>2 Sam z-q</t>
  </si>
  <si>
    <t>T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</si>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</sst>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0" xfId="0" quotePrefix="1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Genesis</a:t>
            </a:r>
          </a:p>
        </c:rich>
      </c:tx>
      <c:layout/>
      <c:overlay val="0"/>
    </c:title>
    <c:autoTitleDeleted val="0"/>
    <c:view3D>
      <c:rotX val="0"/>
      <c:rotY val="0"/>
      <c:rAngAx val="0"/>
      <c:perspective val="15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Prose!$D$2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Prose!$D$3:$D$17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Prose!$E$2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Prose!$E$3:$E$17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Prose!$F$2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Prose!$F$3:$F$17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15</c:v>
                </c:pt>
                <c:pt idx="4">
                  <c:v>29</c:v>
                </c:pt>
                <c:pt idx="5">
                  <c:v>11</c:v>
                </c:pt>
                <c:pt idx="6">
                  <c:v>19</c:v>
                </c:pt>
                <c:pt idx="7">
                  <c:v>48</c:v>
                </c:pt>
                <c:pt idx="8">
                  <c:v>66</c:v>
                </c:pt>
                <c:pt idx="9">
                  <c:v>62</c:v>
                </c:pt>
                <c:pt idx="10">
                  <c:v>155</c:v>
                </c:pt>
                <c:pt idx="11">
                  <c:v>254</c:v>
                </c:pt>
                <c:pt idx="12">
                  <c:v>168</c:v>
                </c:pt>
                <c:pt idx="13">
                  <c:v>401</c:v>
                </c:pt>
                <c:pt idx="14">
                  <c:v>212</c:v>
                </c:pt>
              </c:numCache>
            </c:numRef>
          </c:val>
        </c:ser>
        <c:ser>
          <c:idx val="3"/>
          <c:order val="3"/>
          <c:tx>
            <c:strRef>
              <c:f>Prose!$G$2</c:f>
              <c:strCache>
                <c:ptCount val="1"/>
                <c:pt idx="0">
                  <c:v>f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Prose!$G$3:$G$17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35</c:v>
                </c:pt>
                <c:pt idx="14">
                  <c:v>12</c:v>
                </c:pt>
              </c:numCache>
            </c:numRef>
          </c:val>
        </c:ser>
        <c:ser>
          <c:idx val="4"/>
          <c:order val="4"/>
          <c:tx>
            <c:strRef>
              <c:f>Prose!$H$2</c:f>
              <c:strCache>
                <c:ptCount val="1"/>
                <c:pt idx="0">
                  <c:v>g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Prose!$H$3:$H$17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Prose!$I$2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Prose!$I$3:$I$17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19</c:v>
                </c:pt>
                <c:pt idx="8">
                  <c:v>29</c:v>
                </c:pt>
                <c:pt idx="9">
                  <c:v>58</c:v>
                </c:pt>
                <c:pt idx="10">
                  <c:v>46</c:v>
                </c:pt>
                <c:pt idx="11">
                  <c:v>102</c:v>
                </c:pt>
                <c:pt idx="12">
                  <c:v>79</c:v>
                </c:pt>
                <c:pt idx="13">
                  <c:v>201</c:v>
                </c:pt>
                <c:pt idx="14">
                  <c:v>49</c:v>
                </c:pt>
              </c:numCache>
            </c:numRef>
          </c:val>
        </c:ser>
        <c:ser>
          <c:idx val="6"/>
          <c:order val="6"/>
          <c:tx>
            <c:strRef>
              <c:f>Prose!$J$2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Prose!$J$3:$J$17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15</c:v>
                </c:pt>
                <c:pt idx="5">
                  <c:v>61</c:v>
                </c:pt>
                <c:pt idx="6">
                  <c:v>53</c:v>
                </c:pt>
                <c:pt idx="7">
                  <c:v>24</c:v>
                </c:pt>
                <c:pt idx="8">
                  <c:v>18</c:v>
                </c:pt>
                <c:pt idx="9">
                  <c:v>44</c:v>
                </c:pt>
                <c:pt idx="10">
                  <c:v>41</c:v>
                </c:pt>
                <c:pt idx="11">
                  <c:v>89</c:v>
                </c:pt>
                <c:pt idx="12">
                  <c:v>356</c:v>
                </c:pt>
                <c:pt idx="13">
                  <c:v>186</c:v>
                </c:pt>
                <c:pt idx="14">
                  <c:v>1224</c:v>
                </c:pt>
              </c:numCache>
            </c:numRef>
          </c:val>
        </c:ser>
        <c:ser>
          <c:idx val="7"/>
          <c:order val="7"/>
          <c:tx>
            <c:strRef>
              <c:f>Prose!$K$2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Prose!$B$3:$B$17</c:f>
              <c:strCache>
                <c:ptCount val="15"/>
                <c:pt idx="0">
                  <c:v>z-gadol pashta</c:v>
                </c:pt>
                <c:pt idx="1">
                  <c:v>pashta pashta</c:v>
                </c:pt>
                <c:pt idx="2">
                  <c:v>shalshelet</c:v>
                </c:pt>
                <c:pt idx="3">
                  <c:v>pazer</c:v>
                </c:pt>
                <c:pt idx="4">
                  <c:v>telisha-gedola</c:v>
                </c:pt>
                <c:pt idx="5">
                  <c:v>segol</c:v>
                </c:pt>
                <c:pt idx="6">
                  <c:v>tsinnor</c:v>
                </c:pt>
                <c:pt idx="7">
                  <c:v>telisha-qetana</c:v>
                </c:pt>
                <c:pt idx="8">
                  <c:v>tarsin</c:v>
                </c:pt>
                <c:pt idx="9">
                  <c:v>zaqef-gadol</c:v>
                </c:pt>
                <c:pt idx="10">
                  <c:v>azla</c:v>
                </c:pt>
                <c:pt idx="11">
                  <c:v>qadma</c:v>
                </c:pt>
                <c:pt idx="12">
                  <c:v>revia</c:v>
                </c:pt>
                <c:pt idx="13">
                  <c:v>pashta</c:v>
                </c:pt>
                <c:pt idx="14">
                  <c:v>zaqef-qatan</c:v>
                </c:pt>
              </c:strCache>
            </c:strRef>
          </c:cat>
          <c:val>
            <c:numRef>
              <c:f>Prose!$K$3:$K$17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11</c:v>
                </c:pt>
                <c:pt idx="10">
                  <c:v>1</c:v>
                </c:pt>
                <c:pt idx="11">
                  <c:v>11</c:v>
                </c:pt>
                <c:pt idx="12">
                  <c:v>5</c:v>
                </c:pt>
                <c:pt idx="13">
                  <c:v>876</c:v>
                </c:pt>
                <c:pt idx="14">
                  <c:v>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985280"/>
        <c:axId val="174600128"/>
        <c:axId val="0"/>
      </c:bar3DChart>
      <c:catAx>
        <c:axId val="157985280"/>
        <c:scaling>
          <c:orientation val="minMax"/>
        </c:scaling>
        <c:delete val="0"/>
        <c:axPos val="l"/>
        <c:majorTickMark val="out"/>
        <c:minorTickMark val="none"/>
        <c:tickLblPos val="nextTo"/>
        <c:crossAx val="174600128"/>
        <c:crosses val="autoZero"/>
        <c:auto val="1"/>
        <c:lblAlgn val="ctr"/>
        <c:lblOffset val="100"/>
        <c:noMultiLvlLbl val="0"/>
      </c:catAx>
      <c:valAx>
        <c:axId val="17460012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57985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Exodus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Prose!$D$18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Prose!$D$19:$D$36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Prose!$E$18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Prose!$E$19:$E$36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Prose!$F$18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Prose!$F$19:$F$36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18</c:v>
                </c:pt>
                <c:pt idx="7">
                  <c:v>12</c:v>
                </c:pt>
                <c:pt idx="8">
                  <c:v>20</c:v>
                </c:pt>
                <c:pt idx="9">
                  <c:v>12</c:v>
                </c:pt>
                <c:pt idx="10">
                  <c:v>45</c:v>
                </c:pt>
                <c:pt idx="11">
                  <c:v>26</c:v>
                </c:pt>
                <c:pt idx="12">
                  <c:v>67</c:v>
                </c:pt>
                <c:pt idx="13">
                  <c:v>139</c:v>
                </c:pt>
                <c:pt idx="14">
                  <c:v>215</c:v>
                </c:pt>
                <c:pt idx="15">
                  <c:v>140</c:v>
                </c:pt>
                <c:pt idx="16">
                  <c:v>301</c:v>
                </c:pt>
                <c:pt idx="17">
                  <c:v>195</c:v>
                </c:pt>
              </c:numCache>
            </c:numRef>
          </c:val>
        </c:ser>
        <c:ser>
          <c:idx val="3"/>
          <c:order val="3"/>
          <c:tx>
            <c:strRef>
              <c:f>Prose!$G$18</c:f>
              <c:strCache>
                <c:ptCount val="1"/>
                <c:pt idx="0">
                  <c:v>f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Prose!$G$19:$G$36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40</c:v>
                </c:pt>
                <c:pt idx="17">
                  <c:v>14</c:v>
                </c:pt>
              </c:numCache>
            </c:numRef>
          </c:val>
        </c:ser>
        <c:ser>
          <c:idx val="4"/>
          <c:order val="4"/>
          <c:tx>
            <c:strRef>
              <c:f>Prose!$H$18</c:f>
              <c:strCache>
                <c:ptCount val="1"/>
                <c:pt idx="0">
                  <c:v>g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Prose!$H$19:$H$36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strRef>
              <c:f>Prose!$I$18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Prose!$I$19:$I$36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0</c:v>
                </c:pt>
                <c:pt idx="9">
                  <c:v>1</c:v>
                </c:pt>
                <c:pt idx="10">
                  <c:v>17</c:v>
                </c:pt>
                <c:pt idx="11">
                  <c:v>42</c:v>
                </c:pt>
                <c:pt idx="12">
                  <c:v>12</c:v>
                </c:pt>
                <c:pt idx="13">
                  <c:v>49</c:v>
                </c:pt>
                <c:pt idx="14">
                  <c:v>101</c:v>
                </c:pt>
                <c:pt idx="15">
                  <c:v>56</c:v>
                </c:pt>
                <c:pt idx="16">
                  <c:v>128</c:v>
                </c:pt>
                <c:pt idx="17">
                  <c:v>49</c:v>
                </c:pt>
              </c:numCache>
            </c:numRef>
          </c:val>
        </c:ser>
        <c:ser>
          <c:idx val="6"/>
          <c:order val="6"/>
          <c:tx>
            <c:strRef>
              <c:f>Prose!$J$18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Prose!$J$19:$J$36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22</c:v>
                </c:pt>
                <c:pt idx="8">
                  <c:v>59</c:v>
                </c:pt>
                <c:pt idx="9">
                  <c:v>68</c:v>
                </c:pt>
                <c:pt idx="10">
                  <c:v>24</c:v>
                </c:pt>
                <c:pt idx="11">
                  <c:v>23</c:v>
                </c:pt>
                <c:pt idx="12">
                  <c:v>18</c:v>
                </c:pt>
                <c:pt idx="13">
                  <c:v>35</c:v>
                </c:pt>
                <c:pt idx="14">
                  <c:v>80</c:v>
                </c:pt>
                <c:pt idx="15">
                  <c:v>310</c:v>
                </c:pt>
                <c:pt idx="16">
                  <c:v>159</c:v>
                </c:pt>
                <c:pt idx="17">
                  <c:v>920</c:v>
                </c:pt>
              </c:numCache>
            </c:numRef>
          </c:val>
        </c:ser>
        <c:ser>
          <c:idx val="7"/>
          <c:order val="7"/>
          <c:tx>
            <c:strRef>
              <c:f>Prose!$K$18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Prose!$B$19:$B$36</c:f>
              <c:strCache>
                <c:ptCount val="18"/>
                <c:pt idx="0">
                  <c:v>z-qatan tsinnor</c:v>
                </c:pt>
                <c:pt idx="1">
                  <c:v>pazer azla</c:v>
                </c:pt>
                <c:pt idx="2">
                  <c:v>pashta pashta</c:v>
                </c:pt>
                <c:pt idx="3">
                  <c:v>z-qatan azla</c:v>
                </c:pt>
                <c:pt idx="4">
                  <c:v>azla pashta</c:v>
                </c:pt>
                <c:pt idx="5">
                  <c:v>pazer z-qatan</c:v>
                </c:pt>
                <c:pt idx="6">
                  <c:v>pazer</c:v>
                </c:pt>
                <c:pt idx="7">
                  <c:v>telisha-gedola</c:v>
                </c:pt>
                <c:pt idx="8">
                  <c:v>tsinnor</c:v>
                </c:pt>
                <c:pt idx="9">
                  <c:v>segol</c:v>
                </c:pt>
                <c:pt idx="10">
                  <c:v>telisha-qetana</c:v>
                </c:pt>
                <c:pt idx="11">
                  <c:v>zaqef-gadol</c:v>
                </c:pt>
                <c:pt idx="12">
                  <c:v>tarsin</c:v>
                </c:pt>
                <c:pt idx="13">
                  <c:v>azla</c:v>
                </c:pt>
                <c:pt idx="14">
                  <c:v>qadma</c:v>
                </c:pt>
                <c:pt idx="15">
                  <c:v>revia</c:v>
                </c:pt>
                <c:pt idx="16">
                  <c:v>pashta</c:v>
                </c:pt>
                <c:pt idx="17">
                  <c:v>zaqef-qatan</c:v>
                </c:pt>
              </c:strCache>
            </c:strRef>
          </c:cat>
          <c:val>
            <c:numRef>
              <c:f>Prose!$K$19:$K$36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8</c:v>
                </c:pt>
                <c:pt idx="12">
                  <c:v>3</c:v>
                </c:pt>
                <c:pt idx="13">
                  <c:v>4</c:v>
                </c:pt>
                <c:pt idx="14">
                  <c:v>11</c:v>
                </c:pt>
                <c:pt idx="15">
                  <c:v>1</c:v>
                </c:pt>
                <c:pt idx="16">
                  <c:v>707</c:v>
                </c:pt>
                <c:pt idx="17">
                  <c:v>299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549760"/>
        <c:axId val="174601280"/>
        <c:axId val="0"/>
      </c:bar3DChart>
      <c:catAx>
        <c:axId val="226549760"/>
        <c:scaling>
          <c:orientation val="minMax"/>
        </c:scaling>
        <c:delete val="0"/>
        <c:axPos val="l"/>
        <c:majorTickMark val="out"/>
        <c:minorTickMark val="none"/>
        <c:tickLblPos val="nextTo"/>
        <c:crossAx val="174601280"/>
        <c:crosses val="autoZero"/>
        <c:auto val="1"/>
        <c:lblAlgn val="ctr"/>
        <c:lblOffset val="100"/>
        <c:noMultiLvlLbl val="0"/>
      </c:catAx>
      <c:valAx>
        <c:axId val="1746012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6549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Hosea</a:t>
            </a:r>
          </a:p>
        </c:rich>
      </c:tx>
      <c:layout/>
      <c:overlay val="0"/>
    </c:title>
    <c:autoTitleDeleted val="0"/>
    <c:view3D>
      <c:rotX val="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Prose!$D$210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Prose!$D$211:$D$221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Prose!$E$210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Prose!$E$211:$E$221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Prose!$F$210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Prose!$F$211:$F$221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  <c:pt idx="6">
                  <c:v>10</c:v>
                </c:pt>
                <c:pt idx="7">
                  <c:v>14</c:v>
                </c:pt>
                <c:pt idx="8">
                  <c:v>14</c:v>
                </c:pt>
                <c:pt idx="9">
                  <c:v>60</c:v>
                </c:pt>
                <c:pt idx="10">
                  <c:v>37</c:v>
                </c:pt>
              </c:numCache>
            </c:numRef>
          </c:val>
        </c:ser>
        <c:ser>
          <c:idx val="3"/>
          <c:order val="3"/>
          <c:tx>
            <c:strRef>
              <c:f>Prose!$G$210</c:f>
              <c:strCache>
                <c:ptCount val="1"/>
                <c:pt idx="0">
                  <c:v>f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Prose!$G$211:$G$221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5</c:v>
                </c:pt>
              </c:numCache>
            </c:numRef>
          </c:val>
        </c:ser>
        <c:ser>
          <c:idx val="4"/>
          <c:order val="4"/>
          <c:tx>
            <c:strRef>
              <c:f>Prose!$H$210</c:f>
              <c:strCache>
                <c:ptCount val="1"/>
                <c:pt idx="0">
                  <c:v>g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Prose!$H$211:$H$221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5"/>
          <c:order val="5"/>
          <c:tx>
            <c:strRef>
              <c:f>Prose!$I$210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Prose!$I$211:$I$221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28</c:v>
                </c:pt>
                <c:pt idx="10">
                  <c:v>4</c:v>
                </c:pt>
              </c:numCache>
            </c:numRef>
          </c:val>
        </c:ser>
        <c:ser>
          <c:idx val="6"/>
          <c:order val="6"/>
          <c:tx>
            <c:strRef>
              <c:f>Prose!$J$210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Prose!$J$211:$J$221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38</c:v>
                </c:pt>
                <c:pt idx="9">
                  <c:v>23</c:v>
                </c:pt>
                <c:pt idx="10">
                  <c:v>158</c:v>
                </c:pt>
              </c:numCache>
            </c:numRef>
          </c:val>
        </c:ser>
        <c:ser>
          <c:idx val="7"/>
          <c:order val="7"/>
          <c:tx>
            <c:strRef>
              <c:f>Prose!$K$210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Prose!$B$211:$B$221</c:f>
              <c:strCache>
                <c:ptCount val="11"/>
                <c:pt idx="0">
                  <c:v>segol</c:v>
                </c:pt>
                <c:pt idx="1">
                  <c:v>tsinnor</c:v>
                </c:pt>
                <c:pt idx="2">
                  <c:v>telisha-qetana</c:v>
                </c:pt>
                <c:pt idx="3">
                  <c:v>telisha-gedola</c:v>
                </c:pt>
                <c:pt idx="4">
                  <c:v>tarsin</c:v>
                </c:pt>
                <c:pt idx="5">
                  <c:v>azla</c:v>
                </c:pt>
                <c:pt idx="6">
                  <c:v>zaqef-gadol</c:v>
                </c:pt>
                <c:pt idx="7">
                  <c:v>qadma</c:v>
                </c:pt>
                <c:pt idx="8">
                  <c:v>revia</c:v>
                </c:pt>
                <c:pt idx="9">
                  <c:v>pashta</c:v>
                </c:pt>
                <c:pt idx="10">
                  <c:v>zaqef-qatan</c:v>
                </c:pt>
              </c:strCache>
            </c:strRef>
          </c:cat>
          <c:val>
            <c:numRef>
              <c:f>Prose!$K$211:$K$221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552320"/>
        <c:axId val="226574912"/>
        <c:axId val="0"/>
      </c:bar3DChart>
      <c:catAx>
        <c:axId val="226552320"/>
        <c:scaling>
          <c:orientation val="minMax"/>
        </c:scaling>
        <c:delete val="0"/>
        <c:axPos val="l"/>
        <c:majorTickMark val="out"/>
        <c:minorTickMark val="none"/>
        <c:tickLblPos val="nextTo"/>
        <c:crossAx val="226574912"/>
        <c:crosses val="autoZero"/>
        <c:auto val="1"/>
        <c:lblAlgn val="ctr"/>
        <c:lblOffset val="100"/>
        <c:noMultiLvlLbl val="0"/>
      </c:catAx>
      <c:valAx>
        <c:axId val="2265749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6552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800" b="1" i="0" baseline="0">
                <a:effectLst/>
              </a:rPr>
              <a:t>Psalms Ornaments (Major)</a:t>
            </a:r>
            <a:endParaRPr lang="en-CA">
              <a:effectLst/>
            </a:endParaRP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'Psalms-by-group'!$E$12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'Psalms-by-group'!$F$12:$O$12</c:f>
              <c:numCache>
                <c:formatCode>General</c:formatCode>
                <c:ptCount val="10"/>
                <c:pt idx="0">
                  <c:v>1</c:v>
                </c:pt>
                <c:pt idx="1">
                  <c:v>25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'Psalms-by-group'!$E$13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'Psalms-by-group'!$F$13:$O$13</c:f>
              <c:numCache>
                <c:formatCode>General</c:formatCode>
                <c:ptCount val="10"/>
                <c:pt idx="0">
                  <c:v>64</c:v>
                </c:pt>
                <c:pt idx="1">
                  <c:v>8</c:v>
                </c:pt>
                <c:pt idx="2">
                  <c:v>15</c:v>
                </c:pt>
                <c:pt idx="3">
                  <c:v>13</c:v>
                </c:pt>
                <c:pt idx="4">
                  <c:v>14</c:v>
                </c:pt>
                <c:pt idx="5">
                  <c:v>4</c:v>
                </c:pt>
                <c:pt idx="6">
                  <c:v>20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'Psalms-by-group'!$E$14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'Psalms-by-group'!$F$14:$O$14</c:f>
              <c:numCache>
                <c:formatCode>General</c:formatCode>
                <c:ptCount val="10"/>
                <c:pt idx="0">
                  <c:v>150</c:v>
                </c:pt>
                <c:pt idx="1">
                  <c:v>8</c:v>
                </c:pt>
                <c:pt idx="2">
                  <c:v>89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6</c:v>
                </c:pt>
              </c:numCache>
            </c:numRef>
          </c:val>
        </c:ser>
        <c:ser>
          <c:idx val="3"/>
          <c:order val="3"/>
          <c:tx>
            <c:strRef>
              <c:f>'Psalms-by-group'!$E$15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'Psalms-by-group'!$F$15:$O$15</c:f>
              <c:numCache>
                <c:formatCode>General</c:formatCode>
                <c:ptCount val="10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'Psalms-by-group'!$E$16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'Psalms-by-group'!$F$16:$O$16</c:f>
              <c:numCache>
                <c:formatCode>General</c:formatCode>
                <c:ptCount val="10"/>
                <c:pt idx="0">
                  <c:v>193</c:v>
                </c:pt>
                <c:pt idx="1">
                  <c:v>0</c:v>
                </c:pt>
                <c:pt idx="2">
                  <c:v>209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18</c:v>
                </c:pt>
              </c:numCache>
            </c:numRef>
          </c:val>
        </c:ser>
        <c:ser>
          <c:idx val="5"/>
          <c:order val="5"/>
          <c:tx>
            <c:strRef>
              <c:f>'Psalms-by-group'!$E$17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'Psalms-by-group'!$F$17:$O$17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'Psalms-by-group'!$E$18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'Psalms-by-group'!$F$11:$O$11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'Psalms-by-group'!$F$18:$O$18</c:f>
              <c:numCache>
                <c:formatCode>General</c:formatCode>
                <c:ptCount val="10"/>
                <c:pt idx="0">
                  <c:v>28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24</c:v>
                </c:pt>
                <c:pt idx="5">
                  <c:v>1</c:v>
                </c:pt>
                <c:pt idx="6">
                  <c:v>10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869248"/>
        <c:axId val="226576064"/>
        <c:axId val="0"/>
      </c:bar3DChart>
      <c:catAx>
        <c:axId val="226869248"/>
        <c:scaling>
          <c:orientation val="minMax"/>
        </c:scaling>
        <c:delete val="0"/>
        <c:axPos val="l"/>
        <c:majorTickMark val="out"/>
        <c:minorTickMark val="none"/>
        <c:tickLblPos val="nextTo"/>
        <c:crossAx val="226576064"/>
        <c:crosses val="autoZero"/>
        <c:auto val="1"/>
        <c:lblAlgn val="ctr"/>
        <c:lblOffset val="100"/>
        <c:noMultiLvlLbl val="0"/>
      </c:catAx>
      <c:valAx>
        <c:axId val="22657606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6869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800" b="1" i="0" baseline="0">
                <a:effectLst/>
              </a:rPr>
              <a:t>Psalms Ornaments (Raised 4th)</a:t>
            </a:r>
            <a:endParaRPr lang="en-CA">
              <a:effectLst/>
            </a:endParaRP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'Psalms-by-group'!$E$28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'Psalms-by-group'!$F$28:$O$28</c:f>
              <c:numCache>
                <c:formatCode>General</c:formatCode>
                <c:ptCount val="10"/>
                <c:pt idx="0">
                  <c:v>0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'Psalms-by-group'!$E$29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'Psalms-by-group'!$F$29:$O$29</c:f>
              <c:numCache>
                <c:formatCode>General</c:formatCode>
                <c:ptCount val="10"/>
                <c:pt idx="0">
                  <c:v>47</c:v>
                </c:pt>
                <c:pt idx="1">
                  <c:v>12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'Psalms-by-group'!$E$30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'Psalms-by-group'!$F$30:$O$30</c:f>
              <c:numCache>
                <c:formatCode>General</c:formatCode>
                <c:ptCount val="10"/>
                <c:pt idx="0">
                  <c:v>78</c:v>
                </c:pt>
                <c:pt idx="1">
                  <c:v>5</c:v>
                </c:pt>
                <c:pt idx="2">
                  <c:v>63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8</c:v>
                </c:pt>
              </c:numCache>
            </c:numRef>
          </c:val>
        </c:ser>
        <c:ser>
          <c:idx val="3"/>
          <c:order val="3"/>
          <c:tx>
            <c:strRef>
              <c:f>'Psalms-by-group'!$E$31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'Psalms-by-group'!$F$31:$O$31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'Psalms-by-group'!$E$32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'Psalms-by-group'!$F$32:$O$32</c:f>
              <c:numCache>
                <c:formatCode>General</c:formatCode>
                <c:ptCount val="10"/>
                <c:pt idx="0">
                  <c:v>77</c:v>
                </c:pt>
                <c:pt idx="1">
                  <c:v>0</c:v>
                </c:pt>
                <c:pt idx="2">
                  <c:v>80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9</c:v>
                </c:pt>
              </c:numCache>
            </c:numRef>
          </c:val>
        </c:ser>
        <c:ser>
          <c:idx val="5"/>
          <c:order val="5"/>
          <c:tx>
            <c:strRef>
              <c:f>'Psalms-by-group'!$E$33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'Psalms-by-group'!$F$33:$O$33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'Psalms-by-group'!$E$34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'Psalms-by-group'!$F$27:$O$27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'Psalms-by-group'!$F$34:$O$34</c:f>
              <c:numCache>
                <c:formatCode>General</c:formatCode>
                <c:ptCount val="10"/>
                <c:pt idx="0">
                  <c:v>13</c:v>
                </c:pt>
                <c:pt idx="1">
                  <c:v>3</c:v>
                </c:pt>
                <c:pt idx="2">
                  <c:v>0</c:v>
                </c:pt>
                <c:pt idx="3">
                  <c:v>9</c:v>
                </c:pt>
                <c:pt idx="4">
                  <c:v>15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550784"/>
        <c:axId val="226578368"/>
        <c:axId val="0"/>
      </c:bar3DChart>
      <c:catAx>
        <c:axId val="226550784"/>
        <c:scaling>
          <c:orientation val="minMax"/>
        </c:scaling>
        <c:delete val="0"/>
        <c:axPos val="l"/>
        <c:majorTickMark val="out"/>
        <c:minorTickMark val="none"/>
        <c:tickLblPos val="nextTo"/>
        <c:crossAx val="226578368"/>
        <c:crosses val="autoZero"/>
        <c:auto val="1"/>
        <c:lblAlgn val="ctr"/>
        <c:lblOffset val="100"/>
        <c:noMultiLvlLbl val="0"/>
      </c:catAx>
      <c:valAx>
        <c:axId val="22657836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6550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800" b="1" i="0" baseline="0">
                <a:effectLst/>
              </a:rPr>
              <a:t>Psalms Ornaments (Hypodorian)</a:t>
            </a:r>
            <a:endParaRPr lang="en-CA">
              <a:effectLst/>
            </a:endParaRP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'Psalms-by-group'!$E$36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'Psalms-by-group'!$F$36:$O$36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'Psalms-by-group'!$E$37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'Psalms-by-group'!$F$37:$O$37</c:f>
              <c:numCache>
                <c:formatCode>General</c:formatCode>
                <c:ptCount val="10"/>
                <c:pt idx="0">
                  <c:v>10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'Psalms-by-group'!$E$38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'Psalms-by-group'!$F$38:$O$38</c:f>
              <c:numCache>
                <c:formatCode>General</c:formatCode>
                <c:ptCount val="10"/>
                <c:pt idx="0">
                  <c:v>19</c:v>
                </c:pt>
                <c:pt idx="1">
                  <c:v>1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3"/>
          <c:order val="3"/>
          <c:tx>
            <c:strRef>
              <c:f>'Psalms-by-group'!$E$39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'Psalms-by-group'!$F$39:$O$39</c:f>
              <c:numCache>
                <c:formatCode>General</c:formatCode>
                <c:ptCount val="10"/>
                <c:pt idx="0">
                  <c:v>24</c:v>
                </c:pt>
                <c:pt idx="1">
                  <c:v>0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</c:numCache>
            </c:numRef>
          </c:val>
        </c:ser>
        <c:ser>
          <c:idx val="4"/>
          <c:order val="4"/>
          <c:tx>
            <c:strRef>
              <c:f>'Psalms-by-group'!$E$40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'Psalms-by-group'!$F$40:$O$40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'Psalms-by-group'!$E$41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'Psalms-by-group'!$F$35:$O$35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'Psalms-by-group'!$F$41:$O$41</c:f>
              <c:numCache>
                <c:formatCode>General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871296"/>
        <c:axId val="226580672"/>
        <c:axId val="0"/>
      </c:bar3DChart>
      <c:catAx>
        <c:axId val="226871296"/>
        <c:scaling>
          <c:orientation val="minMax"/>
        </c:scaling>
        <c:delete val="0"/>
        <c:axPos val="l"/>
        <c:majorTickMark val="out"/>
        <c:minorTickMark val="none"/>
        <c:tickLblPos val="nextTo"/>
        <c:crossAx val="226580672"/>
        <c:crosses val="autoZero"/>
        <c:auto val="1"/>
        <c:lblAlgn val="ctr"/>
        <c:lblOffset val="100"/>
        <c:noMultiLvlLbl val="0"/>
      </c:catAx>
      <c:valAx>
        <c:axId val="22658067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687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baseline="0">
                <a:effectLst/>
              </a:rPr>
              <a:t>Psalms Ornaments (Chromatic Hypodorian)</a:t>
            </a:r>
            <a:endParaRPr lang="en-CA">
              <a:effectLst/>
            </a:endParaRP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'Psalms-by-group'!$E$4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'Psalms-by-group'!$F$4:$O$4</c:f>
              <c:numCache>
                <c:formatCode>General</c:formatCode>
                <c:ptCount val="10"/>
                <c:pt idx="0">
                  <c:v>2</c:v>
                </c:pt>
                <c:pt idx="1">
                  <c:v>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'Psalms-by-group'!$E$5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'Psalms-by-group'!$F$5:$O$5</c:f>
              <c:numCache>
                <c:formatCode>General</c:formatCode>
                <c:ptCount val="10"/>
                <c:pt idx="0">
                  <c:v>122</c:v>
                </c:pt>
                <c:pt idx="1">
                  <c:v>33</c:v>
                </c:pt>
                <c:pt idx="2">
                  <c:v>22</c:v>
                </c:pt>
                <c:pt idx="3">
                  <c:v>24</c:v>
                </c:pt>
                <c:pt idx="4">
                  <c:v>29</c:v>
                </c:pt>
                <c:pt idx="5">
                  <c:v>6</c:v>
                </c:pt>
                <c:pt idx="6">
                  <c:v>24</c:v>
                </c:pt>
                <c:pt idx="7">
                  <c:v>27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'Psalms-by-group'!$E$6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'Psalms-by-group'!$F$6:$O$6</c:f>
              <c:numCache>
                <c:formatCode>General</c:formatCode>
                <c:ptCount val="10"/>
                <c:pt idx="0">
                  <c:v>233</c:v>
                </c:pt>
                <c:pt idx="1">
                  <c:v>27</c:v>
                </c:pt>
                <c:pt idx="2">
                  <c:v>171</c:v>
                </c:pt>
                <c:pt idx="3">
                  <c:v>1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20</c:v>
                </c:pt>
                <c:pt idx="8">
                  <c:v>0</c:v>
                </c:pt>
                <c:pt idx="9">
                  <c:v>15</c:v>
                </c:pt>
              </c:numCache>
            </c:numRef>
          </c:val>
        </c:ser>
        <c:ser>
          <c:idx val="3"/>
          <c:order val="3"/>
          <c:tx>
            <c:strRef>
              <c:f>'Psalms-by-group'!$E$7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'Psalms-by-group'!$F$7:$O$7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'Psalms-by-group'!$E$8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'Psalms-by-group'!$F$8:$O$8</c:f>
              <c:numCache>
                <c:formatCode>General</c:formatCode>
                <c:ptCount val="10"/>
                <c:pt idx="0">
                  <c:v>315</c:v>
                </c:pt>
                <c:pt idx="1">
                  <c:v>0</c:v>
                </c:pt>
                <c:pt idx="2">
                  <c:v>322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5</c:v>
                </c:pt>
                <c:pt idx="9">
                  <c:v>21</c:v>
                </c:pt>
              </c:numCache>
            </c:numRef>
          </c:val>
        </c:ser>
        <c:ser>
          <c:idx val="5"/>
          <c:order val="5"/>
          <c:tx>
            <c:strRef>
              <c:f>'Psalms-by-group'!$E$9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'Psalms-by-group'!$F$9:$O$9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'Psalms-by-group'!$E$10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'Psalms-by-group'!$F$3:$O$3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revia-mugrash</c:v>
                </c:pt>
              </c:strCache>
            </c:strRef>
          </c:cat>
          <c:val>
            <c:numRef>
              <c:f>'Psalms-by-group'!$F$10:$O$10</c:f>
              <c:numCache>
                <c:formatCode>General</c:formatCode>
                <c:ptCount val="10"/>
                <c:pt idx="0">
                  <c:v>68</c:v>
                </c:pt>
                <c:pt idx="1">
                  <c:v>5</c:v>
                </c:pt>
                <c:pt idx="2">
                  <c:v>0</c:v>
                </c:pt>
                <c:pt idx="3">
                  <c:v>24</c:v>
                </c:pt>
                <c:pt idx="4">
                  <c:v>56</c:v>
                </c:pt>
                <c:pt idx="5">
                  <c:v>0</c:v>
                </c:pt>
                <c:pt idx="6">
                  <c:v>15</c:v>
                </c:pt>
                <c:pt idx="7">
                  <c:v>9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324416"/>
        <c:axId val="227198656"/>
        <c:axId val="0"/>
      </c:bar3DChart>
      <c:catAx>
        <c:axId val="227324416"/>
        <c:scaling>
          <c:orientation val="minMax"/>
        </c:scaling>
        <c:delete val="0"/>
        <c:axPos val="l"/>
        <c:majorTickMark val="out"/>
        <c:minorTickMark val="none"/>
        <c:tickLblPos val="nextTo"/>
        <c:crossAx val="227198656"/>
        <c:crosses val="autoZero"/>
        <c:auto val="1"/>
        <c:lblAlgn val="ctr"/>
        <c:lblOffset val="100"/>
        <c:noMultiLvlLbl val="0"/>
      </c:catAx>
      <c:valAx>
        <c:axId val="22719865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32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baseline="0">
                <a:effectLst/>
              </a:rPr>
              <a:t>Psalms Ornaments (Major-Minor)</a:t>
            </a:r>
            <a:endParaRPr lang="en-CA">
              <a:effectLst/>
            </a:endParaRP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'Psalms-by-group'!$E$20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'Psalms-by-group'!$F$20:$O$20</c:f>
              <c:numCache>
                <c:formatCode>General</c:formatCode>
                <c:ptCount val="10"/>
                <c:pt idx="0">
                  <c:v>1</c:v>
                </c:pt>
                <c:pt idx="1">
                  <c:v>51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'Psalms-by-group'!$E$21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'Psalms-by-group'!$F$21:$O$21</c:f>
              <c:numCache>
                <c:formatCode>General</c:formatCode>
                <c:ptCount val="10"/>
                <c:pt idx="0">
                  <c:v>116</c:v>
                </c:pt>
                <c:pt idx="1">
                  <c:v>46</c:v>
                </c:pt>
                <c:pt idx="2">
                  <c:v>19</c:v>
                </c:pt>
                <c:pt idx="3">
                  <c:v>22</c:v>
                </c:pt>
                <c:pt idx="4">
                  <c:v>32</c:v>
                </c:pt>
                <c:pt idx="5">
                  <c:v>9</c:v>
                </c:pt>
                <c:pt idx="6">
                  <c:v>28</c:v>
                </c:pt>
                <c:pt idx="7">
                  <c:v>22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'Psalms-by-group'!$E$22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'Psalms-by-group'!$F$22:$O$22</c:f>
              <c:numCache>
                <c:formatCode>General</c:formatCode>
                <c:ptCount val="10"/>
                <c:pt idx="0">
                  <c:v>252</c:v>
                </c:pt>
                <c:pt idx="1">
                  <c:v>32</c:v>
                </c:pt>
                <c:pt idx="2">
                  <c:v>162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18</c:v>
                </c:pt>
                <c:pt idx="8">
                  <c:v>1</c:v>
                </c:pt>
                <c:pt idx="9">
                  <c:v>17</c:v>
                </c:pt>
              </c:numCache>
            </c:numRef>
          </c:val>
        </c:ser>
        <c:ser>
          <c:idx val="3"/>
          <c:order val="3"/>
          <c:tx>
            <c:strRef>
              <c:f>'Psalms-by-group'!$E$23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'Psalms-by-group'!$F$23:$O$23</c:f>
              <c:numCache>
                <c:formatCode>General</c:formatCode>
                <c:ptCount val="1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'Psalms-by-group'!$E$24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'Psalms-by-group'!$F$24:$O$24</c:f>
              <c:numCache>
                <c:formatCode>General</c:formatCode>
                <c:ptCount val="10"/>
                <c:pt idx="0">
                  <c:v>306</c:v>
                </c:pt>
                <c:pt idx="1">
                  <c:v>0</c:v>
                </c:pt>
                <c:pt idx="2">
                  <c:v>325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6</c:v>
                </c:pt>
                <c:pt idx="9">
                  <c:v>35</c:v>
                </c:pt>
              </c:numCache>
            </c:numRef>
          </c:val>
        </c:ser>
        <c:ser>
          <c:idx val="5"/>
          <c:order val="5"/>
          <c:tx>
            <c:strRef>
              <c:f>'Psalms-by-group'!$E$25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'Psalms-by-group'!$F$25:$O$25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'Psalms-by-group'!$E$26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'Psalms-by-group'!$F$19:$O$19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'Psalms-by-group'!$F$26:$O$26</c:f>
              <c:numCache>
                <c:formatCode>General</c:formatCode>
                <c:ptCount val="10"/>
                <c:pt idx="0">
                  <c:v>68</c:v>
                </c:pt>
                <c:pt idx="1">
                  <c:v>6</c:v>
                </c:pt>
                <c:pt idx="2">
                  <c:v>1</c:v>
                </c:pt>
                <c:pt idx="3">
                  <c:v>21</c:v>
                </c:pt>
                <c:pt idx="4">
                  <c:v>65</c:v>
                </c:pt>
                <c:pt idx="5">
                  <c:v>4</c:v>
                </c:pt>
                <c:pt idx="6">
                  <c:v>12</c:v>
                </c:pt>
                <c:pt idx="7">
                  <c:v>18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325952"/>
        <c:axId val="227200960"/>
        <c:axId val="0"/>
      </c:bar3DChart>
      <c:catAx>
        <c:axId val="22732595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200960"/>
        <c:crosses val="autoZero"/>
        <c:auto val="1"/>
        <c:lblAlgn val="ctr"/>
        <c:lblOffset val="100"/>
        <c:noMultiLvlLbl val="0"/>
      </c:catAx>
      <c:valAx>
        <c:axId val="22720096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32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 sz="1800" b="0" i="0" u="none" strike="noStrike" baseline="0">
                <a:effectLst/>
              </a:rPr>
              <a:t>Psalms of Korah</a:t>
            </a:r>
            <a:r>
              <a:rPr lang="en-CA" sz="1800" b="1" i="0" u="none" strike="noStrike" baseline="0"/>
              <a:t> </a:t>
            </a:r>
            <a:endParaRPr lang="en-CA"/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'Psalms-by-group'!$D$66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'Psalms-by-group'!$E$66:$N$66</c:f>
              <c:numCache>
                <c:formatCode>General</c:formatCode>
                <c:ptCount val="10"/>
                <c:pt idx="0">
                  <c:v>0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'Psalms-by-group'!$D$67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'Psalms-by-group'!$E$67:$N$67</c:f>
              <c:numCache>
                <c:formatCode>General</c:formatCode>
                <c:ptCount val="10"/>
                <c:pt idx="0">
                  <c:v>19</c:v>
                </c:pt>
                <c:pt idx="1">
                  <c:v>3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  <c:pt idx="5">
                  <c:v>1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'Psalms-by-group'!$D$68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'Psalms-by-group'!$E$68:$N$68</c:f>
              <c:numCache>
                <c:formatCode>General</c:formatCode>
                <c:ptCount val="10"/>
                <c:pt idx="0">
                  <c:v>54</c:v>
                </c:pt>
                <c:pt idx="1">
                  <c:v>5</c:v>
                </c:pt>
                <c:pt idx="2">
                  <c:v>33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</c:ser>
        <c:ser>
          <c:idx val="3"/>
          <c:order val="3"/>
          <c:tx>
            <c:strRef>
              <c:f>'Psalms-by-group'!$D$69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'Psalms-by-group'!$E$69:$N$69</c:f>
              <c:numCache>
                <c:formatCode>General</c:formatCode>
                <c:ptCount val="10"/>
                <c:pt idx="0">
                  <c:v>54</c:v>
                </c:pt>
                <c:pt idx="1">
                  <c:v>0</c:v>
                </c:pt>
                <c:pt idx="2">
                  <c:v>54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7</c:v>
                </c:pt>
              </c:numCache>
            </c:numRef>
          </c:val>
        </c:ser>
        <c:ser>
          <c:idx val="4"/>
          <c:order val="4"/>
          <c:tx>
            <c:strRef>
              <c:f>'Psalms-by-group'!$D$70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'Psalms-by-group'!$E$70:$N$70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'Psalms-by-group'!$D$71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'Psalms-by-group'!$E$65:$N$65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'Psalms-by-group'!$E$71:$N$71</c:f>
              <c:numCache>
                <c:formatCode>General</c:formatCode>
                <c:ptCount val="10"/>
                <c:pt idx="0">
                  <c:v>12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15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971072"/>
        <c:axId val="227203264"/>
        <c:axId val="0"/>
      </c:bar3DChart>
      <c:catAx>
        <c:axId val="22797107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203264"/>
        <c:crosses val="autoZero"/>
        <c:auto val="1"/>
        <c:lblAlgn val="ctr"/>
        <c:lblOffset val="100"/>
        <c:noMultiLvlLbl val="0"/>
      </c:catAx>
      <c:valAx>
        <c:axId val="22720326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971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 sz="1800" b="0" i="0" u="none" strike="noStrike" baseline="0">
                <a:effectLst/>
              </a:rPr>
              <a:t>Psalms of David</a:t>
            </a:r>
            <a:r>
              <a:rPr lang="en-CA" sz="1800" b="1" i="0" u="none" strike="noStrike" baseline="0"/>
              <a:t> </a:t>
            </a:r>
            <a:endParaRPr lang="en-CA"/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'Psalms-by-group'!$D$75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'Psalms-by-group'!$E$75:$N$75</c:f>
              <c:numCache>
                <c:formatCode>General</c:formatCode>
                <c:ptCount val="10"/>
                <c:pt idx="0">
                  <c:v>5</c:v>
                </c:pt>
                <c:pt idx="1">
                  <c:v>101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18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'Psalms-by-group'!$D$76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'Psalms-by-group'!$E$76:$N$76</c:f>
              <c:numCache>
                <c:formatCode>General</c:formatCode>
                <c:ptCount val="10"/>
                <c:pt idx="0">
                  <c:v>188</c:v>
                </c:pt>
                <c:pt idx="1">
                  <c:v>63</c:v>
                </c:pt>
                <c:pt idx="2">
                  <c:v>26</c:v>
                </c:pt>
                <c:pt idx="3">
                  <c:v>32</c:v>
                </c:pt>
                <c:pt idx="4">
                  <c:v>55</c:v>
                </c:pt>
                <c:pt idx="5">
                  <c:v>10</c:v>
                </c:pt>
                <c:pt idx="6">
                  <c:v>44</c:v>
                </c:pt>
                <c:pt idx="7">
                  <c:v>49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'Psalms-by-group'!$D$77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'Psalms-by-group'!$E$77:$N$77</c:f>
              <c:numCache>
                <c:formatCode>General</c:formatCode>
                <c:ptCount val="10"/>
                <c:pt idx="0">
                  <c:v>371</c:v>
                </c:pt>
                <c:pt idx="1">
                  <c:v>43</c:v>
                </c:pt>
                <c:pt idx="2">
                  <c:v>254</c:v>
                </c:pt>
                <c:pt idx="3">
                  <c:v>4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32</c:v>
                </c:pt>
                <c:pt idx="8">
                  <c:v>0</c:v>
                </c:pt>
                <c:pt idx="9">
                  <c:v>28</c:v>
                </c:pt>
              </c:numCache>
            </c:numRef>
          </c:val>
        </c:ser>
        <c:ser>
          <c:idx val="3"/>
          <c:order val="3"/>
          <c:tx>
            <c:strRef>
              <c:f>'Psalms-by-group'!$D$78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'Psalms-by-group'!$E$78:$N$78</c:f>
              <c:numCache>
                <c:formatCode>General</c:formatCode>
                <c:ptCount val="1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'Psalms-by-group'!$D$79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'Psalms-by-group'!$E$79:$N$79</c:f>
              <c:numCache>
                <c:formatCode>General</c:formatCode>
                <c:ptCount val="10"/>
                <c:pt idx="0">
                  <c:v>383</c:v>
                </c:pt>
                <c:pt idx="1">
                  <c:v>0</c:v>
                </c:pt>
                <c:pt idx="2">
                  <c:v>405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10</c:v>
                </c:pt>
                <c:pt idx="9">
                  <c:v>29</c:v>
                </c:pt>
              </c:numCache>
            </c:numRef>
          </c:val>
        </c:ser>
        <c:ser>
          <c:idx val="5"/>
          <c:order val="5"/>
          <c:tx>
            <c:strRef>
              <c:f>'Psalms-by-group'!$D$80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'Psalms-by-group'!$E$80:$N$80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'Psalms-by-group'!$D$81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'Psalms-by-group'!$E$74:$N$74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'Psalms-by-group'!$E$81:$N$81</c:f>
              <c:numCache>
                <c:formatCode>General</c:formatCode>
                <c:ptCount val="10"/>
                <c:pt idx="0">
                  <c:v>95</c:v>
                </c:pt>
                <c:pt idx="1">
                  <c:v>13</c:v>
                </c:pt>
                <c:pt idx="2">
                  <c:v>1</c:v>
                </c:pt>
                <c:pt idx="3">
                  <c:v>26</c:v>
                </c:pt>
                <c:pt idx="4">
                  <c:v>90</c:v>
                </c:pt>
                <c:pt idx="5">
                  <c:v>3</c:v>
                </c:pt>
                <c:pt idx="6">
                  <c:v>19</c:v>
                </c:pt>
                <c:pt idx="7">
                  <c:v>21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973120"/>
        <c:axId val="226616448"/>
        <c:axId val="0"/>
      </c:bar3DChart>
      <c:catAx>
        <c:axId val="227973120"/>
        <c:scaling>
          <c:orientation val="minMax"/>
        </c:scaling>
        <c:delete val="0"/>
        <c:axPos val="l"/>
        <c:majorTickMark val="out"/>
        <c:minorTickMark val="none"/>
        <c:tickLblPos val="nextTo"/>
        <c:crossAx val="226616448"/>
        <c:crosses val="autoZero"/>
        <c:auto val="1"/>
        <c:lblAlgn val="ctr"/>
        <c:lblOffset val="100"/>
        <c:noMultiLvlLbl val="0"/>
      </c:catAx>
      <c:valAx>
        <c:axId val="22661644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973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 sz="1800" b="0" i="0" u="none" strike="noStrike" baseline="0">
                <a:effectLst/>
              </a:rPr>
              <a:t>Psalms of Asaph</a:t>
            </a:r>
            <a:r>
              <a:rPr lang="en-CA" sz="1800" b="1" i="0" u="none" strike="noStrike" baseline="0"/>
              <a:t> </a:t>
            </a:r>
            <a:endParaRPr lang="en-CA"/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'Psalms-by-group'!$D$85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'Psalms-by-group'!$E$85:$N$85</c:f>
              <c:numCache>
                <c:formatCode>General</c:formatCode>
                <c:ptCount val="1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'Psalms-by-group'!$D$86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'Psalms-by-group'!$E$86:$N$86</c:f>
              <c:numCache>
                <c:formatCode>General</c:formatCode>
                <c:ptCount val="10"/>
                <c:pt idx="0">
                  <c:v>35</c:v>
                </c:pt>
                <c:pt idx="1">
                  <c:v>14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'Psalms-by-group'!$D$87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'Psalms-by-group'!$E$87:$N$87</c:f>
              <c:numCache>
                <c:formatCode>General</c:formatCode>
                <c:ptCount val="10"/>
                <c:pt idx="0">
                  <c:v>72</c:v>
                </c:pt>
                <c:pt idx="1">
                  <c:v>8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6</c:v>
                </c:pt>
              </c:numCache>
            </c:numRef>
          </c:val>
        </c:ser>
        <c:ser>
          <c:idx val="3"/>
          <c:order val="3"/>
          <c:tx>
            <c:strRef>
              <c:f>'Psalms-by-group'!$D$88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'Psalms-by-group'!$E$88:$N$88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'Psalms-by-group'!$D$89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'Psalms-by-group'!$E$89:$N$89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101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13</c:v>
                </c:pt>
              </c:numCache>
            </c:numRef>
          </c:val>
        </c:ser>
        <c:ser>
          <c:idx val="5"/>
          <c:order val="5"/>
          <c:tx>
            <c:strRef>
              <c:f>'Psalms-by-group'!$D$90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'Psalms-by-group'!$E$90:$N$90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'Psalms-by-group'!$D$91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'Psalms-by-group'!$E$84:$N$84</c:f>
              <c:strCache>
                <c:ptCount val="10"/>
                <c:pt idx="0">
                  <c:v>revia</c:v>
                </c:pt>
                <c:pt idx="1">
                  <c:v>ole</c:v>
                </c:pt>
                <c:pt idx="2">
                  <c:v>geresh</c:v>
                </c:pt>
                <c:pt idx="3">
                  <c:v>illuy</c:v>
                </c:pt>
                <c:pt idx="4">
                  <c:v>qadma</c:v>
                </c:pt>
                <c:pt idx="5">
                  <c:v>pazer</c:v>
                </c:pt>
                <c:pt idx="6">
                  <c:v>zarqa</c:v>
                </c:pt>
                <c:pt idx="7">
                  <c:v>tsinnor</c:v>
                </c:pt>
                <c:pt idx="8">
                  <c:v>shalshelet</c:v>
                </c:pt>
                <c:pt idx="9">
                  <c:v>rev-mugr</c:v>
                </c:pt>
              </c:strCache>
            </c:strRef>
          </c:cat>
          <c:val>
            <c:numRef>
              <c:f>'Psalms-by-group'!$E$91:$N$91</c:f>
              <c:numCache>
                <c:formatCode>General</c:formatCode>
                <c:ptCount val="10"/>
                <c:pt idx="0">
                  <c:v>15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23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835904"/>
        <c:axId val="226618176"/>
        <c:axId val="0"/>
      </c:bar3DChart>
      <c:catAx>
        <c:axId val="227835904"/>
        <c:scaling>
          <c:orientation val="minMax"/>
        </c:scaling>
        <c:delete val="0"/>
        <c:axPos val="l"/>
        <c:majorTickMark val="out"/>
        <c:minorTickMark val="none"/>
        <c:tickLblPos val="nextTo"/>
        <c:crossAx val="226618176"/>
        <c:crosses val="autoZero"/>
        <c:auto val="1"/>
        <c:lblAlgn val="ctr"/>
        <c:lblOffset val="100"/>
        <c:noMultiLvlLbl val="0"/>
      </c:catAx>
      <c:valAx>
        <c:axId val="22661817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83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Song of Songs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 Five Scrolls'!$D$2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 Five Scrolls'!$E$1:$R$1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Scrolls'!$E$2:$R$2</c:f>
              <c:numCache>
                <c:formatCode>General</c:formatCode>
                <c:ptCount val="14"/>
                <c:pt idx="0">
                  <c:v>8</c:v>
                </c:pt>
                <c:pt idx="1">
                  <c:v>4</c:v>
                </c:pt>
                <c:pt idx="2">
                  <c:v>25</c:v>
                </c:pt>
                <c:pt idx="3">
                  <c:v>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 Five Scrolls'!$D$3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 Five Scrolls'!$E$1:$R$1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Scrolls'!$E$3:$R$3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 Five Scrolls'!$D$4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 Five Scrolls'!$E$1:$R$1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Scrolls'!$E$4:$R$4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 Five Scrolls'!$D$5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 Five Scrolls'!$E$1:$R$1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Scrolls'!$E$5:$R$5</c:f>
              <c:numCache>
                <c:formatCode>General</c:formatCode>
                <c:ptCount val="14"/>
                <c:pt idx="0">
                  <c:v>14</c:v>
                </c:pt>
                <c:pt idx="1">
                  <c:v>0</c:v>
                </c:pt>
                <c:pt idx="2">
                  <c:v>96</c:v>
                </c:pt>
                <c:pt idx="3">
                  <c:v>1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 Five Scrolls'!$D$6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 Five Scrolls'!$E$1:$R$1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Scrolls'!$E$6:$R$6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37</c:v>
                </c:pt>
                <c:pt idx="3">
                  <c:v>0</c:v>
                </c:pt>
                <c:pt idx="4">
                  <c:v>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837440"/>
        <c:axId val="226619328"/>
        <c:axId val="0"/>
      </c:bar3DChart>
      <c:catAx>
        <c:axId val="227837440"/>
        <c:scaling>
          <c:orientation val="minMax"/>
        </c:scaling>
        <c:delete val="0"/>
        <c:axPos val="l"/>
        <c:majorTickMark val="out"/>
        <c:minorTickMark val="none"/>
        <c:tickLblPos val="nextTo"/>
        <c:crossAx val="226619328"/>
        <c:crosses val="autoZero"/>
        <c:auto val="1"/>
        <c:lblAlgn val="ctr"/>
        <c:lblOffset val="100"/>
        <c:noMultiLvlLbl val="0"/>
      </c:catAx>
      <c:valAx>
        <c:axId val="22661932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837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Ruth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 Five Scrolls'!$D$8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 Five Scrolls'!$E$7:$R$7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Scrolls'!$E$8:$R$8</c:f>
              <c:numCache>
                <c:formatCode>General</c:formatCode>
                <c:ptCount val="14"/>
                <c:pt idx="0">
                  <c:v>14</c:v>
                </c:pt>
                <c:pt idx="1">
                  <c:v>12</c:v>
                </c:pt>
                <c:pt idx="2">
                  <c:v>20</c:v>
                </c:pt>
                <c:pt idx="3">
                  <c:v>2</c:v>
                </c:pt>
                <c:pt idx="4">
                  <c:v>35</c:v>
                </c:pt>
                <c:pt idx="5">
                  <c:v>2</c:v>
                </c:pt>
                <c:pt idx="6">
                  <c:v>8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18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 Five Scrolls'!$D$9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 Five Scrolls'!$E$7:$R$7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Scrolls'!$E$9:$R$9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 Five Scrolls'!$D$10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 Five Scrolls'!$E$7:$R$7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Scrolls'!$E$10:$R$10</c:f>
              <c:numCache>
                <c:formatCode>General</c:formatCode>
                <c:ptCount val="14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13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 Five Scrolls'!$D$11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 Five Scrolls'!$E$7:$R$7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Scrolls'!$E$11:$R$11</c:f>
              <c:numCache>
                <c:formatCode>General</c:formatCode>
                <c:ptCount val="14"/>
                <c:pt idx="0">
                  <c:v>23</c:v>
                </c:pt>
                <c:pt idx="1">
                  <c:v>3</c:v>
                </c:pt>
                <c:pt idx="2">
                  <c:v>78</c:v>
                </c:pt>
                <c:pt idx="3">
                  <c:v>3</c:v>
                </c:pt>
                <c:pt idx="4">
                  <c:v>11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 Five Scrolls'!$D$12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 Five Scrolls'!$E$7:$R$7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Scrolls'!$E$12:$R$12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31</c:v>
                </c:pt>
                <c:pt idx="3">
                  <c:v>1</c:v>
                </c:pt>
                <c:pt idx="4">
                  <c:v>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922944"/>
        <c:axId val="226622784"/>
        <c:axId val="0"/>
      </c:bar3DChart>
      <c:catAx>
        <c:axId val="227922944"/>
        <c:scaling>
          <c:orientation val="minMax"/>
        </c:scaling>
        <c:delete val="0"/>
        <c:axPos val="l"/>
        <c:majorTickMark val="out"/>
        <c:minorTickMark val="none"/>
        <c:tickLblPos val="nextTo"/>
        <c:crossAx val="226622784"/>
        <c:crosses val="autoZero"/>
        <c:auto val="1"/>
        <c:lblAlgn val="ctr"/>
        <c:lblOffset val="100"/>
        <c:noMultiLvlLbl val="0"/>
      </c:catAx>
      <c:valAx>
        <c:axId val="22662278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922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LAMENTATIONS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 Five Scrolls'!$D$14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 Five Scrolls'!$E$13:$R$13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Scrolls'!$E$14:$R$14</c:f>
              <c:numCache>
                <c:formatCode>General</c:formatCode>
                <c:ptCount val="14"/>
                <c:pt idx="0">
                  <c:v>10</c:v>
                </c:pt>
                <c:pt idx="1">
                  <c:v>7</c:v>
                </c:pt>
                <c:pt idx="2">
                  <c:v>31</c:v>
                </c:pt>
                <c:pt idx="3">
                  <c:v>0</c:v>
                </c:pt>
                <c:pt idx="4">
                  <c:v>59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 Five Scrolls'!$D$15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 Five Scrolls'!$E$13:$R$13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Scrolls'!$E$15:$R$15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 Five Scrolls'!$D$16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 Five Scrolls'!$E$13:$R$13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Scrolls'!$E$16:$R$16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 Five Scrolls'!$D$17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 Five Scrolls'!$E$13:$R$13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Scrolls'!$E$17:$R$17</c:f>
              <c:numCache>
                <c:formatCode>General</c:formatCode>
                <c:ptCount val="14"/>
                <c:pt idx="0">
                  <c:v>16</c:v>
                </c:pt>
                <c:pt idx="1">
                  <c:v>0</c:v>
                </c:pt>
                <c:pt idx="2">
                  <c:v>102</c:v>
                </c:pt>
                <c:pt idx="3">
                  <c:v>1</c:v>
                </c:pt>
                <c:pt idx="4">
                  <c:v>14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 Five Scrolls'!$D$18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 Five Scrolls'!$E$13:$R$13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Scrolls'!$E$18:$R$18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60</c:v>
                </c:pt>
                <c:pt idx="3">
                  <c:v>0</c:v>
                </c:pt>
                <c:pt idx="4">
                  <c:v>126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924992"/>
        <c:axId val="227649216"/>
        <c:axId val="0"/>
      </c:bar3DChart>
      <c:catAx>
        <c:axId val="22792499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49216"/>
        <c:crosses val="autoZero"/>
        <c:auto val="1"/>
        <c:lblAlgn val="ctr"/>
        <c:lblOffset val="100"/>
        <c:noMultiLvlLbl val="0"/>
      </c:catAx>
      <c:valAx>
        <c:axId val="22764921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924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QOHELET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 Five Scrolls'!$D$20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 Five Scrolls'!$E$19:$R$19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Scrolls'!$E$20:$R$20</c:f>
              <c:numCache>
                <c:formatCode>General</c:formatCode>
                <c:ptCount val="14"/>
                <c:pt idx="0">
                  <c:v>20</c:v>
                </c:pt>
                <c:pt idx="1">
                  <c:v>16</c:v>
                </c:pt>
                <c:pt idx="2">
                  <c:v>43</c:v>
                </c:pt>
                <c:pt idx="3">
                  <c:v>6</c:v>
                </c:pt>
                <c:pt idx="4">
                  <c:v>73</c:v>
                </c:pt>
                <c:pt idx="5">
                  <c:v>7</c:v>
                </c:pt>
                <c:pt idx="6">
                  <c:v>6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29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 Five Scrolls'!$D$21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 Five Scrolls'!$E$19:$R$19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Scrolls'!$E$21:$R$21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 Five Scrolls'!$D$22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 Five Scrolls'!$E$19:$R$19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Scrolls'!$E$22:$R$22</c:f>
              <c:numCache>
                <c:formatCode>General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21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11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 Five Scrolls'!$D$23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 Five Scrolls'!$E$19:$R$19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Scrolls'!$E$23:$R$23</c:f>
              <c:numCache>
                <c:formatCode>General</c:formatCode>
                <c:ptCount val="14"/>
                <c:pt idx="0">
                  <c:v>36</c:v>
                </c:pt>
                <c:pt idx="1">
                  <c:v>8</c:v>
                </c:pt>
                <c:pt idx="2">
                  <c:v>185</c:v>
                </c:pt>
                <c:pt idx="3">
                  <c:v>3</c:v>
                </c:pt>
                <c:pt idx="4">
                  <c:v>13</c:v>
                </c:pt>
                <c:pt idx="5">
                  <c:v>2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15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 Five Scrolls'!$D$24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 Five Scrolls'!$E$19:$R$19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Scrolls'!$E$24:$R$24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32</c:v>
                </c:pt>
                <c:pt idx="3">
                  <c:v>1</c:v>
                </c:pt>
                <c:pt idx="4">
                  <c:v>120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140032"/>
        <c:axId val="227651520"/>
        <c:axId val="0"/>
      </c:bar3DChart>
      <c:catAx>
        <c:axId val="22814003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51520"/>
        <c:crosses val="autoZero"/>
        <c:auto val="1"/>
        <c:lblAlgn val="ctr"/>
        <c:lblOffset val="100"/>
        <c:noMultiLvlLbl val="0"/>
      </c:catAx>
      <c:valAx>
        <c:axId val="22765152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8140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Esther</a:t>
            </a:r>
          </a:p>
        </c:rich>
      </c:tx>
      <c:layout>
        <c:manualLayout>
          <c:xMode val="edge"/>
          <c:yMode val="edge"/>
          <c:x val="0.42622222222222222"/>
          <c:y val="2.1505376344086023E-2"/>
        </c:manualLayout>
      </c:layout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 Five Scrolls'!$D$26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Scrolls'!$E$26:$R$26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 Five Scrolls'!$D$27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Scrolls'!$E$27:$R$27</c:f>
              <c:numCache>
                <c:formatCode>General</c:formatCode>
                <c:ptCount val="14"/>
                <c:pt idx="0">
                  <c:v>21</c:v>
                </c:pt>
                <c:pt idx="1">
                  <c:v>40</c:v>
                </c:pt>
                <c:pt idx="2">
                  <c:v>24</c:v>
                </c:pt>
                <c:pt idx="3">
                  <c:v>4</c:v>
                </c:pt>
                <c:pt idx="4">
                  <c:v>41</c:v>
                </c:pt>
                <c:pt idx="5">
                  <c:v>12</c:v>
                </c:pt>
                <c:pt idx="6">
                  <c:v>17</c:v>
                </c:pt>
                <c:pt idx="7">
                  <c:v>0</c:v>
                </c:pt>
                <c:pt idx="8">
                  <c:v>5</c:v>
                </c:pt>
                <c:pt idx="9">
                  <c:v>3</c:v>
                </c:pt>
                <c:pt idx="10">
                  <c:v>13</c:v>
                </c:pt>
                <c:pt idx="11">
                  <c:v>53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 Five Scrolls'!$D$28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Scrolls'!$E$28:$R$28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 Five Scrolls'!$D$29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Scrolls'!$E$29:$R$29</c:f>
              <c:numCache>
                <c:formatCode>General</c:formatCode>
                <c:ptCount val="14"/>
                <c:pt idx="0">
                  <c:v>16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19</c:v>
                </c:pt>
                <c:pt idx="5">
                  <c:v>3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26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 Five Scrolls'!$D$30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Scrolls'!$E$30:$R$30</c:f>
              <c:numCache>
                <c:formatCode>General</c:formatCode>
                <c:ptCount val="14"/>
                <c:pt idx="0">
                  <c:v>83</c:v>
                </c:pt>
                <c:pt idx="1">
                  <c:v>16</c:v>
                </c:pt>
                <c:pt idx="2">
                  <c:v>196</c:v>
                </c:pt>
                <c:pt idx="3">
                  <c:v>5</c:v>
                </c:pt>
                <c:pt idx="4">
                  <c:v>45</c:v>
                </c:pt>
                <c:pt idx="5">
                  <c:v>10</c:v>
                </c:pt>
                <c:pt idx="6">
                  <c:v>15</c:v>
                </c:pt>
                <c:pt idx="7">
                  <c:v>0</c:v>
                </c:pt>
                <c:pt idx="8">
                  <c:v>8</c:v>
                </c:pt>
                <c:pt idx="9">
                  <c:v>10</c:v>
                </c:pt>
                <c:pt idx="10">
                  <c:v>6</c:v>
                </c:pt>
                <c:pt idx="11">
                  <c:v>31</c:v>
                </c:pt>
                <c:pt idx="12">
                  <c:v>12</c:v>
                </c:pt>
                <c:pt idx="13">
                  <c:v>0</c:v>
                </c:pt>
              </c:numCache>
            </c:numRef>
          </c:val>
        </c:ser>
        <c:ser>
          <c:idx val="5"/>
          <c:order val="5"/>
          <c:tx>
            <c:strRef>
              <c:f>'The Five Scrolls'!$D$31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 Five Scrolls'!$E$25:$R$25</c:f>
              <c:strCache>
                <c:ptCount val="14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  <c:pt idx="12">
                  <c:v>Pazer</c:v>
                </c:pt>
                <c:pt idx="13">
                  <c:v>Shalshelet</c:v>
                </c:pt>
              </c:strCache>
            </c:strRef>
          </c:cat>
          <c:val>
            <c:numRef>
              <c:f>'The Five Scrolls'!$E$31:$R$31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2</c:v>
                </c:pt>
                <c:pt idx="4">
                  <c:v>167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142592"/>
        <c:axId val="227653824"/>
        <c:axId val="0"/>
      </c:bar3DChart>
      <c:catAx>
        <c:axId val="22814259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53824"/>
        <c:crosses val="autoZero"/>
        <c:auto val="1"/>
        <c:lblAlgn val="ctr"/>
        <c:lblOffset val="100"/>
        <c:noMultiLvlLbl val="0"/>
      </c:catAx>
      <c:valAx>
        <c:axId val="22765382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814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Genesis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Torah!$D$2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Torah!$E$2:$P$2</c:f>
              <c:numCache>
                <c:formatCode>General</c:formatCode>
                <c:ptCount val="12"/>
                <c:pt idx="0">
                  <c:v>168</c:v>
                </c:pt>
                <c:pt idx="1">
                  <c:v>155</c:v>
                </c:pt>
                <c:pt idx="2">
                  <c:v>212</c:v>
                </c:pt>
                <c:pt idx="3">
                  <c:v>62</c:v>
                </c:pt>
                <c:pt idx="4">
                  <c:v>401</c:v>
                </c:pt>
                <c:pt idx="5">
                  <c:v>29</c:v>
                </c:pt>
                <c:pt idx="6">
                  <c:v>48</c:v>
                </c:pt>
                <c:pt idx="7">
                  <c:v>0</c:v>
                </c:pt>
                <c:pt idx="8">
                  <c:v>19</c:v>
                </c:pt>
                <c:pt idx="9">
                  <c:v>11</c:v>
                </c:pt>
                <c:pt idx="10">
                  <c:v>66</c:v>
                </c:pt>
                <c:pt idx="11">
                  <c:v>254</c:v>
                </c:pt>
              </c:numCache>
            </c:numRef>
          </c:val>
        </c:ser>
        <c:ser>
          <c:idx val="1"/>
          <c:order val="1"/>
          <c:tx>
            <c:strRef>
              <c:f>Torah!$D$3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Torah!$E$3:$P$3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12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ser>
          <c:idx val="2"/>
          <c:order val="2"/>
          <c:tx>
            <c:strRef>
              <c:f>Torah!$D$4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Torah!$E$4:$P$4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Torah!$D$5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Torah!$E$5:$P$5</c:f>
              <c:numCache>
                <c:formatCode>General</c:formatCode>
                <c:ptCount val="12"/>
                <c:pt idx="0">
                  <c:v>79</c:v>
                </c:pt>
                <c:pt idx="1">
                  <c:v>46</c:v>
                </c:pt>
                <c:pt idx="2">
                  <c:v>49</c:v>
                </c:pt>
                <c:pt idx="3">
                  <c:v>58</c:v>
                </c:pt>
                <c:pt idx="4">
                  <c:v>201</c:v>
                </c:pt>
                <c:pt idx="5">
                  <c:v>8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102</c:v>
                </c:pt>
              </c:numCache>
            </c:numRef>
          </c:val>
        </c:ser>
        <c:ser>
          <c:idx val="4"/>
          <c:order val="4"/>
          <c:tx>
            <c:strRef>
              <c:f>Torah!$D$6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Torah!$E$6:$P$6</c:f>
              <c:numCache>
                <c:formatCode>General</c:formatCode>
                <c:ptCount val="12"/>
                <c:pt idx="0">
                  <c:v>356</c:v>
                </c:pt>
                <c:pt idx="1">
                  <c:v>41</c:v>
                </c:pt>
                <c:pt idx="2">
                  <c:v>1224</c:v>
                </c:pt>
                <c:pt idx="3">
                  <c:v>44</c:v>
                </c:pt>
                <c:pt idx="4">
                  <c:v>186</c:v>
                </c:pt>
                <c:pt idx="5">
                  <c:v>15</c:v>
                </c:pt>
                <c:pt idx="6">
                  <c:v>24</c:v>
                </c:pt>
                <c:pt idx="7">
                  <c:v>0</c:v>
                </c:pt>
                <c:pt idx="8">
                  <c:v>53</c:v>
                </c:pt>
                <c:pt idx="9">
                  <c:v>61</c:v>
                </c:pt>
                <c:pt idx="10">
                  <c:v>18</c:v>
                </c:pt>
                <c:pt idx="11">
                  <c:v>89</c:v>
                </c:pt>
              </c:numCache>
            </c:numRef>
          </c:val>
        </c:ser>
        <c:ser>
          <c:idx val="5"/>
          <c:order val="5"/>
          <c:tx>
            <c:strRef>
              <c:f>Torah!$D$7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Torah!$E$1:$P$1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Torah!$E$7:$P$7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380</c:v>
                </c:pt>
                <c:pt idx="3">
                  <c:v>11</c:v>
                </c:pt>
                <c:pt idx="4">
                  <c:v>876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973632"/>
        <c:axId val="227779136"/>
        <c:axId val="0"/>
      </c:bar3DChart>
      <c:catAx>
        <c:axId val="22797363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779136"/>
        <c:crosses val="autoZero"/>
        <c:auto val="1"/>
        <c:lblAlgn val="ctr"/>
        <c:lblOffset val="100"/>
        <c:noMultiLvlLbl val="0"/>
      </c:catAx>
      <c:valAx>
        <c:axId val="22777913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7973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Exodus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Torah!$D$9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Torah!$E$9:$P$9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Torah!$D$10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Torah!$E$10:$P$10</c:f>
              <c:numCache>
                <c:formatCode>General</c:formatCode>
                <c:ptCount val="12"/>
                <c:pt idx="0">
                  <c:v>140</c:v>
                </c:pt>
                <c:pt idx="1">
                  <c:v>139</c:v>
                </c:pt>
                <c:pt idx="2">
                  <c:v>195</c:v>
                </c:pt>
                <c:pt idx="3">
                  <c:v>26</c:v>
                </c:pt>
                <c:pt idx="4">
                  <c:v>301</c:v>
                </c:pt>
                <c:pt idx="5">
                  <c:v>12</c:v>
                </c:pt>
                <c:pt idx="6">
                  <c:v>45</c:v>
                </c:pt>
                <c:pt idx="7">
                  <c:v>0</c:v>
                </c:pt>
                <c:pt idx="8">
                  <c:v>20</c:v>
                </c:pt>
                <c:pt idx="9">
                  <c:v>12</c:v>
                </c:pt>
                <c:pt idx="10">
                  <c:v>67</c:v>
                </c:pt>
                <c:pt idx="11">
                  <c:v>215</c:v>
                </c:pt>
              </c:numCache>
            </c:numRef>
          </c:val>
        </c:ser>
        <c:ser>
          <c:idx val="2"/>
          <c:order val="2"/>
          <c:tx>
            <c:strRef>
              <c:f>Torah!$D$11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Torah!$E$11:$P$11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</c:ser>
        <c:ser>
          <c:idx val="3"/>
          <c:order val="3"/>
          <c:tx>
            <c:strRef>
              <c:f>Torah!$D$12</c:f>
              <c:strCache>
                <c:ptCount val="1"/>
                <c:pt idx="0">
                  <c:v>G4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Torah!$E$12:$P$12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ser>
          <c:idx val="4"/>
          <c:order val="4"/>
          <c:tx>
            <c:strRef>
              <c:f>Torah!$D$13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Torah!$E$13:$P$13</c:f>
              <c:numCache>
                <c:formatCode>General</c:formatCode>
                <c:ptCount val="12"/>
                <c:pt idx="0">
                  <c:v>56</c:v>
                </c:pt>
                <c:pt idx="1">
                  <c:v>49</c:v>
                </c:pt>
                <c:pt idx="2">
                  <c:v>49</c:v>
                </c:pt>
                <c:pt idx="3">
                  <c:v>42</c:v>
                </c:pt>
                <c:pt idx="4">
                  <c:v>128</c:v>
                </c:pt>
                <c:pt idx="5">
                  <c:v>10</c:v>
                </c:pt>
                <c:pt idx="6">
                  <c:v>17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12</c:v>
                </c:pt>
                <c:pt idx="11">
                  <c:v>101</c:v>
                </c:pt>
              </c:numCache>
            </c:numRef>
          </c:val>
        </c:ser>
        <c:ser>
          <c:idx val="5"/>
          <c:order val="5"/>
          <c:tx>
            <c:strRef>
              <c:f>Torah!$D$14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Torah!$E$14:$P$14</c:f>
              <c:numCache>
                <c:formatCode>General</c:formatCode>
                <c:ptCount val="12"/>
                <c:pt idx="0">
                  <c:v>310</c:v>
                </c:pt>
                <c:pt idx="1">
                  <c:v>35</c:v>
                </c:pt>
                <c:pt idx="2">
                  <c:v>920</c:v>
                </c:pt>
                <c:pt idx="3">
                  <c:v>23</c:v>
                </c:pt>
                <c:pt idx="4">
                  <c:v>159</c:v>
                </c:pt>
                <c:pt idx="5">
                  <c:v>22</c:v>
                </c:pt>
                <c:pt idx="6">
                  <c:v>24</c:v>
                </c:pt>
                <c:pt idx="7">
                  <c:v>0</c:v>
                </c:pt>
                <c:pt idx="8">
                  <c:v>59</c:v>
                </c:pt>
                <c:pt idx="9">
                  <c:v>68</c:v>
                </c:pt>
                <c:pt idx="10">
                  <c:v>18</c:v>
                </c:pt>
                <c:pt idx="11">
                  <c:v>80</c:v>
                </c:pt>
              </c:numCache>
            </c:numRef>
          </c:val>
        </c:ser>
        <c:ser>
          <c:idx val="6"/>
          <c:order val="6"/>
          <c:tx>
            <c:strRef>
              <c:f>Torah!$D$15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Torah!$E$8:$P$8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Tarsin</c:v>
                </c:pt>
                <c:pt idx="11">
                  <c:v>Qadma</c:v>
                </c:pt>
              </c:strCache>
            </c:strRef>
          </c:cat>
          <c:val>
            <c:numRef>
              <c:f>Torah!$E$15:$P$15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299</c:v>
                </c:pt>
                <c:pt idx="3">
                  <c:v>8</c:v>
                </c:pt>
                <c:pt idx="4">
                  <c:v>707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448896"/>
        <c:axId val="227781440"/>
        <c:axId val="0"/>
      </c:bar3DChart>
      <c:catAx>
        <c:axId val="226448896"/>
        <c:scaling>
          <c:orientation val="minMax"/>
        </c:scaling>
        <c:delete val="0"/>
        <c:axPos val="l"/>
        <c:majorTickMark val="out"/>
        <c:minorTickMark val="none"/>
        <c:tickLblPos val="nextTo"/>
        <c:crossAx val="227781440"/>
        <c:crosses val="autoZero"/>
        <c:auto val="1"/>
        <c:lblAlgn val="ctr"/>
        <c:lblOffset val="100"/>
        <c:noMultiLvlLbl val="0"/>
      </c:catAx>
      <c:valAx>
        <c:axId val="22778144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6448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Joshua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'Joshua-Judges'!$D$2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'Joshua-Judges'!$E$2:$P$2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'Joshua-Judges'!$D$3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'Joshua-Judges'!$E$3:$P$3</c:f>
              <c:numCache>
                <c:formatCode>General</c:formatCode>
                <c:ptCount val="12"/>
                <c:pt idx="0">
                  <c:v>100</c:v>
                </c:pt>
                <c:pt idx="1">
                  <c:v>127</c:v>
                </c:pt>
                <c:pt idx="2">
                  <c:v>103</c:v>
                </c:pt>
                <c:pt idx="3">
                  <c:v>13</c:v>
                </c:pt>
                <c:pt idx="4">
                  <c:v>195</c:v>
                </c:pt>
                <c:pt idx="5">
                  <c:v>33</c:v>
                </c:pt>
                <c:pt idx="6">
                  <c:v>46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181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'Joshua-Judges'!$D$4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'Joshua-Judges'!$E$4:$P$4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'Joshua-Judges'!$D$5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'Joshua-Judges'!$E$5:$P$5</c:f>
              <c:numCache>
                <c:formatCode>General</c:formatCode>
                <c:ptCount val="12"/>
                <c:pt idx="0">
                  <c:v>43</c:v>
                </c:pt>
                <c:pt idx="1">
                  <c:v>47</c:v>
                </c:pt>
                <c:pt idx="2">
                  <c:v>15</c:v>
                </c:pt>
                <c:pt idx="3">
                  <c:v>12</c:v>
                </c:pt>
                <c:pt idx="4">
                  <c:v>61</c:v>
                </c:pt>
                <c:pt idx="5">
                  <c:v>13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'Joshua-Judges'!$D$6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'Joshua-Judges'!$E$6:$P$6</c:f>
              <c:numCache>
                <c:formatCode>General</c:formatCode>
                <c:ptCount val="12"/>
                <c:pt idx="0">
                  <c:v>216</c:v>
                </c:pt>
                <c:pt idx="1">
                  <c:v>50</c:v>
                </c:pt>
                <c:pt idx="2">
                  <c:v>530</c:v>
                </c:pt>
                <c:pt idx="3">
                  <c:v>20</c:v>
                </c:pt>
                <c:pt idx="4">
                  <c:v>109</c:v>
                </c:pt>
                <c:pt idx="5">
                  <c:v>28</c:v>
                </c:pt>
                <c:pt idx="6">
                  <c:v>40</c:v>
                </c:pt>
                <c:pt idx="7">
                  <c:v>0</c:v>
                </c:pt>
                <c:pt idx="8">
                  <c:v>27</c:v>
                </c:pt>
                <c:pt idx="9">
                  <c:v>30</c:v>
                </c:pt>
                <c:pt idx="10">
                  <c:v>96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'Joshua-Judges'!$D$7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'Joshua-Judges'!$E$1:$P$1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Zaefq-qatan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'Joshua-Judges'!$E$7:$P$7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214</c:v>
                </c:pt>
                <c:pt idx="3">
                  <c:v>4</c:v>
                </c:pt>
                <c:pt idx="4">
                  <c:v>484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876800"/>
        <c:axId val="227783744"/>
        <c:axId val="0"/>
      </c:bar3DChart>
      <c:catAx>
        <c:axId val="228876800"/>
        <c:scaling>
          <c:orientation val="minMax"/>
        </c:scaling>
        <c:delete val="0"/>
        <c:axPos val="l"/>
        <c:majorTickMark val="out"/>
        <c:minorTickMark val="none"/>
        <c:tickLblPos val="nextTo"/>
        <c:crossAx val="227783744"/>
        <c:crosses val="autoZero"/>
        <c:auto val="1"/>
        <c:lblAlgn val="ctr"/>
        <c:lblOffset val="100"/>
        <c:noMultiLvlLbl val="0"/>
      </c:catAx>
      <c:valAx>
        <c:axId val="22778374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887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Jugdes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'Joshua-Judges'!$D$9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'Joshua-Judges'!$E$8:$P$8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'Joshua-Judges'!$E$9:$P$9</c:f>
              <c:numCache>
                <c:formatCode>General</c:formatCode>
                <c:ptCount val="12"/>
                <c:pt idx="0">
                  <c:v>82</c:v>
                </c:pt>
                <c:pt idx="1">
                  <c:v>97</c:v>
                </c:pt>
                <c:pt idx="2">
                  <c:v>117</c:v>
                </c:pt>
                <c:pt idx="3">
                  <c:v>12</c:v>
                </c:pt>
                <c:pt idx="4">
                  <c:v>249</c:v>
                </c:pt>
                <c:pt idx="5">
                  <c:v>13</c:v>
                </c:pt>
                <c:pt idx="6">
                  <c:v>36</c:v>
                </c:pt>
                <c:pt idx="7">
                  <c:v>0</c:v>
                </c:pt>
                <c:pt idx="8">
                  <c:v>16</c:v>
                </c:pt>
                <c:pt idx="9">
                  <c:v>4</c:v>
                </c:pt>
                <c:pt idx="10">
                  <c:v>128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'Joshua-Judges'!$D$10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'Joshua-Judges'!$E$8:$P$8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'Joshua-Judges'!$E$10:$P$10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'Joshua-Judges'!$D$11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'Joshua-Judges'!$E$8:$P$8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'Joshua-Judges'!$E$11:$P$11</c:f>
              <c:numCache>
                <c:formatCode>General</c:formatCode>
                <c:ptCount val="12"/>
                <c:pt idx="0">
                  <c:v>46</c:v>
                </c:pt>
                <c:pt idx="1">
                  <c:v>40</c:v>
                </c:pt>
                <c:pt idx="2">
                  <c:v>23</c:v>
                </c:pt>
                <c:pt idx="3">
                  <c:v>16</c:v>
                </c:pt>
                <c:pt idx="4">
                  <c:v>78</c:v>
                </c:pt>
                <c:pt idx="5">
                  <c:v>10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'Joshua-Judges'!$D$12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'Joshua-Judges'!$E$8:$P$8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'Joshua-Judges'!$E$12:$P$12</c:f>
              <c:numCache>
                <c:formatCode>General</c:formatCode>
                <c:ptCount val="12"/>
                <c:pt idx="0">
                  <c:v>210</c:v>
                </c:pt>
                <c:pt idx="1">
                  <c:v>48</c:v>
                </c:pt>
                <c:pt idx="2">
                  <c:v>644</c:v>
                </c:pt>
                <c:pt idx="3">
                  <c:v>27</c:v>
                </c:pt>
                <c:pt idx="4">
                  <c:v>108</c:v>
                </c:pt>
                <c:pt idx="5">
                  <c:v>9</c:v>
                </c:pt>
                <c:pt idx="6">
                  <c:v>37</c:v>
                </c:pt>
                <c:pt idx="7">
                  <c:v>0</c:v>
                </c:pt>
                <c:pt idx="8">
                  <c:v>25</c:v>
                </c:pt>
                <c:pt idx="9">
                  <c:v>38</c:v>
                </c:pt>
                <c:pt idx="10">
                  <c:v>80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'Joshua-Judges'!$D$13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'Joshua-Judges'!$E$8:$P$8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'Joshua-Judges'!$E$13:$P$13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186</c:v>
                </c:pt>
                <c:pt idx="3">
                  <c:v>6</c:v>
                </c:pt>
                <c:pt idx="4">
                  <c:v>467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879360"/>
        <c:axId val="227655680"/>
        <c:axId val="0"/>
      </c:bar3DChart>
      <c:catAx>
        <c:axId val="228879360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55680"/>
        <c:crosses val="autoZero"/>
        <c:auto val="1"/>
        <c:lblAlgn val="ctr"/>
        <c:lblOffset val="100"/>
        <c:noMultiLvlLbl val="0"/>
      </c:catAx>
      <c:valAx>
        <c:axId val="22765568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8879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Samuel!$E$39</c:f>
              <c:strCache>
                <c:ptCount val="1"/>
                <c:pt idx="0">
                  <c:v>1 Sam z-q</c:v>
                </c:pt>
              </c:strCache>
            </c:strRef>
          </c:tx>
          <c:marker>
            <c:symbol val="none"/>
          </c:marker>
          <c:cat>
            <c:strRef>
              <c:f>Samuel!$D$40:$D$44</c:f>
              <c:strCache>
                <c:ptCount val="5"/>
                <c:pt idx="0">
                  <c:v>E4</c:v>
                </c:pt>
                <c:pt idx="1">
                  <c:v>F4</c:v>
                </c:pt>
                <c:pt idx="2">
                  <c:v>A4</c:v>
                </c:pt>
                <c:pt idx="3">
                  <c:v>B4</c:v>
                </c:pt>
                <c:pt idx="4">
                  <c:v>C5</c:v>
                </c:pt>
              </c:strCache>
            </c:strRef>
          </c:cat>
          <c:val>
            <c:numRef>
              <c:f>Samuel!$E$40:$E$44</c:f>
              <c:numCache>
                <c:formatCode>General</c:formatCode>
                <c:ptCount val="5"/>
                <c:pt idx="0">
                  <c:v>147</c:v>
                </c:pt>
                <c:pt idx="1">
                  <c:v>12</c:v>
                </c:pt>
                <c:pt idx="2">
                  <c:v>22</c:v>
                </c:pt>
                <c:pt idx="3">
                  <c:v>819</c:v>
                </c:pt>
                <c:pt idx="4">
                  <c:v>325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Samuel!$F$39</c:f>
              <c:strCache>
                <c:ptCount val="1"/>
                <c:pt idx="0">
                  <c:v>Pashta</c:v>
                </c:pt>
              </c:strCache>
            </c:strRef>
          </c:tx>
          <c:marker>
            <c:symbol val="none"/>
          </c:marker>
          <c:cat>
            <c:strRef>
              <c:f>Samuel!$D$40:$D$44</c:f>
              <c:strCache>
                <c:ptCount val="5"/>
                <c:pt idx="0">
                  <c:v>E4</c:v>
                </c:pt>
                <c:pt idx="1">
                  <c:v>F4</c:v>
                </c:pt>
                <c:pt idx="2">
                  <c:v>A4</c:v>
                </c:pt>
                <c:pt idx="3">
                  <c:v>B4</c:v>
                </c:pt>
                <c:pt idx="4">
                  <c:v>C5</c:v>
                </c:pt>
              </c:strCache>
            </c:strRef>
          </c:cat>
          <c:val>
            <c:numRef>
              <c:f>Samuel!$F$40:$F$44</c:f>
              <c:numCache>
                <c:formatCode>General</c:formatCode>
                <c:ptCount val="5"/>
                <c:pt idx="0">
                  <c:v>290</c:v>
                </c:pt>
                <c:pt idx="1">
                  <c:v>37</c:v>
                </c:pt>
                <c:pt idx="2">
                  <c:v>92</c:v>
                </c:pt>
                <c:pt idx="3">
                  <c:v>130</c:v>
                </c:pt>
                <c:pt idx="4">
                  <c:v>698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Samuel!$G$39</c:f>
              <c:strCache>
                <c:ptCount val="1"/>
                <c:pt idx="0">
                  <c:v>2 Sam z-q</c:v>
                </c:pt>
              </c:strCache>
            </c:strRef>
          </c:tx>
          <c:marker>
            <c:symbol val="none"/>
          </c:marker>
          <c:cat>
            <c:strRef>
              <c:f>Samuel!$D$40:$D$44</c:f>
              <c:strCache>
                <c:ptCount val="5"/>
                <c:pt idx="0">
                  <c:v>E4</c:v>
                </c:pt>
                <c:pt idx="1">
                  <c:v>F4</c:v>
                </c:pt>
                <c:pt idx="2">
                  <c:v>A4</c:v>
                </c:pt>
                <c:pt idx="3">
                  <c:v>B4</c:v>
                </c:pt>
                <c:pt idx="4">
                  <c:v>C5</c:v>
                </c:pt>
              </c:strCache>
            </c:strRef>
          </c:cat>
          <c:val>
            <c:numRef>
              <c:f>Samuel!$G$40:$G$44</c:f>
              <c:numCache>
                <c:formatCode>General</c:formatCode>
                <c:ptCount val="5"/>
                <c:pt idx="0">
                  <c:v>119</c:v>
                </c:pt>
                <c:pt idx="1">
                  <c:v>18</c:v>
                </c:pt>
                <c:pt idx="2">
                  <c:v>24</c:v>
                </c:pt>
                <c:pt idx="3">
                  <c:v>614</c:v>
                </c:pt>
                <c:pt idx="4">
                  <c:v>239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Samuel!$H$39</c:f>
              <c:strCache>
                <c:ptCount val="1"/>
                <c:pt idx="0">
                  <c:v>Pashta</c:v>
                </c:pt>
              </c:strCache>
            </c:strRef>
          </c:tx>
          <c:marker>
            <c:symbol val="none"/>
          </c:marker>
          <c:cat>
            <c:strRef>
              <c:f>Samuel!$D$40:$D$44</c:f>
              <c:strCache>
                <c:ptCount val="5"/>
                <c:pt idx="0">
                  <c:v>E4</c:v>
                </c:pt>
                <c:pt idx="1">
                  <c:v>F4</c:v>
                </c:pt>
                <c:pt idx="2">
                  <c:v>A4</c:v>
                </c:pt>
                <c:pt idx="3">
                  <c:v>B4</c:v>
                </c:pt>
                <c:pt idx="4">
                  <c:v>C5</c:v>
                </c:pt>
              </c:strCache>
            </c:strRef>
          </c:cat>
          <c:val>
            <c:numRef>
              <c:f>Samuel!$H$40:$H$44</c:f>
              <c:numCache>
                <c:formatCode>General</c:formatCode>
                <c:ptCount val="5"/>
                <c:pt idx="0">
                  <c:v>230</c:v>
                </c:pt>
                <c:pt idx="1">
                  <c:v>40</c:v>
                </c:pt>
                <c:pt idx="2">
                  <c:v>96</c:v>
                </c:pt>
                <c:pt idx="3">
                  <c:v>110</c:v>
                </c:pt>
                <c:pt idx="4">
                  <c:v>575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749824"/>
        <c:axId val="227656256"/>
      </c:lineChart>
      <c:catAx>
        <c:axId val="22874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227656256"/>
        <c:crosses val="autoZero"/>
        <c:auto val="1"/>
        <c:lblAlgn val="ctr"/>
        <c:lblOffset val="100"/>
        <c:noMultiLvlLbl val="0"/>
      </c:catAx>
      <c:valAx>
        <c:axId val="22765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749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1 Kings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Kings!$D$2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Kings!$E$1:$P$1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Kings!$E$2:$P$2</c:f>
              <c:numCache>
                <c:formatCode>General</c:formatCode>
                <c:ptCount val="12"/>
                <c:pt idx="0">
                  <c:v>111</c:v>
                </c:pt>
                <c:pt idx="1">
                  <c:v>129</c:v>
                </c:pt>
                <c:pt idx="2">
                  <c:v>129</c:v>
                </c:pt>
                <c:pt idx="3">
                  <c:v>26</c:v>
                </c:pt>
                <c:pt idx="4">
                  <c:v>286</c:v>
                </c:pt>
                <c:pt idx="5">
                  <c:v>28</c:v>
                </c:pt>
                <c:pt idx="6">
                  <c:v>61</c:v>
                </c:pt>
                <c:pt idx="7">
                  <c:v>0</c:v>
                </c:pt>
                <c:pt idx="8">
                  <c:v>16</c:v>
                </c:pt>
                <c:pt idx="9">
                  <c:v>9</c:v>
                </c:pt>
                <c:pt idx="10">
                  <c:v>214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Kings!$D$3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Kings!$E$1:$P$1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Kings!$E$3:$P$3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Kings!$D$4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Kings!$E$1:$P$1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Kings!$E$4:$P$4</c:f>
              <c:numCache>
                <c:formatCode>General</c:formatCode>
                <c:ptCount val="12"/>
                <c:pt idx="0">
                  <c:v>51</c:v>
                </c:pt>
                <c:pt idx="1">
                  <c:v>42</c:v>
                </c:pt>
                <c:pt idx="2">
                  <c:v>25</c:v>
                </c:pt>
                <c:pt idx="3">
                  <c:v>18</c:v>
                </c:pt>
                <c:pt idx="4">
                  <c:v>112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Kings!$D$5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Kings!$E$1:$P$1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Kings!$E$5:$P$5</c:f>
              <c:numCache>
                <c:formatCode>General</c:formatCode>
                <c:ptCount val="12"/>
                <c:pt idx="0">
                  <c:v>326</c:v>
                </c:pt>
                <c:pt idx="1">
                  <c:v>56</c:v>
                </c:pt>
                <c:pt idx="2">
                  <c:v>843</c:v>
                </c:pt>
                <c:pt idx="3">
                  <c:v>32</c:v>
                </c:pt>
                <c:pt idx="4">
                  <c:v>167</c:v>
                </c:pt>
                <c:pt idx="5">
                  <c:v>29</c:v>
                </c:pt>
                <c:pt idx="6">
                  <c:v>40</c:v>
                </c:pt>
                <c:pt idx="7">
                  <c:v>0</c:v>
                </c:pt>
                <c:pt idx="8">
                  <c:v>25</c:v>
                </c:pt>
                <c:pt idx="9">
                  <c:v>31</c:v>
                </c:pt>
                <c:pt idx="10">
                  <c:v>107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Kings!$D$6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Kings!$E$1:$P$1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Kings!$E$6:$P$6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222</c:v>
                </c:pt>
                <c:pt idx="3">
                  <c:v>12</c:v>
                </c:pt>
                <c:pt idx="4">
                  <c:v>636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249024"/>
        <c:axId val="227659712"/>
        <c:axId val="0"/>
      </c:bar3DChart>
      <c:catAx>
        <c:axId val="229249024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59712"/>
        <c:crosses val="autoZero"/>
        <c:auto val="1"/>
        <c:lblAlgn val="ctr"/>
        <c:lblOffset val="100"/>
        <c:noMultiLvlLbl val="0"/>
      </c:catAx>
      <c:valAx>
        <c:axId val="22765971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24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2 Kings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Kings!$D$8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Kings!$E$8:$P$8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Kings!$D$9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Kings!$E$9:$P$9</c:f>
              <c:numCache>
                <c:formatCode>General</c:formatCode>
                <c:ptCount val="12"/>
                <c:pt idx="0">
                  <c:v>100</c:v>
                </c:pt>
                <c:pt idx="1">
                  <c:v>117</c:v>
                </c:pt>
                <c:pt idx="2">
                  <c:v>119</c:v>
                </c:pt>
                <c:pt idx="3">
                  <c:v>27</c:v>
                </c:pt>
                <c:pt idx="4">
                  <c:v>278</c:v>
                </c:pt>
                <c:pt idx="5">
                  <c:v>25</c:v>
                </c:pt>
                <c:pt idx="6">
                  <c:v>58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173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Kings!$D$10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Kings!$E$10:$P$10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Kings!$D$11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Kings!$E$11:$P$11</c:f>
              <c:numCache>
                <c:formatCode>General</c:formatCode>
                <c:ptCount val="12"/>
                <c:pt idx="0">
                  <c:v>53</c:v>
                </c:pt>
                <c:pt idx="1">
                  <c:v>47</c:v>
                </c:pt>
                <c:pt idx="2">
                  <c:v>31</c:v>
                </c:pt>
                <c:pt idx="3">
                  <c:v>16</c:v>
                </c:pt>
                <c:pt idx="4">
                  <c:v>80</c:v>
                </c:pt>
                <c:pt idx="5">
                  <c:v>18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77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Kings!$D$12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Kings!$E$12:$P$12</c:f>
              <c:numCache>
                <c:formatCode>General</c:formatCode>
                <c:ptCount val="12"/>
                <c:pt idx="0">
                  <c:v>318</c:v>
                </c:pt>
                <c:pt idx="1">
                  <c:v>70</c:v>
                </c:pt>
                <c:pt idx="2">
                  <c:v>743</c:v>
                </c:pt>
                <c:pt idx="3">
                  <c:v>22</c:v>
                </c:pt>
                <c:pt idx="4">
                  <c:v>133</c:v>
                </c:pt>
                <c:pt idx="5">
                  <c:v>32</c:v>
                </c:pt>
                <c:pt idx="6">
                  <c:v>41</c:v>
                </c:pt>
                <c:pt idx="7">
                  <c:v>0</c:v>
                </c:pt>
                <c:pt idx="8">
                  <c:v>37</c:v>
                </c:pt>
                <c:pt idx="9">
                  <c:v>41</c:v>
                </c:pt>
                <c:pt idx="10">
                  <c:v>111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Kings!$D$13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Kings!$E$7:$P$7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Kings!$E$13:$P$13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200</c:v>
                </c:pt>
                <c:pt idx="3">
                  <c:v>7</c:v>
                </c:pt>
                <c:pt idx="4">
                  <c:v>570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363712"/>
        <c:axId val="227662016"/>
        <c:axId val="0"/>
      </c:bar3DChart>
      <c:catAx>
        <c:axId val="22936371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662016"/>
        <c:crosses val="autoZero"/>
        <c:auto val="1"/>
        <c:lblAlgn val="ctr"/>
        <c:lblOffset val="100"/>
        <c:noMultiLvlLbl val="0"/>
      </c:catAx>
      <c:valAx>
        <c:axId val="22766201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363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Hosea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'The-Twelve'!$D$2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'The-Twelve'!$E$1:$P$1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'The-Twelve'!$E$2:$P$2</c:f>
              <c:numCache>
                <c:formatCode>General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37</c:v>
                </c:pt>
                <c:pt idx="3">
                  <c:v>10</c:v>
                </c:pt>
                <c:pt idx="4">
                  <c:v>60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'The-Twelve'!$D$3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'The-Twelve'!$E$1:$P$1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'The-Twelve'!$E$3:$P$3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'The-Twelve'!$D$4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'The-Twelve'!$E$1:$P$1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'The-Twelve'!$E$4:$P$4</c:f>
              <c:numCache>
                <c:formatCode>General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28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'The-Twelve'!$D$5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'The-Twelve'!$E$1:$P$1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'The-Twelve'!$E$5:$P$5</c:f>
              <c:numCache>
                <c:formatCode>General</c:formatCode>
                <c:ptCount val="12"/>
                <c:pt idx="0">
                  <c:v>38</c:v>
                </c:pt>
                <c:pt idx="1">
                  <c:v>2</c:v>
                </c:pt>
                <c:pt idx="2">
                  <c:v>158</c:v>
                </c:pt>
                <c:pt idx="3">
                  <c:v>3</c:v>
                </c:pt>
                <c:pt idx="4">
                  <c:v>23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'The-Twelve'!$D$6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'The-Twelve'!$E$1:$P$1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'The-Twelve'!$E$6:$P$6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  <c:pt idx="4">
                  <c:v>112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040128"/>
        <c:axId val="228704832"/>
        <c:axId val="0"/>
      </c:bar3DChart>
      <c:catAx>
        <c:axId val="229040128"/>
        <c:scaling>
          <c:orientation val="minMax"/>
        </c:scaling>
        <c:delete val="0"/>
        <c:axPos val="l"/>
        <c:majorTickMark val="out"/>
        <c:minorTickMark val="none"/>
        <c:tickLblPos val="nextTo"/>
        <c:crossAx val="228704832"/>
        <c:crosses val="autoZero"/>
        <c:auto val="1"/>
        <c:lblAlgn val="ctr"/>
        <c:lblOffset val="100"/>
        <c:noMultiLvlLbl val="0"/>
      </c:catAx>
      <c:valAx>
        <c:axId val="22870483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040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Joel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'The-Twelve'!$D$9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'The-Twelve'!$E$8:$P$8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'The-Twelve'!$E$9:$P$9</c:f>
              <c:numCache>
                <c:formatCode>General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19</c:v>
                </c:pt>
                <c:pt idx="3">
                  <c:v>2</c:v>
                </c:pt>
                <c:pt idx="4">
                  <c:v>34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'The-Twelve'!$D$10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'The-Twelve'!$E$8:$P$8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'The-Twelve'!$E$10:$P$10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'The-Twelve'!$D$11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'The-Twelve'!$E$8:$P$8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'The-Twelve'!$E$11:$P$11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'The-Twelve'!$D$12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'The-Twelve'!$E$8:$P$8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'The-Twelve'!$E$12:$P$12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72</c:v>
                </c:pt>
                <c:pt idx="3">
                  <c:v>2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'The-Twelve'!$D$13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'The-Twelve'!$E$8:$P$8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'The-Twelve'!$E$13:$P$13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21</c:v>
                </c:pt>
                <c:pt idx="3">
                  <c:v>0</c:v>
                </c:pt>
                <c:pt idx="4">
                  <c:v>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043200"/>
        <c:axId val="228707136"/>
        <c:axId val="0"/>
      </c:bar3DChart>
      <c:catAx>
        <c:axId val="229043200"/>
        <c:scaling>
          <c:orientation val="minMax"/>
        </c:scaling>
        <c:delete val="0"/>
        <c:axPos val="l"/>
        <c:majorTickMark val="out"/>
        <c:minorTickMark val="none"/>
        <c:tickLblPos val="nextTo"/>
        <c:crossAx val="228707136"/>
        <c:crosses val="autoZero"/>
        <c:auto val="1"/>
        <c:lblAlgn val="ctr"/>
        <c:lblOffset val="100"/>
        <c:noMultiLvlLbl val="0"/>
      </c:catAx>
      <c:valAx>
        <c:axId val="22870713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043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Daniel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'Daniel-E-N'!$D$2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'Daniel-E-N'!$E$1:$P$1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'Daniel-E-N'!$E$2:$P$2</c:f>
              <c:numCache>
                <c:formatCode>General</c:formatCode>
                <c:ptCount val="12"/>
                <c:pt idx="0">
                  <c:v>59</c:v>
                </c:pt>
                <c:pt idx="1">
                  <c:v>57</c:v>
                </c:pt>
                <c:pt idx="2">
                  <c:v>86</c:v>
                </c:pt>
                <c:pt idx="3">
                  <c:v>5</c:v>
                </c:pt>
                <c:pt idx="4">
                  <c:v>160</c:v>
                </c:pt>
                <c:pt idx="5">
                  <c:v>16</c:v>
                </c:pt>
                <c:pt idx="6">
                  <c:v>13</c:v>
                </c:pt>
                <c:pt idx="7">
                  <c:v>0</c:v>
                </c:pt>
                <c:pt idx="8">
                  <c:v>6</c:v>
                </c:pt>
                <c:pt idx="9">
                  <c:v>5</c:v>
                </c:pt>
                <c:pt idx="10">
                  <c:v>61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'Daniel-E-N'!$D$3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'Daniel-E-N'!$E$1:$P$1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'Daniel-E-N'!$E$3:$P$3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'Daniel-E-N'!$D$4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'Daniel-E-N'!$E$1:$P$1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'Daniel-E-N'!$E$4:$P$4</c:f>
              <c:numCache>
                <c:formatCode>General</c:formatCode>
                <c:ptCount val="12"/>
                <c:pt idx="0">
                  <c:v>24</c:v>
                </c:pt>
                <c:pt idx="1">
                  <c:v>25</c:v>
                </c:pt>
                <c:pt idx="2">
                  <c:v>14</c:v>
                </c:pt>
                <c:pt idx="3">
                  <c:v>18</c:v>
                </c:pt>
                <c:pt idx="4">
                  <c:v>66</c:v>
                </c:pt>
                <c:pt idx="5">
                  <c:v>3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35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'Daniel-E-N'!$D$5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'Daniel-E-N'!$E$1:$P$1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'Daniel-E-N'!$E$5:$P$5</c:f>
              <c:numCache>
                <c:formatCode>General</c:formatCode>
                <c:ptCount val="12"/>
                <c:pt idx="0">
                  <c:v>165</c:v>
                </c:pt>
                <c:pt idx="1">
                  <c:v>19</c:v>
                </c:pt>
                <c:pt idx="2">
                  <c:v>428</c:v>
                </c:pt>
                <c:pt idx="3">
                  <c:v>15</c:v>
                </c:pt>
                <c:pt idx="4">
                  <c:v>94</c:v>
                </c:pt>
                <c:pt idx="5">
                  <c:v>15</c:v>
                </c:pt>
                <c:pt idx="6">
                  <c:v>24</c:v>
                </c:pt>
                <c:pt idx="7">
                  <c:v>0</c:v>
                </c:pt>
                <c:pt idx="8">
                  <c:v>14</c:v>
                </c:pt>
                <c:pt idx="9">
                  <c:v>16</c:v>
                </c:pt>
                <c:pt idx="10">
                  <c:v>49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'Daniel-E-N'!$D$6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'Daniel-E-N'!$E$1:$P$1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'Daniel-E-N'!$E$6:$P$6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97</c:v>
                </c:pt>
                <c:pt idx="3">
                  <c:v>2</c:v>
                </c:pt>
                <c:pt idx="4">
                  <c:v>278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301440"/>
        <c:axId val="228709440"/>
        <c:axId val="0"/>
      </c:bar3DChart>
      <c:catAx>
        <c:axId val="226301440"/>
        <c:scaling>
          <c:orientation val="minMax"/>
        </c:scaling>
        <c:delete val="0"/>
        <c:axPos val="l"/>
        <c:majorTickMark val="out"/>
        <c:minorTickMark val="none"/>
        <c:tickLblPos val="nextTo"/>
        <c:crossAx val="228709440"/>
        <c:crosses val="autoZero"/>
        <c:auto val="1"/>
        <c:lblAlgn val="ctr"/>
        <c:lblOffset val="100"/>
        <c:noMultiLvlLbl val="0"/>
      </c:catAx>
      <c:valAx>
        <c:axId val="22870944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630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Ezra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'Daniel-E-N'!$D$8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'Daniel-E-N'!$E$8:$P$8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'Daniel-E-N'!$D$9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'Daniel-E-N'!$E$9:$P$9</c:f>
              <c:numCache>
                <c:formatCode>General</c:formatCode>
                <c:ptCount val="12"/>
                <c:pt idx="0">
                  <c:v>36</c:v>
                </c:pt>
                <c:pt idx="1">
                  <c:v>29</c:v>
                </c:pt>
                <c:pt idx="2">
                  <c:v>58</c:v>
                </c:pt>
                <c:pt idx="3">
                  <c:v>5</c:v>
                </c:pt>
                <c:pt idx="4">
                  <c:v>97</c:v>
                </c:pt>
                <c:pt idx="5">
                  <c:v>14</c:v>
                </c:pt>
                <c:pt idx="6">
                  <c:v>12</c:v>
                </c:pt>
                <c:pt idx="7">
                  <c:v>0</c:v>
                </c:pt>
                <c:pt idx="8">
                  <c:v>10</c:v>
                </c:pt>
                <c:pt idx="9">
                  <c:v>1</c:v>
                </c:pt>
                <c:pt idx="10">
                  <c:v>39</c:v>
                </c:pt>
                <c:pt idx="11">
                  <c:v>1</c:v>
                </c:pt>
              </c:numCache>
            </c:numRef>
          </c:val>
        </c:ser>
        <c:ser>
          <c:idx val="2"/>
          <c:order val="2"/>
          <c:tx>
            <c:strRef>
              <c:f>'Daniel-E-N'!$D$10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'Daniel-E-N'!$E$10:$P$10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'Daniel-E-N'!$D$11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'Daniel-E-N'!$E$11:$P$11</c:f>
              <c:numCache>
                <c:formatCode>General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7</c:v>
                </c:pt>
                <c:pt idx="3">
                  <c:v>14</c:v>
                </c:pt>
                <c:pt idx="4">
                  <c:v>15</c:v>
                </c:pt>
                <c:pt idx="5">
                  <c:v>5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'Daniel-E-N'!$D$12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'Daniel-E-N'!$E$12:$P$12</c:f>
              <c:numCache>
                <c:formatCode>General</c:formatCode>
                <c:ptCount val="12"/>
                <c:pt idx="0">
                  <c:v>97</c:v>
                </c:pt>
                <c:pt idx="1">
                  <c:v>18</c:v>
                </c:pt>
                <c:pt idx="2">
                  <c:v>244</c:v>
                </c:pt>
                <c:pt idx="3">
                  <c:v>12</c:v>
                </c:pt>
                <c:pt idx="4">
                  <c:v>45</c:v>
                </c:pt>
                <c:pt idx="5">
                  <c:v>16</c:v>
                </c:pt>
                <c:pt idx="6">
                  <c:v>10</c:v>
                </c:pt>
                <c:pt idx="7">
                  <c:v>0</c:v>
                </c:pt>
                <c:pt idx="8">
                  <c:v>6</c:v>
                </c:pt>
                <c:pt idx="9">
                  <c:v>15</c:v>
                </c:pt>
                <c:pt idx="10">
                  <c:v>32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'Daniel-E-N'!$D$13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'Daniel-E-N'!$E$7:$P$7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'Daniel-E-N'!$E$13:$P$13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3</c:v>
                </c:pt>
                <c:pt idx="4">
                  <c:v>140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818880"/>
        <c:axId val="228711744"/>
        <c:axId val="0"/>
      </c:bar3DChart>
      <c:catAx>
        <c:axId val="229818880"/>
        <c:scaling>
          <c:orientation val="minMax"/>
        </c:scaling>
        <c:delete val="0"/>
        <c:axPos val="l"/>
        <c:majorTickMark val="out"/>
        <c:minorTickMark val="none"/>
        <c:tickLblPos val="nextTo"/>
        <c:crossAx val="228711744"/>
        <c:crosses val="autoZero"/>
        <c:auto val="1"/>
        <c:lblAlgn val="ctr"/>
        <c:lblOffset val="100"/>
        <c:noMultiLvlLbl val="0"/>
      </c:catAx>
      <c:valAx>
        <c:axId val="228711744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818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Nehemiah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'Daniel-E-N'!$D$15</c:f>
              <c:strCache>
                <c:ptCount val="1"/>
                <c:pt idx="0">
                  <c:v>D4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'Daniel-E-N'!$E$15:$P$15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'Daniel-E-N'!$D$16</c:f>
              <c:strCache>
                <c:ptCount val="1"/>
                <c:pt idx="0">
                  <c:v>E4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'Daniel-E-N'!$E$16:$P$16</c:f>
              <c:numCache>
                <c:formatCode>General</c:formatCode>
                <c:ptCount val="12"/>
                <c:pt idx="0">
                  <c:v>35</c:v>
                </c:pt>
                <c:pt idx="1">
                  <c:v>54</c:v>
                </c:pt>
                <c:pt idx="2">
                  <c:v>63</c:v>
                </c:pt>
                <c:pt idx="3">
                  <c:v>8</c:v>
                </c:pt>
                <c:pt idx="4">
                  <c:v>114</c:v>
                </c:pt>
                <c:pt idx="5">
                  <c:v>12</c:v>
                </c:pt>
                <c:pt idx="6">
                  <c:v>21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71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'Daniel-E-N'!$D$17</c:f>
              <c:strCache>
                <c:ptCount val="1"/>
                <c:pt idx="0">
                  <c:v>F4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'Daniel-E-N'!$E$17:$P$17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'Daniel-E-N'!$D$18</c:f>
              <c:strCache>
                <c:ptCount val="1"/>
                <c:pt idx="0">
                  <c:v>A4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'Daniel-E-N'!$E$18:$P$18</c:f>
              <c:numCache>
                <c:formatCode>General</c:formatCode>
                <c:ptCount val="12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50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'Daniel-E-N'!$D$19</c:f>
              <c:strCache>
                <c:ptCount val="1"/>
                <c:pt idx="0">
                  <c:v>B4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'Daniel-E-N'!$E$19:$P$19</c:f>
              <c:numCache>
                <c:formatCode>General</c:formatCode>
                <c:ptCount val="12"/>
                <c:pt idx="0">
                  <c:v>120</c:v>
                </c:pt>
                <c:pt idx="1">
                  <c:v>34</c:v>
                </c:pt>
                <c:pt idx="2">
                  <c:v>349</c:v>
                </c:pt>
                <c:pt idx="3">
                  <c:v>15</c:v>
                </c:pt>
                <c:pt idx="4">
                  <c:v>66</c:v>
                </c:pt>
                <c:pt idx="5">
                  <c:v>28</c:v>
                </c:pt>
                <c:pt idx="6">
                  <c:v>13</c:v>
                </c:pt>
                <c:pt idx="7">
                  <c:v>0</c:v>
                </c:pt>
                <c:pt idx="8">
                  <c:v>16</c:v>
                </c:pt>
                <c:pt idx="9">
                  <c:v>19</c:v>
                </c:pt>
                <c:pt idx="10">
                  <c:v>54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'Daniel-E-N'!$D$20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cat>
            <c:strRef>
              <c:f>'Daniel-E-N'!$E$14:$P$14</c:f>
              <c:strCache>
                <c:ptCount val="12"/>
                <c:pt idx="0">
                  <c:v>Revia</c:v>
                </c:pt>
                <c:pt idx="1">
                  <c:v>Azla</c:v>
                </c:pt>
                <c:pt idx="2">
                  <c:v>Zaqef-qatan</c:v>
                </c:pt>
                <c:pt idx="3">
                  <c:v>Zaqef-gadol</c:v>
                </c:pt>
                <c:pt idx="4">
                  <c:v>Pashta</c:v>
                </c:pt>
                <c:pt idx="5">
                  <c:v>Telisha-gedola</c:v>
                </c:pt>
                <c:pt idx="6">
                  <c:v>Telisha-qetana</c:v>
                </c:pt>
                <c:pt idx="7">
                  <c:v>Qarne</c:v>
                </c:pt>
                <c:pt idx="8">
                  <c:v>Tsinnor</c:v>
                </c:pt>
                <c:pt idx="9">
                  <c:v>Segol</c:v>
                </c:pt>
                <c:pt idx="10">
                  <c:v>Qadma</c:v>
                </c:pt>
                <c:pt idx="11">
                  <c:v>Shalshelet</c:v>
                </c:pt>
              </c:strCache>
            </c:strRef>
          </c:cat>
          <c:val>
            <c:numRef>
              <c:f>'Daniel-E-N'!$E$20:$P$20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67</c:v>
                </c:pt>
                <c:pt idx="3">
                  <c:v>1</c:v>
                </c:pt>
                <c:pt idx="4">
                  <c:v>215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9820928"/>
        <c:axId val="229075776"/>
        <c:axId val="0"/>
      </c:bar3DChart>
      <c:catAx>
        <c:axId val="229820928"/>
        <c:scaling>
          <c:orientation val="minMax"/>
        </c:scaling>
        <c:delete val="0"/>
        <c:axPos val="l"/>
        <c:majorTickMark val="out"/>
        <c:minorTickMark val="none"/>
        <c:tickLblPos val="nextTo"/>
        <c:crossAx val="229075776"/>
        <c:crosses val="autoZero"/>
        <c:auto val="1"/>
        <c:lblAlgn val="ctr"/>
        <c:lblOffset val="100"/>
        <c:noMultiLvlLbl val="0"/>
      </c:catAx>
      <c:valAx>
        <c:axId val="22907577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29820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14286</xdr:colOff>
      <xdr:row>1</xdr:row>
      <xdr:rowOff>4762</xdr:rowOff>
    </xdr:from>
    <xdr:to>
      <xdr:col>21</xdr:col>
      <xdr:colOff>104775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33336</xdr:colOff>
      <xdr:row>21</xdr:row>
      <xdr:rowOff>114300</xdr:rowOff>
    </xdr:from>
    <xdr:to>
      <xdr:col>21</xdr:col>
      <xdr:colOff>95249</xdr:colOff>
      <xdr:row>43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205</xdr:row>
      <xdr:rowOff>190499</xdr:rowOff>
    </xdr:from>
    <xdr:to>
      <xdr:col>21</xdr:col>
      <xdr:colOff>342900</xdr:colOff>
      <xdr:row>225</xdr:row>
      <xdr:rowOff>95248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313765</xdr:colOff>
      <xdr:row>41</xdr:row>
      <xdr:rowOff>33618</xdr:rowOff>
    </xdr:from>
    <xdr:to>
      <xdr:col>10</xdr:col>
      <xdr:colOff>515472</xdr:colOff>
      <xdr:row>63</xdr:row>
      <xdr:rowOff>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661148</xdr:colOff>
      <xdr:row>41</xdr:row>
      <xdr:rowOff>11206</xdr:rowOff>
    </xdr:from>
    <xdr:to>
      <xdr:col>18</xdr:col>
      <xdr:colOff>493058</xdr:colOff>
      <xdr:row>62</xdr:row>
      <xdr:rowOff>179294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11206</xdr:colOff>
      <xdr:row>41</xdr:row>
      <xdr:rowOff>1118</xdr:rowOff>
    </xdr:from>
    <xdr:to>
      <xdr:col>29</xdr:col>
      <xdr:colOff>134471</xdr:colOff>
      <xdr:row>63</xdr:row>
      <xdr:rowOff>11206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0</xdr:row>
      <xdr:rowOff>11206</xdr:rowOff>
    </xdr:from>
    <xdr:to>
      <xdr:col>25</xdr:col>
      <xdr:colOff>296955</xdr:colOff>
      <xdr:row>17</xdr:row>
      <xdr:rowOff>138953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28013</xdr:colOff>
      <xdr:row>18</xdr:row>
      <xdr:rowOff>107575</xdr:rowOff>
    </xdr:from>
    <xdr:to>
      <xdr:col>25</xdr:col>
      <xdr:colOff>313763</xdr:colOff>
      <xdr:row>36</xdr:row>
      <xdr:rowOff>134470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358587</xdr:colOff>
      <xdr:row>63</xdr:row>
      <xdr:rowOff>118782</xdr:rowOff>
    </xdr:from>
    <xdr:to>
      <xdr:col>25</xdr:col>
      <xdr:colOff>190499</xdr:colOff>
      <xdr:row>81</xdr:row>
      <xdr:rowOff>179293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358587</xdr:colOff>
      <xdr:row>82</xdr:row>
      <xdr:rowOff>67236</xdr:rowOff>
    </xdr:from>
    <xdr:to>
      <xdr:col>25</xdr:col>
      <xdr:colOff>280145</xdr:colOff>
      <xdr:row>103</xdr:row>
      <xdr:rowOff>56030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39219</xdr:colOff>
      <xdr:row>91</xdr:row>
      <xdr:rowOff>180414</xdr:rowOff>
    </xdr:from>
    <xdr:to>
      <xdr:col>10</xdr:col>
      <xdr:colOff>526676</xdr:colOff>
      <xdr:row>110</xdr:row>
      <xdr:rowOff>179294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0</xdr:row>
      <xdr:rowOff>57148</xdr:rowOff>
    </xdr:from>
    <xdr:to>
      <xdr:col>27</xdr:col>
      <xdr:colOff>314325</xdr:colOff>
      <xdr:row>21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585787</xdr:colOff>
      <xdr:row>21</xdr:row>
      <xdr:rowOff>28574</xdr:rowOff>
    </xdr:from>
    <xdr:to>
      <xdr:col>27</xdr:col>
      <xdr:colOff>280987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</xdr:colOff>
      <xdr:row>31</xdr:row>
      <xdr:rowOff>152399</xdr:rowOff>
    </xdr:from>
    <xdr:to>
      <xdr:col>6</xdr:col>
      <xdr:colOff>557212</xdr:colOff>
      <xdr:row>52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61912</xdr:colOff>
      <xdr:row>31</xdr:row>
      <xdr:rowOff>161925</xdr:rowOff>
    </xdr:from>
    <xdr:to>
      <xdr:col>14</xdr:col>
      <xdr:colOff>366712</xdr:colOff>
      <xdr:row>52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404812</xdr:colOff>
      <xdr:row>41</xdr:row>
      <xdr:rowOff>28575</xdr:rowOff>
    </xdr:from>
    <xdr:to>
      <xdr:col>27</xdr:col>
      <xdr:colOff>100012</xdr:colOff>
      <xdr:row>62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14287</xdr:colOff>
      <xdr:row>0</xdr:row>
      <xdr:rowOff>0</xdr:rowOff>
    </xdr:from>
    <xdr:to>
      <xdr:col>28</xdr:col>
      <xdr:colOff>319087</xdr:colOff>
      <xdr:row>20</xdr:row>
      <xdr:rowOff>90488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14287</xdr:colOff>
      <xdr:row>21</xdr:row>
      <xdr:rowOff>100011</xdr:rowOff>
    </xdr:from>
    <xdr:to>
      <xdr:col>28</xdr:col>
      <xdr:colOff>319087</xdr:colOff>
      <xdr:row>39</xdr:row>
      <xdr:rowOff>123824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261937</xdr:colOff>
      <xdr:row>15</xdr:row>
      <xdr:rowOff>52386</xdr:rowOff>
    </xdr:from>
    <xdr:to>
      <xdr:col>23</xdr:col>
      <xdr:colOff>566737</xdr:colOff>
      <xdr:row>34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500062</xdr:colOff>
      <xdr:row>14</xdr:row>
      <xdr:rowOff>176211</xdr:rowOff>
    </xdr:from>
    <xdr:to>
      <xdr:col>10</xdr:col>
      <xdr:colOff>195262</xdr:colOff>
      <xdr:row>33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14</xdr:row>
      <xdr:rowOff>42862</xdr:rowOff>
    </xdr:from>
    <xdr:to>
      <xdr:col>13</xdr:col>
      <xdr:colOff>338137</xdr:colOff>
      <xdr:row>28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16</xdr:row>
      <xdr:rowOff>119062</xdr:rowOff>
    </xdr:from>
    <xdr:to>
      <xdr:col>17</xdr:col>
      <xdr:colOff>138112</xdr:colOff>
      <xdr:row>34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319087</xdr:colOff>
      <xdr:row>16</xdr:row>
      <xdr:rowOff>71437</xdr:rowOff>
    </xdr:from>
    <xdr:to>
      <xdr:col>9</xdr:col>
      <xdr:colOff>14287</xdr:colOff>
      <xdr:row>34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328612</xdr:colOff>
      <xdr:row>0</xdr:row>
      <xdr:rowOff>52386</xdr:rowOff>
    </xdr:from>
    <xdr:to>
      <xdr:col>25</xdr:col>
      <xdr:colOff>23812</xdr:colOff>
      <xdr:row>22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66675</xdr:colOff>
      <xdr:row>11</xdr:row>
      <xdr:rowOff>33337</xdr:rowOff>
    </xdr:from>
    <xdr:to>
      <xdr:col>24</xdr:col>
      <xdr:colOff>371475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21</xdr:row>
      <xdr:rowOff>157161</xdr:rowOff>
    </xdr:from>
    <xdr:to>
      <xdr:col>7</xdr:col>
      <xdr:colOff>400050</xdr:colOff>
      <xdr:row>43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21</xdr:row>
      <xdr:rowOff>176211</xdr:rowOff>
    </xdr:from>
    <xdr:to>
      <xdr:col>14</xdr:col>
      <xdr:colOff>485775</xdr:colOff>
      <xdr:row>43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342900</xdr:colOff>
      <xdr:row>22</xdr:row>
      <xdr:rowOff>23812</xdr:rowOff>
    </xdr:from>
    <xdr:to>
      <xdr:col>23</xdr:col>
      <xdr:colOff>38100</xdr:colOff>
      <xdr:row>42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C23" sqref="C23:C32"/>
    </sheetView>
  </sheetViews>
  <sheetFormatPr defaultRowHeight="15" x14ac:dyDescent="0.25"/>
  <cols>
    <col min="1" max="1" width="10.28515625" bestFit="1" customWidth="1"/>
    <col min="2" max="2" width="13.85546875" bestFit="1" customWidth="1"/>
  </cols>
  <sheetData>
    <row r="1" spans="1:11" x14ac:dyDescent="0.25">
      <c r="A1" t="s">
        <v>82</v>
      </c>
      <c r="C1" t="s">
        <v>81</v>
      </c>
    </row>
    <row r="2" spans="1:11" x14ac:dyDescent="0.25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120</v>
      </c>
    </row>
    <row r="3" spans="1:11" x14ac:dyDescent="0.25">
      <c r="A3" t="s">
        <v>7</v>
      </c>
      <c r="B3" t="s">
        <v>11</v>
      </c>
      <c r="C3">
        <v>29</v>
      </c>
      <c r="D3">
        <v>0</v>
      </c>
      <c r="E3">
        <v>4</v>
      </c>
      <c r="F3">
        <v>1</v>
      </c>
      <c r="G3">
        <v>0</v>
      </c>
      <c r="H3">
        <v>20</v>
      </c>
      <c r="I3">
        <v>0</v>
      </c>
      <c r="J3">
        <v>4</v>
      </c>
      <c r="K3" t="b">
        <f t="shared" ref="K3:K32" si="0">SUM(D3:J3)=C3</f>
        <v>1</v>
      </c>
    </row>
    <row r="4" spans="1:11" x14ac:dyDescent="0.25">
      <c r="A4" t="s">
        <v>7</v>
      </c>
      <c r="B4" t="s">
        <v>5</v>
      </c>
      <c r="C4">
        <v>72</v>
      </c>
      <c r="D4">
        <v>29</v>
      </c>
      <c r="E4">
        <v>23</v>
      </c>
      <c r="F4">
        <v>13</v>
      </c>
      <c r="G4">
        <v>0</v>
      </c>
      <c r="H4">
        <v>0</v>
      </c>
      <c r="I4">
        <v>0</v>
      </c>
      <c r="J4">
        <v>7</v>
      </c>
      <c r="K4" t="b">
        <f t="shared" si="0"/>
        <v>1</v>
      </c>
    </row>
    <row r="5" spans="1:11" x14ac:dyDescent="0.25">
      <c r="A5" t="s">
        <v>7</v>
      </c>
      <c r="B5" t="s">
        <v>10</v>
      </c>
      <c r="C5">
        <v>138</v>
      </c>
      <c r="D5">
        <v>0</v>
      </c>
      <c r="E5">
        <v>3</v>
      </c>
      <c r="F5">
        <v>47</v>
      </c>
      <c r="G5">
        <v>0</v>
      </c>
      <c r="H5">
        <v>88</v>
      </c>
      <c r="I5">
        <v>0</v>
      </c>
      <c r="J5">
        <v>0</v>
      </c>
      <c r="K5" t="b">
        <f t="shared" si="0"/>
        <v>1</v>
      </c>
    </row>
    <row r="6" spans="1:11" x14ac:dyDescent="0.25">
      <c r="A6" t="s">
        <v>7</v>
      </c>
      <c r="B6" t="s">
        <v>84</v>
      </c>
      <c r="C6">
        <v>150</v>
      </c>
      <c r="D6">
        <v>3</v>
      </c>
      <c r="E6">
        <v>72</v>
      </c>
      <c r="F6">
        <v>4</v>
      </c>
      <c r="G6">
        <v>3</v>
      </c>
      <c r="H6">
        <v>4</v>
      </c>
      <c r="I6">
        <v>0</v>
      </c>
      <c r="J6">
        <v>64</v>
      </c>
      <c r="K6" t="b">
        <f t="shared" si="0"/>
        <v>1</v>
      </c>
    </row>
    <row r="7" spans="1:11" x14ac:dyDescent="0.25">
      <c r="A7" t="s">
        <v>7</v>
      </c>
      <c r="B7" t="s">
        <v>9</v>
      </c>
      <c r="C7">
        <v>158</v>
      </c>
      <c r="D7">
        <v>5</v>
      </c>
      <c r="E7">
        <v>81</v>
      </c>
      <c r="F7">
        <v>17</v>
      </c>
      <c r="G7">
        <v>1</v>
      </c>
      <c r="H7">
        <v>11</v>
      </c>
      <c r="I7">
        <v>0</v>
      </c>
      <c r="J7">
        <v>43</v>
      </c>
      <c r="K7" t="b">
        <f t="shared" si="0"/>
        <v>1</v>
      </c>
    </row>
    <row r="8" spans="1:11" x14ac:dyDescent="0.25">
      <c r="A8" t="s">
        <v>7</v>
      </c>
      <c r="B8" t="s">
        <v>4</v>
      </c>
      <c r="C8">
        <v>219</v>
      </c>
      <c r="D8">
        <v>5</v>
      </c>
      <c r="E8">
        <v>71</v>
      </c>
      <c r="F8">
        <v>49</v>
      </c>
      <c r="G8">
        <v>0</v>
      </c>
      <c r="H8">
        <v>0</v>
      </c>
      <c r="I8">
        <v>59</v>
      </c>
      <c r="J8">
        <v>35</v>
      </c>
      <c r="K8" t="b">
        <f t="shared" si="0"/>
        <v>1</v>
      </c>
    </row>
    <row r="9" spans="1:11" x14ac:dyDescent="0.25">
      <c r="A9" t="s">
        <v>7</v>
      </c>
      <c r="B9" t="s">
        <v>6</v>
      </c>
      <c r="C9">
        <v>292</v>
      </c>
      <c r="D9">
        <v>1</v>
      </c>
      <c r="E9">
        <v>84</v>
      </c>
      <c r="F9">
        <v>24</v>
      </c>
      <c r="G9">
        <v>3</v>
      </c>
      <c r="H9">
        <v>10</v>
      </c>
      <c r="I9">
        <v>0</v>
      </c>
      <c r="J9">
        <v>170</v>
      </c>
      <c r="K9" t="b">
        <f t="shared" si="0"/>
        <v>1</v>
      </c>
    </row>
    <row r="10" spans="1:11" x14ac:dyDescent="0.25">
      <c r="A10" t="s">
        <v>7</v>
      </c>
      <c r="B10" t="s">
        <v>3</v>
      </c>
      <c r="C10">
        <v>342</v>
      </c>
      <c r="D10">
        <v>150</v>
      </c>
      <c r="E10">
        <v>102</v>
      </c>
      <c r="F10">
        <v>73</v>
      </c>
      <c r="G10">
        <v>0</v>
      </c>
      <c r="H10">
        <v>0</v>
      </c>
      <c r="I10">
        <v>1</v>
      </c>
      <c r="J10">
        <v>16</v>
      </c>
      <c r="K10" t="b">
        <f t="shared" si="0"/>
        <v>1</v>
      </c>
    </row>
    <row r="11" spans="1:11" x14ac:dyDescent="0.25">
      <c r="A11" t="s">
        <v>7</v>
      </c>
      <c r="B11" t="s">
        <v>2</v>
      </c>
      <c r="C11">
        <v>1523</v>
      </c>
      <c r="D11">
        <v>0</v>
      </c>
      <c r="E11">
        <v>63</v>
      </c>
      <c r="F11">
        <v>497</v>
      </c>
      <c r="G11">
        <v>1</v>
      </c>
      <c r="H11">
        <v>961</v>
      </c>
      <c r="I11">
        <v>0</v>
      </c>
      <c r="J11">
        <v>1</v>
      </c>
      <c r="K11" t="b">
        <f t="shared" si="0"/>
        <v>1</v>
      </c>
    </row>
    <row r="12" spans="1:11" x14ac:dyDescent="0.25">
      <c r="A12" t="s">
        <v>7</v>
      </c>
      <c r="B12" t="s">
        <v>1</v>
      </c>
      <c r="C12">
        <v>2207</v>
      </c>
      <c r="D12">
        <v>5</v>
      </c>
      <c r="E12">
        <v>358</v>
      </c>
      <c r="F12">
        <v>732</v>
      </c>
      <c r="G12">
        <v>14</v>
      </c>
      <c r="H12">
        <v>916</v>
      </c>
      <c r="I12">
        <v>0</v>
      </c>
      <c r="J12">
        <v>182</v>
      </c>
      <c r="K12" t="b">
        <f t="shared" si="0"/>
        <v>1</v>
      </c>
    </row>
    <row r="13" spans="1:11" x14ac:dyDescent="0.25">
      <c r="A13" t="s">
        <v>12</v>
      </c>
      <c r="B13" t="s">
        <v>11</v>
      </c>
      <c r="C13">
        <v>4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2</v>
      </c>
      <c r="K13" t="b">
        <f t="shared" si="0"/>
        <v>1</v>
      </c>
    </row>
    <row r="14" spans="1:11" x14ac:dyDescent="0.25">
      <c r="A14" t="s">
        <v>12</v>
      </c>
      <c r="B14" t="s">
        <v>5</v>
      </c>
      <c r="C14">
        <v>11</v>
      </c>
      <c r="D14">
        <v>5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 t="b">
        <f t="shared" si="0"/>
        <v>1</v>
      </c>
    </row>
    <row r="15" spans="1:11" x14ac:dyDescent="0.25">
      <c r="A15" t="s">
        <v>12</v>
      </c>
      <c r="B15" t="s">
        <v>4</v>
      </c>
      <c r="C15">
        <v>14</v>
      </c>
      <c r="D15">
        <v>0</v>
      </c>
      <c r="E15">
        <v>4</v>
      </c>
      <c r="F15">
        <v>4</v>
      </c>
      <c r="G15">
        <v>0</v>
      </c>
      <c r="H15">
        <v>0</v>
      </c>
      <c r="I15">
        <v>4</v>
      </c>
      <c r="J15">
        <v>2</v>
      </c>
      <c r="K15" t="b">
        <f t="shared" si="0"/>
        <v>1</v>
      </c>
    </row>
    <row r="16" spans="1:11" x14ac:dyDescent="0.25">
      <c r="A16" t="s">
        <v>12</v>
      </c>
      <c r="B16" t="s">
        <v>84</v>
      </c>
      <c r="C16">
        <v>14</v>
      </c>
      <c r="D16">
        <v>0</v>
      </c>
      <c r="E16">
        <v>6</v>
      </c>
      <c r="F16">
        <v>0</v>
      </c>
      <c r="G16">
        <v>1</v>
      </c>
      <c r="H16">
        <v>0</v>
      </c>
      <c r="I16">
        <v>0</v>
      </c>
      <c r="J16">
        <v>7</v>
      </c>
      <c r="K16" t="b">
        <f t="shared" si="0"/>
        <v>1</v>
      </c>
    </row>
    <row r="17" spans="1:11" x14ac:dyDescent="0.25">
      <c r="A17" t="s">
        <v>12</v>
      </c>
      <c r="B17" t="s">
        <v>9</v>
      </c>
      <c r="C17">
        <v>16</v>
      </c>
      <c r="D17">
        <v>1</v>
      </c>
      <c r="E17">
        <v>11</v>
      </c>
      <c r="F17">
        <v>1</v>
      </c>
      <c r="G17">
        <v>0</v>
      </c>
      <c r="H17">
        <v>0</v>
      </c>
      <c r="I17">
        <v>0</v>
      </c>
      <c r="J17">
        <v>3</v>
      </c>
      <c r="K17" t="b">
        <f t="shared" si="0"/>
        <v>1</v>
      </c>
    </row>
    <row r="18" spans="1:11" x14ac:dyDescent="0.25">
      <c r="A18" t="s">
        <v>12</v>
      </c>
      <c r="B18" t="s">
        <v>3</v>
      </c>
      <c r="C18">
        <v>27</v>
      </c>
      <c r="D18">
        <v>4</v>
      </c>
      <c r="E18">
        <v>12</v>
      </c>
      <c r="F18">
        <v>11</v>
      </c>
      <c r="G18">
        <v>0</v>
      </c>
      <c r="H18">
        <v>0</v>
      </c>
      <c r="I18">
        <v>0</v>
      </c>
      <c r="J18">
        <v>0</v>
      </c>
      <c r="K18" t="b">
        <f t="shared" si="0"/>
        <v>1</v>
      </c>
    </row>
    <row r="19" spans="1:11" x14ac:dyDescent="0.25">
      <c r="A19" t="s">
        <v>12</v>
      </c>
      <c r="B19" t="s">
        <v>6</v>
      </c>
      <c r="C19">
        <v>33</v>
      </c>
      <c r="D19">
        <v>0</v>
      </c>
      <c r="E19">
        <v>13</v>
      </c>
      <c r="F19">
        <v>3</v>
      </c>
      <c r="G19">
        <v>1</v>
      </c>
      <c r="H19">
        <v>1</v>
      </c>
      <c r="I19">
        <v>0</v>
      </c>
      <c r="J19">
        <v>15</v>
      </c>
      <c r="K19" t="b">
        <f t="shared" si="0"/>
        <v>1</v>
      </c>
    </row>
    <row r="20" spans="1:11" x14ac:dyDescent="0.25">
      <c r="A20" t="s">
        <v>12</v>
      </c>
      <c r="B20" t="s">
        <v>10</v>
      </c>
      <c r="C20">
        <v>44</v>
      </c>
      <c r="D20">
        <v>0</v>
      </c>
      <c r="E20">
        <v>4</v>
      </c>
      <c r="F20">
        <v>13</v>
      </c>
      <c r="G20">
        <v>0</v>
      </c>
      <c r="H20">
        <v>27</v>
      </c>
      <c r="I20">
        <v>0</v>
      </c>
      <c r="J20">
        <v>0</v>
      </c>
      <c r="K20" t="b">
        <f t="shared" si="0"/>
        <v>1</v>
      </c>
    </row>
    <row r="21" spans="1:11" x14ac:dyDescent="0.25">
      <c r="A21" t="s">
        <v>12</v>
      </c>
      <c r="B21" t="s">
        <v>2</v>
      </c>
      <c r="C21">
        <v>600</v>
      </c>
      <c r="D21">
        <v>0</v>
      </c>
      <c r="E21">
        <v>13</v>
      </c>
      <c r="F21">
        <v>230</v>
      </c>
      <c r="G21">
        <v>0</v>
      </c>
      <c r="H21">
        <v>356</v>
      </c>
      <c r="I21">
        <v>0</v>
      </c>
      <c r="J21">
        <v>1</v>
      </c>
      <c r="K21" t="b">
        <f t="shared" si="0"/>
        <v>1</v>
      </c>
    </row>
    <row r="22" spans="1:11" x14ac:dyDescent="0.25">
      <c r="A22" t="s">
        <v>12</v>
      </c>
      <c r="B22" t="s">
        <v>1</v>
      </c>
      <c r="C22">
        <v>686</v>
      </c>
      <c r="D22">
        <v>0</v>
      </c>
      <c r="E22">
        <v>72</v>
      </c>
      <c r="F22">
        <v>256</v>
      </c>
      <c r="G22">
        <v>0</v>
      </c>
      <c r="H22">
        <v>342</v>
      </c>
      <c r="I22">
        <v>0</v>
      </c>
      <c r="J22">
        <v>16</v>
      </c>
      <c r="K22" t="b">
        <f t="shared" si="0"/>
        <v>1</v>
      </c>
    </row>
    <row r="23" spans="1:11" x14ac:dyDescent="0.25">
      <c r="A23" t="s">
        <v>0</v>
      </c>
      <c r="B23" t="s">
        <v>11</v>
      </c>
      <c r="C23">
        <v>6</v>
      </c>
      <c r="D23">
        <v>0</v>
      </c>
      <c r="E23">
        <v>0</v>
      </c>
      <c r="F23">
        <v>2</v>
      </c>
      <c r="G23">
        <v>0</v>
      </c>
      <c r="H23">
        <v>4</v>
      </c>
      <c r="I23">
        <v>0</v>
      </c>
      <c r="J23">
        <v>0</v>
      </c>
      <c r="K23" t="b">
        <f t="shared" si="0"/>
        <v>1</v>
      </c>
    </row>
    <row r="24" spans="1:11" x14ac:dyDescent="0.25">
      <c r="A24" t="s">
        <v>0</v>
      </c>
      <c r="B24" t="s">
        <v>5</v>
      </c>
      <c r="C24">
        <v>7</v>
      </c>
      <c r="D24">
        <v>2</v>
      </c>
      <c r="E24">
        <v>4</v>
      </c>
      <c r="F24">
        <v>1</v>
      </c>
      <c r="G24">
        <v>0</v>
      </c>
      <c r="H24">
        <v>0</v>
      </c>
      <c r="I24">
        <v>0</v>
      </c>
      <c r="J24">
        <v>0</v>
      </c>
      <c r="K24" t="b">
        <f t="shared" si="0"/>
        <v>1</v>
      </c>
    </row>
    <row r="25" spans="1:11" x14ac:dyDescent="0.25">
      <c r="A25" t="s">
        <v>0</v>
      </c>
      <c r="B25" t="s">
        <v>4</v>
      </c>
      <c r="C25">
        <v>18</v>
      </c>
      <c r="D25">
        <v>0</v>
      </c>
      <c r="E25">
        <v>5</v>
      </c>
      <c r="F25">
        <v>1</v>
      </c>
      <c r="G25">
        <v>0</v>
      </c>
      <c r="H25">
        <v>0</v>
      </c>
      <c r="I25">
        <v>8</v>
      </c>
      <c r="J25">
        <v>4</v>
      </c>
      <c r="K25" t="b">
        <f t="shared" si="0"/>
        <v>1</v>
      </c>
    </row>
    <row r="26" spans="1:11" x14ac:dyDescent="0.25">
      <c r="A26" t="s">
        <v>0</v>
      </c>
      <c r="B26" t="s">
        <v>84</v>
      </c>
      <c r="C26">
        <v>20</v>
      </c>
      <c r="D26">
        <v>0</v>
      </c>
      <c r="E26">
        <v>9</v>
      </c>
      <c r="F26">
        <v>0</v>
      </c>
      <c r="G26">
        <v>0</v>
      </c>
      <c r="H26">
        <v>0</v>
      </c>
      <c r="I26">
        <v>0</v>
      </c>
      <c r="J26">
        <v>11</v>
      </c>
      <c r="K26" t="b">
        <f t="shared" si="0"/>
        <v>1</v>
      </c>
    </row>
    <row r="27" spans="1:11" x14ac:dyDescent="0.25">
      <c r="A27" t="s">
        <v>0</v>
      </c>
      <c r="B27" t="s">
        <v>9</v>
      </c>
      <c r="C27">
        <v>25</v>
      </c>
      <c r="D27">
        <v>0</v>
      </c>
      <c r="E27">
        <v>11</v>
      </c>
      <c r="F27">
        <v>3</v>
      </c>
      <c r="G27">
        <v>0</v>
      </c>
      <c r="H27">
        <v>2</v>
      </c>
      <c r="I27">
        <v>0</v>
      </c>
      <c r="J27">
        <v>9</v>
      </c>
      <c r="K27" t="b">
        <f t="shared" si="0"/>
        <v>1</v>
      </c>
    </row>
    <row r="28" spans="1:11" x14ac:dyDescent="0.25">
      <c r="A28" t="s">
        <v>0</v>
      </c>
      <c r="B28" t="s">
        <v>3</v>
      </c>
      <c r="C28">
        <v>37</v>
      </c>
      <c r="D28">
        <v>12</v>
      </c>
      <c r="E28">
        <v>10</v>
      </c>
      <c r="F28">
        <v>13</v>
      </c>
      <c r="G28">
        <v>0</v>
      </c>
      <c r="H28">
        <v>0</v>
      </c>
      <c r="I28">
        <v>0</v>
      </c>
      <c r="J28">
        <v>2</v>
      </c>
      <c r="K28" t="b">
        <f t="shared" si="0"/>
        <v>1</v>
      </c>
    </row>
    <row r="29" spans="1:11" x14ac:dyDescent="0.25">
      <c r="A29" t="s">
        <v>0</v>
      </c>
      <c r="B29" t="s">
        <v>6</v>
      </c>
      <c r="C29">
        <v>45</v>
      </c>
      <c r="D29">
        <v>0</v>
      </c>
      <c r="E29">
        <v>7</v>
      </c>
      <c r="F29">
        <v>2</v>
      </c>
      <c r="G29">
        <v>0</v>
      </c>
      <c r="H29">
        <v>0</v>
      </c>
      <c r="I29">
        <v>0</v>
      </c>
      <c r="J29">
        <v>36</v>
      </c>
      <c r="K29" t="b">
        <f t="shared" si="0"/>
        <v>1</v>
      </c>
    </row>
    <row r="30" spans="1:11" x14ac:dyDescent="0.25">
      <c r="A30" t="s">
        <v>0</v>
      </c>
      <c r="B30" t="s">
        <v>10</v>
      </c>
      <c r="C30">
        <v>58</v>
      </c>
      <c r="D30">
        <v>0</v>
      </c>
      <c r="E30">
        <v>3</v>
      </c>
      <c r="F30">
        <v>24</v>
      </c>
      <c r="G30">
        <v>0</v>
      </c>
      <c r="H30">
        <v>31</v>
      </c>
      <c r="I30">
        <v>0</v>
      </c>
      <c r="J30">
        <v>0</v>
      </c>
      <c r="K30" t="b">
        <f t="shared" si="0"/>
        <v>1</v>
      </c>
    </row>
    <row r="31" spans="1:11" x14ac:dyDescent="0.25">
      <c r="A31" t="s">
        <v>0</v>
      </c>
      <c r="B31" t="s">
        <v>2</v>
      </c>
      <c r="C31">
        <v>600</v>
      </c>
      <c r="D31">
        <v>0</v>
      </c>
      <c r="E31">
        <v>18</v>
      </c>
      <c r="F31">
        <v>183</v>
      </c>
      <c r="G31">
        <v>0</v>
      </c>
      <c r="H31">
        <v>399</v>
      </c>
      <c r="I31">
        <v>0</v>
      </c>
      <c r="J31">
        <v>0</v>
      </c>
      <c r="K31" t="b">
        <f t="shared" si="0"/>
        <v>1</v>
      </c>
    </row>
    <row r="32" spans="1:11" x14ac:dyDescent="0.25">
      <c r="A32" t="s">
        <v>0</v>
      </c>
      <c r="B32" t="s">
        <v>1</v>
      </c>
      <c r="C32">
        <v>726</v>
      </c>
      <c r="D32">
        <v>1</v>
      </c>
      <c r="E32">
        <v>82</v>
      </c>
      <c r="F32">
        <v>218</v>
      </c>
      <c r="G32">
        <v>2</v>
      </c>
      <c r="H32">
        <v>389</v>
      </c>
      <c r="I32">
        <v>0</v>
      </c>
      <c r="J32">
        <v>34</v>
      </c>
      <c r="K32" t="b">
        <f t="shared" si="0"/>
        <v>1</v>
      </c>
    </row>
    <row r="33" spans="4:4" x14ac:dyDescent="0.25">
      <c r="D33">
        <f>SUM(D3:D32)</f>
        <v>223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4"/>
  <sheetViews>
    <sheetView workbookViewId="0">
      <selection activeCell="L3" sqref="L3"/>
    </sheetView>
  </sheetViews>
  <sheetFormatPr defaultRowHeight="15" x14ac:dyDescent="0.25"/>
  <sheetData>
    <row r="1" spans="1:12" x14ac:dyDescent="0.25">
      <c r="D1" t="s">
        <v>81</v>
      </c>
    </row>
    <row r="2" spans="1:12" x14ac:dyDescent="0.25"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120</v>
      </c>
    </row>
    <row r="3" spans="1:12" x14ac:dyDescent="0.25">
      <c r="A3" t="s">
        <v>7</v>
      </c>
      <c r="B3">
        <v>1</v>
      </c>
      <c r="C3" t="s">
        <v>2</v>
      </c>
      <c r="D3">
        <v>3</v>
      </c>
      <c r="E3">
        <v>0</v>
      </c>
      <c r="F3">
        <v>0</v>
      </c>
      <c r="G3">
        <v>2</v>
      </c>
      <c r="H3">
        <v>0</v>
      </c>
      <c r="I3">
        <v>1</v>
      </c>
      <c r="J3">
        <v>0</v>
      </c>
      <c r="K3">
        <v>0</v>
      </c>
      <c r="L3" t="b">
        <f>SUM(E3:K3)=D3</f>
        <v>1</v>
      </c>
    </row>
    <row r="4" spans="1:12" x14ac:dyDescent="0.25">
      <c r="A4" t="s">
        <v>7</v>
      </c>
      <c r="B4">
        <v>1</v>
      </c>
      <c r="C4" t="s">
        <v>84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b">
        <f t="shared" ref="L4:L67" si="0">SUM(E4:K4)=D4</f>
        <v>1</v>
      </c>
    </row>
    <row r="5" spans="1:12" x14ac:dyDescent="0.25">
      <c r="A5" t="s">
        <v>7</v>
      </c>
      <c r="B5">
        <v>1</v>
      </c>
      <c r="C5" t="s">
        <v>3</v>
      </c>
      <c r="D5">
        <v>3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t="b">
        <f t="shared" si="0"/>
        <v>1</v>
      </c>
    </row>
    <row r="6" spans="1:12" x14ac:dyDescent="0.25">
      <c r="A6" t="s">
        <v>7</v>
      </c>
      <c r="B6">
        <v>1</v>
      </c>
      <c r="C6" t="s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 t="b">
        <f t="shared" si="0"/>
        <v>1</v>
      </c>
    </row>
    <row r="7" spans="1:12" x14ac:dyDescent="0.25">
      <c r="A7" t="s">
        <v>7</v>
      </c>
      <c r="B7">
        <v>1</v>
      </c>
      <c r="C7" t="s">
        <v>1</v>
      </c>
      <c r="D7">
        <v>8</v>
      </c>
      <c r="E7">
        <v>0</v>
      </c>
      <c r="F7">
        <v>2</v>
      </c>
      <c r="G7">
        <v>4</v>
      </c>
      <c r="H7">
        <v>0</v>
      </c>
      <c r="I7">
        <v>1</v>
      </c>
      <c r="J7">
        <v>0</v>
      </c>
      <c r="K7">
        <v>1</v>
      </c>
      <c r="L7" t="b">
        <f t="shared" si="0"/>
        <v>1</v>
      </c>
    </row>
    <row r="8" spans="1:12" x14ac:dyDescent="0.25">
      <c r="A8" t="s">
        <v>7</v>
      </c>
      <c r="B8">
        <v>1</v>
      </c>
      <c r="C8" t="s">
        <v>4</v>
      </c>
      <c r="D8">
        <v>2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 t="b">
        <f t="shared" si="0"/>
        <v>1</v>
      </c>
    </row>
    <row r="9" spans="1:12" x14ac:dyDescent="0.25">
      <c r="A9" t="s">
        <v>7</v>
      </c>
      <c r="B9">
        <v>2</v>
      </c>
      <c r="C9" t="s">
        <v>2</v>
      </c>
      <c r="D9">
        <v>9</v>
      </c>
      <c r="E9">
        <v>0</v>
      </c>
      <c r="F9">
        <v>0</v>
      </c>
      <c r="G9">
        <v>0</v>
      </c>
      <c r="H9">
        <v>0</v>
      </c>
      <c r="I9">
        <v>9</v>
      </c>
      <c r="J9">
        <v>0</v>
      </c>
      <c r="K9">
        <v>0</v>
      </c>
      <c r="L9" t="b">
        <f t="shared" si="0"/>
        <v>1</v>
      </c>
    </row>
    <row r="10" spans="1:12" x14ac:dyDescent="0.25">
      <c r="A10" t="s">
        <v>7</v>
      </c>
      <c r="B10">
        <v>2</v>
      </c>
      <c r="C10" t="s">
        <v>84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b">
        <f t="shared" si="0"/>
        <v>1</v>
      </c>
    </row>
    <row r="11" spans="1:12" x14ac:dyDescent="0.25">
      <c r="A11" t="s">
        <v>7</v>
      </c>
      <c r="B11">
        <v>2</v>
      </c>
      <c r="C11" t="s">
        <v>3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 t="b">
        <f t="shared" si="0"/>
        <v>1</v>
      </c>
    </row>
    <row r="12" spans="1:12" x14ac:dyDescent="0.25">
      <c r="A12" t="s">
        <v>7</v>
      </c>
      <c r="B12">
        <v>2</v>
      </c>
      <c r="C12" t="s">
        <v>5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 t="b">
        <f t="shared" si="0"/>
        <v>1</v>
      </c>
    </row>
    <row r="13" spans="1:12" x14ac:dyDescent="0.25">
      <c r="A13" t="s">
        <v>7</v>
      </c>
      <c r="B13">
        <v>2</v>
      </c>
      <c r="C13" t="s">
        <v>6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 t="b">
        <f t="shared" si="0"/>
        <v>1</v>
      </c>
    </row>
    <row r="14" spans="1:12" x14ac:dyDescent="0.25">
      <c r="A14" t="s">
        <v>7</v>
      </c>
      <c r="B14">
        <v>2</v>
      </c>
      <c r="C14" t="s">
        <v>1</v>
      </c>
      <c r="D14">
        <v>13</v>
      </c>
      <c r="E14">
        <v>0</v>
      </c>
      <c r="F14">
        <v>2</v>
      </c>
      <c r="G14">
        <v>1</v>
      </c>
      <c r="H14">
        <v>0</v>
      </c>
      <c r="I14">
        <v>8</v>
      </c>
      <c r="J14">
        <v>0</v>
      </c>
      <c r="K14">
        <v>2</v>
      </c>
      <c r="L14" t="b">
        <f t="shared" si="0"/>
        <v>1</v>
      </c>
    </row>
    <row r="15" spans="1:12" x14ac:dyDescent="0.25">
      <c r="A15" t="s">
        <v>7</v>
      </c>
      <c r="B15">
        <v>2</v>
      </c>
      <c r="C15" t="s">
        <v>9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 t="b">
        <f t="shared" si="0"/>
        <v>1</v>
      </c>
    </row>
    <row r="16" spans="1:12" x14ac:dyDescent="0.25">
      <c r="A16" t="s">
        <v>7</v>
      </c>
      <c r="B16">
        <v>3</v>
      </c>
      <c r="C16" t="s">
        <v>2</v>
      </c>
      <c r="D16">
        <v>4</v>
      </c>
      <c r="E16">
        <v>0</v>
      </c>
      <c r="F16">
        <v>0</v>
      </c>
      <c r="G16">
        <v>1</v>
      </c>
      <c r="H16">
        <v>0</v>
      </c>
      <c r="I16">
        <v>3</v>
      </c>
      <c r="J16">
        <v>0</v>
      </c>
      <c r="K16">
        <v>0</v>
      </c>
      <c r="L16" t="b">
        <f t="shared" si="0"/>
        <v>1</v>
      </c>
    </row>
    <row r="17" spans="1:12" x14ac:dyDescent="0.25">
      <c r="A17" t="s">
        <v>7</v>
      </c>
      <c r="B17">
        <v>3</v>
      </c>
      <c r="C17" t="s">
        <v>84</v>
      </c>
      <c r="D17">
        <v>3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1</v>
      </c>
      <c r="L17" t="b">
        <f t="shared" si="0"/>
        <v>1</v>
      </c>
    </row>
    <row r="18" spans="1:12" x14ac:dyDescent="0.25">
      <c r="A18" t="s">
        <v>7</v>
      </c>
      <c r="B18">
        <v>3</v>
      </c>
      <c r="C18" t="s">
        <v>3</v>
      </c>
      <c r="D18">
        <v>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 t="b">
        <f t="shared" si="0"/>
        <v>1</v>
      </c>
    </row>
    <row r="19" spans="1:12" x14ac:dyDescent="0.25">
      <c r="A19" t="s">
        <v>7</v>
      </c>
      <c r="B19">
        <v>3</v>
      </c>
      <c r="C19" t="s">
        <v>6</v>
      </c>
      <c r="D19">
        <v>2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 t="b">
        <f t="shared" si="0"/>
        <v>1</v>
      </c>
    </row>
    <row r="20" spans="1:12" x14ac:dyDescent="0.25">
      <c r="A20" t="s">
        <v>7</v>
      </c>
      <c r="B20">
        <v>3</v>
      </c>
      <c r="C20" t="s">
        <v>1</v>
      </c>
      <c r="D20">
        <v>6</v>
      </c>
      <c r="E20">
        <v>0</v>
      </c>
      <c r="F20">
        <v>0</v>
      </c>
      <c r="G20">
        <v>2</v>
      </c>
      <c r="H20">
        <v>0</v>
      </c>
      <c r="I20">
        <v>3</v>
      </c>
      <c r="J20">
        <v>0</v>
      </c>
      <c r="K20">
        <v>1</v>
      </c>
      <c r="L20" t="b">
        <f t="shared" si="0"/>
        <v>1</v>
      </c>
    </row>
    <row r="21" spans="1:12" x14ac:dyDescent="0.25">
      <c r="A21" t="s">
        <v>7</v>
      </c>
      <c r="B21">
        <v>3</v>
      </c>
      <c r="C21" t="s">
        <v>11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 t="b">
        <f t="shared" si="0"/>
        <v>1</v>
      </c>
    </row>
    <row r="22" spans="1:12" x14ac:dyDescent="0.25">
      <c r="A22" t="s">
        <v>7</v>
      </c>
      <c r="B22">
        <v>3</v>
      </c>
      <c r="C22" t="s">
        <v>4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 t="b">
        <f t="shared" si="0"/>
        <v>1</v>
      </c>
    </row>
    <row r="23" spans="1:12" x14ac:dyDescent="0.25">
      <c r="A23" t="s">
        <v>7</v>
      </c>
      <c r="B23">
        <v>3</v>
      </c>
      <c r="C23" t="s">
        <v>9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 t="b">
        <f t="shared" si="0"/>
        <v>1</v>
      </c>
    </row>
    <row r="24" spans="1:12" x14ac:dyDescent="0.25">
      <c r="A24" t="s">
        <v>7</v>
      </c>
      <c r="B24">
        <v>4</v>
      </c>
      <c r="C24" t="s">
        <v>2</v>
      </c>
      <c r="D24">
        <v>4</v>
      </c>
      <c r="E24">
        <v>0</v>
      </c>
      <c r="F24">
        <v>0</v>
      </c>
      <c r="G24">
        <v>1</v>
      </c>
      <c r="H24">
        <v>0</v>
      </c>
      <c r="I24">
        <v>3</v>
      </c>
      <c r="J24">
        <v>0</v>
      </c>
      <c r="K24">
        <v>0</v>
      </c>
      <c r="L24" t="b">
        <f t="shared" si="0"/>
        <v>1</v>
      </c>
    </row>
    <row r="25" spans="1:12" x14ac:dyDescent="0.25">
      <c r="A25" t="s">
        <v>7</v>
      </c>
      <c r="B25">
        <v>4</v>
      </c>
      <c r="C25" t="s">
        <v>84</v>
      </c>
      <c r="D25">
        <v>3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 t="b">
        <f t="shared" si="0"/>
        <v>1</v>
      </c>
    </row>
    <row r="26" spans="1:12" x14ac:dyDescent="0.25">
      <c r="A26" t="s">
        <v>7</v>
      </c>
      <c r="B26">
        <v>4</v>
      </c>
      <c r="C26" t="s">
        <v>3</v>
      </c>
      <c r="D26">
        <v>3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 t="b">
        <f t="shared" si="0"/>
        <v>1</v>
      </c>
    </row>
    <row r="27" spans="1:12" x14ac:dyDescent="0.25">
      <c r="A27" t="s">
        <v>7</v>
      </c>
      <c r="B27">
        <v>4</v>
      </c>
      <c r="C27" t="s">
        <v>5</v>
      </c>
      <c r="D27">
        <v>2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 t="b">
        <f t="shared" si="0"/>
        <v>1</v>
      </c>
    </row>
    <row r="28" spans="1:12" x14ac:dyDescent="0.25">
      <c r="A28" t="s">
        <v>7</v>
      </c>
      <c r="B28">
        <v>4</v>
      </c>
      <c r="C28" t="s">
        <v>6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 t="b">
        <f t="shared" si="0"/>
        <v>1</v>
      </c>
    </row>
    <row r="29" spans="1:12" x14ac:dyDescent="0.25">
      <c r="A29" t="s">
        <v>7</v>
      </c>
      <c r="B29">
        <v>4</v>
      </c>
      <c r="C29" t="s">
        <v>1</v>
      </c>
      <c r="D29">
        <v>9</v>
      </c>
      <c r="E29">
        <v>0</v>
      </c>
      <c r="F29">
        <v>3</v>
      </c>
      <c r="G29">
        <v>2</v>
      </c>
      <c r="H29">
        <v>0</v>
      </c>
      <c r="I29">
        <v>3</v>
      </c>
      <c r="J29">
        <v>0</v>
      </c>
      <c r="K29">
        <v>1</v>
      </c>
      <c r="L29" t="b">
        <f t="shared" si="0"/>
        <v>1</v>
      </c>
    </row>
    <row r="30" spans="1:12" x14ac:dyDescent="0.25">
      <c r="A30" t="s">
        <v>7</v>
      </c>
      <c r="B30">
        <v>4</v>
      </c>
      <c r="C30" t="s">
        <v>4</v>
      </c>
      <c r="D30">
        <v>2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 t="b">
        <f t="shared" si="0"/>
        <v>1</v>
      </c>
    </row>
    <row r="31" spans="1:12" x14ac:dyDescent="0.25">
      <c r="A31" t="s">
        <v>7</v>
      </c>
      <c r="B31">
        <v>4</v>
      </c>
      <c r="C31" t="s">
        <v>9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t="b">
        <f t="shared" si="0"/>
        <v>1</v>
      </c>
    </row>
    <row r="32" spans="1:12" x14ac:dyDescent="0.25">
      <c r="A32" t="s">
        <v>7</v>
      </c>
      <c r="B32">
        <v>5</v>
      </c>
      <c r="C32" t="s">
        <v>2</v>
      </c>
      <c r="D32">
        <v>7</v>
      </c>
      <c r="E32">
        <v>0</v>
      </c>
      <c r="F32">
        <v>2</v>
      </c>
      <c r="G32">
        <v>2</v>
      </c>
      <c r="H32">
        <v>0</v>
      </c>
      <c r="I32">
        <v>3</v>
      </c>
      <c r="J32">
        <v>0</v>
      </c>
      <c r="K32">
        <v>0</v>
      </c>
      <c r="L32" t="b">
        <f t="shared" si="0"/>
        <v>1</v>
      </c>
    </row>
    <row r="33" spans="1:12" x14ac:dyDescent="0.25">
      <c r="A33" t="s">
        <v>7</v>
      </c>
      <c r="B33">
        <v>5</v>
      </c>
      <c r="C33" t="s">
        <v>84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 t="b">
        <f t="shared" si="0"/>
        <v>1</v>
      </c>
    </row>
    <row r="34" spans="1:12" x14ac:dyDescent="0.25">
      <c r="A34" t="s">
        <v>7</v>
      </c>
      <c r="B34">
        <v>5</v>
      </c>
      <c r="C34" t="s">
        <v>3</v>
      </c>
      <c r="D34">
        <v>4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b">
        <f t="shared" si="0"/>
        <v>1</v>
      </c>
    </row>
    <row r="35" spans="1:12" x14ac:dyDescent="0.25">
      <c r="A35" t="s">
        <v>7</v>
      </c>
      <c r="B35">
        <v>5</v>
      </c>
      <c r="C35" t="s">
        <v>5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b">
        <f t="shared" si="0"/>
        <v>1</v>
      </c>
    </row>
    <row r="36" spans="1:12" x14ac:dyDescent="0.25">
      <c r="A36" t="s">
        <v>7</v>
      </c>
      <c r="B36">
        <v>5</v>
      </c>
      <c r="C36" t="s">
        <v>6</v>
      </c>
      <c r="D36">
        <v>2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 t="b">
        <f t="shared" si="0"/>
        <v>1</v>
      </c>
    </row>
    <row r="37" spans="1:12" x14ac:dyDescent="0.25">
      <c r="A37" t="s">
        <v>7</v>
      </c>
      <c r="B37">
        <v>5</v>
      </c>
      <c r="C37" t="s">
        <v>1</v>
      </c>
      <c r="D37">
        <v>15</v>
      </c>
      <c r="E37">
        <v>0</v>
      </c>
      <c r="F37">
        <v>6</v>
      </c>
      <c r="G37">
        <v>4</v>
      </c>
      <c r="H37">
        <v>0</v>
      </c>
      <c r="I37">
        <v>3</v>
      </c>
      <c r="J37">
        <v>0</v>
      </c>
      <c r="K37">
        <v>2</v>
      </c>
      <c r="L37" t="b">
        <f t="shared" si="0"/>
        <v>1</v>
      </c>
    </row>
    <row r="38" spans="1:12" x14ac:dyDescent="0.25">
      <c r="A38" t="s">
        <v>7</v>
      </c>
      <c r="B38">
        <v>5</v>
      </c>
      <c r="C38" t="s">
        <v>4</v>
      </c>
      <c r="D38">
        <v>4</v>
      </c>
      <c r="E38">
        <v>1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 t="b">
        <f t="shared" si="0"/>
        <v>1</v>
      </c>
    </row>
    <row r="39" spans="1:12" x14ac:dyDescent="0.25">
      <c r="A39" t="s">
        <v>7</v>
      </c>
      <c r="B39">
        <v>5</v>
      </c>
      <c r="C39" t="s">
        <v>9</v>
      </c>
      <c r="D39">
        <v>2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 t="b">
        <f t="shared" si="0"/>
        <v>1</v>
      </c>
    </row>
    <row r="40" spans="1:12" x14ac:dyDescent="0.25">
      <c r="A40" t="s">
        <v>7</v>
      </c>
      <c r="B40">
        <v>6</v>
      </c>
      <c r="C40" t="s">
        <v>2</v>
      </c>
      <c r="D40">
        <v>8</v>
      </c>
      <c r="E40">
        <v>0</v>
      </c>
      <c r="F40">
        <v>1</v>
      </c>
      <c r="G40">
        <v>2</v>
      </c>
      <c r="H40">
        <v>0</v>
      </c>
      <c r="I40">
        <v>5</v>
      </c>
      <c r="J40">
        <v>0</v>
      </c>
      <c r="K40">
        <v>0</v>
      </c>
      <c r="L40" t="b">
        <f t="shared" si="0"/>
        <v>1</v>
      </c>
    </row>
    <row r="41" spans="1:12" x14ac:dyDescent="0.25">
      <c r="A41" t="s">
        <v>7</v>
      </c>
      <c r="B41">
        <v>6</v>
      </c>
      <c r="C41" t="s">
        <v>3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 t="b">
        <f t="shared" si="0"/>
        <v>1</v>
      </c>
    </row>
    <row r="42" spans="1:12" x14ac:dyDescent="0.25">
      <c r="A42" t="s">
        <v>7</v>
      </c>
      <c r="B42">
        <v>6</v>
      </c>
      <c r="C42" t="s">
        <v>1</v>
      </c>
      <c r="D42">
        <v>11</v>
      </c>
      <c r="E42">
        <v>0</v>
      </c>
      <c r="F42">
        <v>4</v>
      </c>
      <c r="G42">
        <v>2</v>
      </c>
      <c r="H42">
        <v>0</v>
      </c>
      <c r="I42">
        <v>5</v>
      </c>
      <c r="J42">
        <v>0</v>
      </c>
      <c r="K42">
        <v>0</v>
      </c>
      <c r="L42" t="b">
        <f t="shared" si="0"/>
        <v>1</v>
      </c>
    </row>
    <row r="43" spans="1:12" x14ac:dyDescent="0.25">
      <c r="A43" t="s">
        <v>7</v>
      </c>
      <c r="B43">
        <v>6</v>
      </c>
      <c r="C43" t="s">
        <v>4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 t="b">
        <f t="shared" si="0"/>
        <v>1</v>
      </c>
    </row>
    <row r="44" spans="1:12" x14ac:dyDescent="0.25">
      <c r="A44" t="s">
        <v>7</v>
      </c>
      <c r="B44">
        <v>7</v>
      </c>
      <c r="C44" t="s">
        <v>2</v>
      </c>
      <c r="D44">
        <v>12</v>
      </c>
      <c r="E44">
        <v>0</v>
      </c>
      <c r="F44">
        <v>0</v>
      </c>
      <c r="G44">
        <v>5</v>
      </c>
      <c r="H44">
        <v>0</v>
      </c>
      <c r="I44">
        <v>7</v>
      </c>
      <c r="J44">
        <v>0</v>
      </c>
      <c r="K44">
        <v>0</v>
      </c>
      <c r="L44" t="b">
        <f t="shared" si="0"/>
        <v>1</v>
      </c>
    </row>
    <row r="45" spans="1:12" x14ac:dyDescent="0.25">
      <c r="A45" t="s">
        <v>7</v>
      </c>
      <c r="B45">
        <v>7</v>
      </c>
      <c r="C45" t="s">
        <v>84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 t="b">
        <f t="shared" si="0"/>
        <v>1</v>
      </c>
    </row>
    <row r="46" spans="1:12" x14ac:dyDescent="0.25">
      <c r="A46" t="s">
        <v>7</v>
      </c>
      <c r="B46">
        <v>7</v>
      </c>
      <c r="C46" t="s">
        <v>3</v>
      </c>
      <c r="D46">
        <v>3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 t="b">
        <f t="shared" si="0"/>
        <v>1</v>
      </c>
    </row>
    <row r="47" spans="1:12" x14ac:dyDescent="0.25">
      <c r="A47" t="s">
        <v>7</v>
      </c>
      <c r="B47">
        <v>7</v>
      </c>
      <c r="C47" t="s">
        <v>5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 t="b">
        <f t="shared" si="0"/>
        <v>1</v>
      </c>
    </row>
    <row r="48" spans="1:12" x14ac:dyDescent="0.25">
      <c r="A48" t="s">
        <v>7</v>
      </c>
      <c r="B48">
        <v>7</v>
      </c>
      <c r="C48" t="s">
        <v>6</v>
      </c>
      <c r="D48">
        <v>3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 t="b">
        <f t="shared" si="0"/>
        <v>1</v>
      </c>
    </row>
    <row r="49" spans="1:12" x14ac:dyDescent="0.25">
      <c r="A49" t="s">
        <v>7</v>
      </c>
      <c r="B49">
        <v>7</v>
      </c>
      <c r="C49" t="s">
        <v>1</v>
      </c>
      <c r="D49">
        <v>17</v>
      </c>
      <c r="E49">
        <v>0</v>
      </c>
      <c r="F49">
        <v>1</v>
      </c>
      <c r="G49">
        <v>6</v>
      </c>
      <c r="H49">
        <v>2</v>
      </c>
      <c r="I49">
        <v>7</v>
      </c>
      <c r="J49">
        <v>0</v>
      </c>
      <c r="K49">
        <v>1</v>
      </c>
      <c r="L49" t="b">
        <f t="shared" si="0"/>
        <v>1</v>
      </c>
    </row>
    <row r="50" spans="1:12" x14ac:dyDescent="0.25">
      <c r="A50" t="s">
        <v>7</v>
      </c>
      <c r="B50">
        <v>7</v>
      </c>
      <c r="C50" t="s">
        <v>10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 t="b">
        <f t="shared" si="0"/>
        <v>1</v>
      </c>
    </row>
    <row r="51" spans="1:12" x14ac:dyDescent="0.25">
      <c r="A51" t="s">
        <v>7</v>
      </c>
      <c r="B51">
        <v>7</v>
      </c>
      <c r="C51" t="s">
        <v>11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 t="b">
        <f t="shared" si="0"/>
        <v>1</v>
      </c>
    </row>
    <row r="52" spans="1:12" x14ac:dyDescent="0.25">
      <c r="A52" t="s">
        <v>7</v>
      </c>
      <c r="B52">
        <v>7</v>
      </c>
      <c r="C52" t="s">
        <v>4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 t="b">
        <f t="shared" si="0"/>
        <v>1</v>
      </c>
    </row>
    <row r="53" spans="1:12" x14ac:dyDescent="0.25">
      <c r="A53" t="s">
        <v>7</v>
      </c>
      <c r="B53">
        <v>7</v>
      </c>
      <c r="C53" t="s">
        <v>9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 t="b">
        <f t="shared" si="0"/>
        <v>1</v>
      </c>
    </row>
    <row r="54" spans="1:12" x14ac:dyDescent="0.25">
      <c r="A54" t="s">
        <v>7</v>
      </c>
      <c r="B54">
        <v>8</v>
      </c>
      <c r="C54" t="s">
        <v>2</v>
      </c>
      <c r="D54">
        <v>8</v>
      </c>
      <c r="E54">
        <v>0</v>
      </c>
      <c r="F54">
        <v>0</v>
      </c>
      <c r="G54">
        <v>4</v>
      </c>
      <c r="H54">
        <v>0</v>
      </c>
      <c r="I54">
        <v>4</v>
      </c>
      <c r="J54">
        <v>0</v>
      </c>
      <c r="K54">
        <v>0</v>
      </c>
      <c r="L54" t="b">
        <f t="shared" si="0"/>
        <v>1</v>
      </c>
    </row>
    <row r="55" spans="1:12" x14ac:dyDescent="0.25">
      <c r="A55" t="s">
        <v>7</v>
      </c>
      <c r="B55">
        <v>8</v>
      </c>
      <c r="C55" t="s">
        <v>3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b">
        <f t="shared" si="0"/>
        <v>1</v>
      </c>
    </row>
    <row r="56" spans="1:12" x14ac:dyDescent="0.25">
      <c r="A56" t="s">
        <v>7</v>
      </c>
      <c r="B56">
        <v>8</v>
      </c>
      <c r="C56" t="s">
        <v>6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 t="b">
        <f t="shared" si="0"/>
        <v>1</v>
      </c>
    </row>
    <row r="57" spans="1:12" x14ac:dyDescent="0.25">
      <c r="A57" t="s">
        <v>7</v>
      </c>
      <c r="B57">
        <v>8</v>
      </c>
      <c r="C57" t="s">
        <v>1</v>
      </c>
      <c r="D57">
        <v>9</v>
      </c>
      <c r="E57">
        <v>0</v>
      </c>
      <c r="F57">
        <v>1</v>
      </c>
      <c r="G57">
        <v>4</v>
      </c>
      <c r="H57">
        <v>0</v>
      </c>
      <c r="I57">
        <v>3</v>
      </c>
      <c r="J57">
        <v>0</v>
      </c>
      <c r="K57">
        <v>1</v>
      </c>
      <c r="L57" t="b">
        <f t="shared" si="0"/>
        <v>1</v>
      </c>
    </row>
    <row r="58" spans="1:12" x14ac:dyDescent="0.25">
      <c r="A58" t="s">
        <v>7</v>
      </c>
      <c r="B58">
        <v>8</v>
      </c>
      <c r="C58" t="s">
        <v>4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 t="b">
        <f t="shared" si="0"/>
        <v>1</v>
      </c>
    </row>
    <row r="59" spans="1:12" x14ac:dyDescent="0.25">
      <c r="A59" t="s">
        <v>7</v>
      </c>
      <c r="B59">
        <v>9</v>
      </c>
      <c r="C59" t="s">
        <v>2</v>
      </c>
      <c r="D59">
        <v>14</v>
      </c>
      <c r="E59">
        <v>0</v>
      </c>
      <c r="F59">
        <v>1</v>
      </c>
      <c r="G59">
        <v>8</v>
      </c>
      <c r="H59">
        <v>0</v>
      </c>
      <c r="I59">
        <v>5</v>
      </c>
      <c r="J59">
        <v>0</v>
      </c>
      <c r="K59">
        <v>0</v>
      </c>
      <c r="L59" t="b">
        <f t="shared" si="0"/>
        <v>1</v>
      </c>
    </row>
    <row r="60" spans="1:12" x14ac:dyDescent="0.25">
      <c r="A60" t="s">
        <v>7</v>
      </c>
      <c r="B60">
        <v>9</v>
      </c>
      <c r="C60" t="s">
        <v>84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 t="b">
        <f t="shared" si="0"/>
        <v>1</v>
      </c>
    </row>
    <row r="61" spans="1:12" x14ac:dyDescent="0.25">
      <c r="A61" t="s">
        <v>7</v>
      </c>
      <c r="B61">
        <v>9</v>
      </c>
      <c r="C61" t="s">
        <v>3</v>
      </c>
      <c r="D61">
        <v>4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 t="b">
        <f t="shared" si="0"/>
        <v>1</v>
      </c>
    </row>
    <row r="62" spans="1:12" x14ac:dyDescent="0.25">
      <c r="A62" t="s">
        <v>7</v>
      </c>
      <c r="B62">
        <v>9</v>
      </c>
      <c r="C62" t="s">
        <v>6</v>
      </c>
      <c r="D62">
        <v>3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2</v>
      </c>
      <c r="L62" t="b">
        <f t="shared" si="0"/>
        <v>1</v>
      </c>
    </row>
    <row r="63" spans="1:12" x14ac:dyDescent="0.25">
      <c r="A63" t="s">
        <v>7</v>
      </c>
      <c r="B63">
        <v>9</v>
      </c>
      <c r="C63" t="s">
        <v>1</v>
      </c>
      <c r="D63">
        <v>21</v>
      </c>
      <c r="E63">
        <v>0</v>
      </c>
      <c r="F63">
        <v>4</v>
      </c>
      <c r="G63">
        <v>11</v>
      </c>
      <c r="H63">
        <v>0</v>
      </c>
      <c r="I63">
        <v>5</v>
      </c>
      <c r="J63">
        <v>0</v>
      </c>
      <c r="K63">
        <v>1</v>
      </c>
      <c r="L63" t="b">
        <f t="shared" si="0"/>
        <v>1</v>
      </c>
    </row>
    <row r="64" spans="1:12" x14ac:dyDescent="0.25">
      <c r="A64" t="s">
        <v>7</v>
      </c>
      <c r="B64">
        <v>9</v>
      </c>
      <c r="C64" t="s">
        <v>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 t="b">
        <f t="shared" si="0"/>
        <v>1</v>
      </c>
    </row>
    <row r="65" spans="1:12" x14ac:dyDescent="0.25">
      <c r="A65" t="s">
        <v>7</v>
      </c>
      <c r="B65">
        <v>9</v>
      </c>
      <c r="C65" t="s">
        <v>9</v>
      </c>
      <c r="D65">
        <v>2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 t="b">
        <f t="shared" si="0"/>
        <v>1</v>
      </c>
    </row>
    <row r="66" spans="1:12" x14ac:dyDescent="0.25">
      <c r="A66" t="s">
        <v>7</v>
      </c>
      <c r="B66">
        <v>10</v>
      </c>
      <c r="C66" t="s">
        <v>2</v>
      </c>
      <c r="D66">
        <v>16</v>
      </c>
      <c r="E66">
        <v>0</v>
      </c>
      <c r="F66">
        <v>0</v>
      </c>
      <c r="G66">
        <v>11</v>
      </c>
      <c r="H66">
        <v>0</v>
      </c>
      <c r="I66">
        <v>5</v>
      </c>
      <c r="J66">
        <v>0</v>
      </c>
      <c r="K66">
        <v>0</v>
      </c>
      <c r="L66" t="b">
        <f t="shared" si="0"/>
        <v>1</v>
      </c>
    </row>
    <row r="67" spans="1:12" x14ac:dyDescent="0.25">
      <c r="A67" t="s">
        <v>7</v>
      </c>
      <c r="B67">
        <v>10</v>
      </c>
      <c r="C67" t="s">
        <v>84</v>
      </c>
      <c r="D67">
        <v>5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2</v>
      </c>
      <c r="L67" t="b">
        <f t="shared" si="0"/>
        <v>1</v>
      </c>
    </row>
    <row r="68" spans="1:12" x14ac:dyDescent="0.25">
      <c r="A68" t="s">
        <v>7</v>
      </c>
      <c r="B68">
        <v>10</v>
      </c>
      <c r="C68" t="s">
        <v>3</v>
      </c>
      <c r="D68">
        <v>2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 t="b">
        <f t="shared" ref="L68:L131" si="1">SUM(E68:K68)=D68</f>
        <v>1</v>
      </c>
    </row>
    <row r="69" spans="1:12" x14ac:dyDescent="0.25">
      <c r="A69" t="s">
        <v>7</v>
      </c>
      <c r="B69">
        <v>10</v>
      </c>
      <c r="C69" t="s">
        <v>5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b">
        <f t="shared" si="1"/>
        <v>1</v>
      </c>
    </row>
    <row r="70" spans="1:12" x14ac:dyDescent="0.25">
      <c r="A70" t="s">
        <v>7</v>
      </c>
      <c r="B70">
        <v>10</v>
      </c>
      <c r="C70" t="s">
        <v>6</v>
      </c>
      <c r="D70">
        <v>3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2</v>
      </c>
      <c r="L70" t="b">
        <f t="shared" si="1"/>
        <v>1</v>
      </c>
    </row>
    <row r="71" spans="1:12" x14ac:dyDescent="0.25">
      <c r="A71" t="s">
        <v>7</v>
      </c>
      <c r="B71">
        <v>10</v>
      </c>
      <c r="C71" t="s">
        <v>1</v>
      </c>
      <c r="D71">
        <v>22</v>
      </c>
      <c r="E71">
        <v>0</v>
      </c>
      <c r="F71">
        <v>2</v>
      </c>
      <c r="G71">
        <v>12</v>
      </c>
      <c r="H71">
        <v>0</v>
      </c>
      <c r="I71">
        <v>5</v>
      </c>
      <c r="J71">
        <v>0</v>
      </c>
      <c r="K71">
        <v>3</v>
      </c>
      <c r="L71" t="b">
        <f t="shared" si="1"/>
        <v>1</v>
      </c>
    </row>
    <row r="72" spans="1:12" x14ac:dyDescent="0.25">
      <c r="A72" t="s">
        <v>7</v>
      </c>
      <c r="B72">
        <v>10</v>
      </c>
      <c r="C72" t="s">
        <v>11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t="b">
        <f t="shared" si="1"/>
        <v>1</v>
      </c>
    </row>
    <row r="73" spans="1:12" x14ac:dyDescent="0.25">
      <c r="A73" t="s">
        <v>7</v>
      </c>
      <c r="B73">
        <v>10</v>
      </c>
      <c r="C73" t="s">
        <v>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 t="b">
        <f t="shared" si="1"/>
        <v>1</v>
      </c>
    </row>
    <row r="74" spans="1:12" x14ac:dyDescent="0.25">
      <c r="A74" t="s">
        <v>7</v>
      </c>
      <c r="B74">
        <v>10</v>
      </c>
      <c r="C74" t="s">
        <v>9</v>
      </c>
      <c r="D74">
        <v>3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1</v>
      </c>
      <c r="L74" t="b">
        <f t="shared" si="1"/>
        <v>1</v>
      </c>
    </row>
    <row r="75" spans="1:12" x14ac:dyDescent="0.25">
      <c r="A75" t="s">
        <v>7</v>
      </c>
      <c r="B75">
        <v>11</v>
      </c>
      <c r="C75" t="s">
        <v>2</v>
      </c>
      <c r="D75">
        <v>3</v>
      </c>
      <c r="E75">
        <v>0</v>
      </c>
      <c r="F75">
        <v>0</v>
      </c>
      <c r="G75">
        <v>1</v>
      </c>
      <c r="H75">
        <v>0</v>
      </c>
      <c r="I75">
        <v>2</v>
      </c>
      <c r="J75">
        <v>0</v>
      </c>
      <c r="K75">
        <v>0</v>
      </c>
      <c r="L75" t="b">
        <f t="shared" si="1"/>
        <v>1</v>
      </c>
    </row>
    <row r="76" spans="1:12" x14ac:dyDescent="0.25">
      <c r="A76" t="s">
        <v>7</v>
      </c>
      <c r="B76">
        <v>11</v>
      </c>
      <c r="C76" t="s">
        <v>84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b">
        <f t="shared" si="1"/>
        <v>1</v>
      </c>
    </row>
    <row r="77" spans="1:12" x14ac:dyDescent="0.25">
      <c r="A77" t="s">
        <v>7</v>
      </c>
      <c r="B77">
        <v>11</v>
      </c>
      <c r="C77" t="s">
        <v>3</v>
      </c>
      <c r="D77">
        <v>4</v>
      </c>
      <c r="E77">
        <v>2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 t="b">
        <f t="shared" si="1"/>
        <v>1</v>
      </c>
    </row>
    <row r="78" spans="1:12" x14ac:dyDescent="0.25">
      <c r="A78" t="s">
        <v>7</v>
      </c>
      <c r="B78">
        <v>11</v>
      </c>
      <c r="C78" t="s">
        <v>5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b">
        <f t="shared" si="1"/>
        <v>1</v>
      </c>
    </row>
    <row r="79" spans="1:12" x14ac:dyDescent="0.25">
      <c r="A79" t="s">
        <v>7</v>
      </c>
      <c r="B79">
        <v>11</v>
      </c>
      <c r="C79" t="s">
        <v>6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 t="b">
        <f t="shared" si="1"/>
        <v>1</v>
      </c>
    </row>
    <row r="80" spans="1:12" x14ac:dyDescent="0.25">
      <c r="A80" t="s">
        <v>7</v>
      </c>
      <c r="B80">
        <v>11</v>
      </c>
      <c r="C80" t="s">
        <v>1</v>
      </c>
      <c r="D80">
        <v>9</v>
      </c>
      <c r="E80">
        <v>1</v>
      </c>
      <c r="F80">
        <v>2</v>
      </c>
      <c r="G80">
        <v>3</v>
      </c>
      <c r="H80">
        <v>0</v>
      </c>
      <c r="I80">
        <v>2</v>
      </c>
      <c r="J80">
        <v>0</v>
      </c>
      <c r="K80">
        <v>1</v>
      </c>
      <c r="L80" t="b">
        <f t="shared" si="1"/>
        <v>1</v>
      </c>
    </row>
    <row r="81" spans="1:12" x14ac:dyDescent="0.25">
      <c r="A81" t="s">
        <v>7</v>
      </c>
      <c r="B81">
        <v>11</v>
      </c>
      <c r="C81" t="s">
        <v>10</v>
      </c>
      <c r="D81">
        <v>2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 t="b">
        <f t="shared" si="1"/>
        <v>1</v>
      </c>
    </row>
    <row r="82" spans="1:12" x14ac:dyDescent="0.25">
      <c r="A82" t="s">
        <v>7</v>
      </c>
      <c r="B82">
        <v>11</v>
      </c>
      <c r="C82" t="s">
        <v>4</v>
      </c>
      <c r="D82">
        <v>2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 t="b">
        <f t="shared" si="1"/>
        <v>1</v>
      </c>
    </row>
    <row r="83" spans="1:12" x14ac:dyDescent="0.25">
      <c r="A83" t="s">
        <v>7</v>
      </c>
      <c r="B83">
        <v>11</v>
      </c>
      <c r="C83" t="s">
        <v>9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 t="b">
        <f t="shared" si="1"/>
        <v>1</v>
      </c>
    </row>
    <row r="84" spans="1:12" x14ac:dyDescent="0.25">
      <c r="A84" t="s">
        <v>7</v>
      </c>
      <c r="B84">
        <v>12</v>
      </c>
      <c r="C84" t="s">
        <v>2</v>
      </c>
      <c r="D84">
        <v>5</v>
      </c>
      <c r="E84">
        <v>0</v>
      </c>
      <c r="F84">
        <v>0</v>
      </c>
      <c r="G84">
        <v>3</v>
      </c>
      <c r="H84">
        <v>0</v>
      </c>
      <c r="I84">
        <v>2</v>
      </c>
      <c r="J84">
        <v>0</v>
      </c>
      <c r="K84">
        <v>0</v>
      </c>
      <c r="L84" t="b">
        <f t="shared" si="1"/>
        <v>1</v>
      </c>
    </row>
    <row r="85" spans="1:12" x14ac:dyDescent="0.25">
      <c r="A85" t="s">
        <v>7</v>
      </c>
      <c r="B85">
        <v>12</v>
      </c>
      <c r="C85" t="s">
        <v>3</v>
      </c>
      <c r="D85">
        <v>3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 t="b">
        <f t="shared" si="1"/>
        <v>1</v>
      </c>
    </row>
    <row r="86" spans="1:12" x14ac:dyDescent="0.25">
      <c r="A86" t="s">
        <v>7</v>
      </c>
      <c r="B86">
        <v>12</v>
      </c>
      <c r="C86" t="s">
        <v>6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 t="b">
        <f t="shared" si="1"/>
        <v>1</v>
      </c>
    </row>
    <row r="87" spans="1:12" x14ac:dyDescent="0.25">
      <c r="A87" t="s">
        <v>7</v>
      </c>
      <c r="B87">
        <v>12</v>
      </c>
      <c r="C87" t="s">
        <v>1</v>
      </c>
      <c r="D87">
        <v>7</v>
      </c>
      <c r="E87">
        <v>0</v>
      </c>
      <c r="F87">
        <v>2</v>
      </c>
      <c r="G87">
        <v>3</v>
      </c>
      <c r="H87">
        <v>0</v>
      </c>
      <c r="I87">
        <v>2</v>
      </c>
      <c r="J87">
        <v>0</v>
      </c>
      <c r="K87">
        <v>0</v>
      </c>
      <c r="L87" t="b">
        <f t="shared" si="1"/>
        <v>1</v>
      </c>
    </row>
    <row r="88" spans="1:12" x14ac:dyDescent="0.25">
      <c r="A88" t="s">
        <v>7</v>
      </c>
      <c r="B88">
        <v>12</v>
      </c>
      <c r="C88" t="s">
        <v>11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 t="b">
        <f t="shared" si="1"/>
        <v>1</v>
      </c>
    </row>
    <row r="89" spans="1:12" x14ac:dyDescent="0.25">
      <c r="A89" t="s">
        <v>7</v>
      </c>
      <c r="B89">
        <v>12</v>
      </c>
      <c r="C89" t="s">
        <v>4</v>
      </c>
      <c r="D89">
        <v>3</v>
      </c>
      <c r="E89">
        <v>0</v>
      </c>
      <c r="F89">
        <v>1</v>
      </c>
      <c r="G89">
        <v>1</v>
      </c>
      <c r="H89">
        <v>0</v>
      </c>
      <c r="I89">
        <v>0</v>
      </c>
      <c r="J89">
        <v>1</v>
      </c>
      <c r="K89">
        <v>0</v>
      </c>
      <c r="L89" t="b">
        <f t="shared" si="1"/>
        <v>1</v>
      </c>
    </row>
    <row r="90" spans="1:12" x14ac:dyDescent="0.25">
      <c r="A90" t="s">
        <v>7</v>
      </c>
      <c r="B90">
        <v>13</v>
      </c>
      <c r="C90" t="s">
        <v>2</v>
      </c>
      <c r="D90">
        <v>2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 t="b">
        <f t="shared" si="1"/>
        <v>1</v>
      </c>
    </row>
    <row r="91" spans="1:12" x14ac:dyDescent="0.25">
      <c r="A91" t="s">
        <v>7</v>
      </c>
      <c r="B91">
        <v>13</v>
      </c>
      <c r="C91" t="s">
        <v>3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 t="b">
        <f t="shared" si="1"/>
        <v>1</v>
      </c>
    </row>
    <row r="92" spans="1:12" x14ac:dyDescent="0.25">
      <c r="A92" t="s">
        <v>7</v>
      </c>
      <c r="B92">
        <v>13</v>
      </c>
      <c r="C92" t="s">
        <v>5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b">
        <f t="shared" si="1"/>
        <v>1</v>
      </c>
    </row>
    <row r="93" spans="1:12" x14ac:dyDescent="0.25">
      <c r="A93" t="s">
        <v>7</v>
      </c>
      <c r="B93">
        <v>13</v>
      </c>
      <c r="C93" t="s">
        <v>6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 t="b">
        <f t="shared" si="1"/>
        <v>1</v>
      </c>
    </row>
    <row r="94" spans="1:12" x14ac:dyDescent="0.25">
      <c r="A94" t="s">
        <v>7</v>
      </c>
      <c r="B94">
        <v>13</v>
      </c>
      <c r="C94" t="s">
        <v>1</v>
      </c>
      <c r="D94">
        <v>5</v>
      </c>
      <c r="E94">
        <v>1</v>
      </c>
      <c r="F94">
        <v>1</v>
      </c>
      <c r="G94">
        <v>3</v>
      </c>
      <c r="H94">
        <v>0</v>
      </c>
      <c r="I94">
        <v>0</v>
      </c>
      <c r="J94">
        <v>0</v>
      </c>
      <c r="K94">
        <v>0</v>
      </c>
      <c r="L94" t="b">
        <f t="shared" si="1"/>
        <v>1</v>
      </c>
    </row>
    <row r="95" spans="1:12" x14ac:dyDescent="0.25">
      <c r="A95" t="s">
        <v>7</v>
      </c>
      <c r="B95">
        <v>13</v>
      </c>
      <c r="C95" t="s">
        <v>11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 t="b">
        <f t="shared" si="1"/>
        <v>1</v>
      </c>
    </row>
    <row r="96" spans="1:12" x14ac:dyDescent="0.25">
      <c r="A96" t="s">
        <v>7</v>
      </c>
      <c r="B96">
        <v>13</v>
      </c>
      <c r="C96" t="s">
        <v>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 t="b">
        <f t="shared" si="1"/>
        <v>1</v>
      </c>
    </row>
    <row r="97" spans="1:12" x14ac:dyDescent="0.25">
      <c r="A97" t="s">
        <v>7</v>
      </c>
      <c r="B97">
        <v>14</v>
      </c>
      <c r="C97" t="s">
        <v>2</v>
      </c>
      <c r="D97">
        <v>4</v>
      </c>
      <c r="E97">
        <v>0</v>
      </c>
      <c r="F97">
        <v>1</v>
      </c>
      <c r="G97">
        <v>1</v>
      </c>
      <c r="H97">
        <v>0</v>
      </c>
      <c r="I97">
        <v>2</v>
      </c>
      <c r="J97">
        <v>0</v>
      </c>
      <c r="K97">
        <v>0</v>
      </c>
      <c r="L97" t="b">
        <f t="shared" si="1"/>
        <v>1</v>
      </c>
    </row>
    <row r="98" spans="1:12" x14ac:dyDescent="0.25">
      <c r="A98" t="s">
        <v>7</v>
      </c>
      <c r="B98">
        <v>14</v>
      </c>
      <c r="C98" t="s">
        <v>3</v>
      </c>
      <c r="D98">
        <v>5</v>
      </c>
      <c r="E98">
        <v>3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 t="b">
        <f t="shared" si="1"/>
        <v>1</v>
      </c>
    </row>
    <row r="99" spans="1:12" x14ac:dyDescent="0.25">
      <c r="A99" t="s">
        <v>7</v>
      </c>
      <c r="B99">
        <v>14</v>
      </c>
      <c r="C99" t="s">
        <v>1</v>
      </c>
      <c r="D99">
        <v>7</v>
      </c>
      <c r="E99">
        <v>0</v>
      </c>
      <c r="F99">
        <v>4</v>
      </c>
      <c r="G99">
        <v>2</v>
      </c>
      <c r="H99">
        <v>0</v>
      </c>
      <c r="I99">
        <v>1</v>
      </c>
      <c r="J99">
        <v>0</v>
      </c>
      <c r="K99">
        <v>0</v>
      </c>
      <c r="L99" t="b">
        <f t="shared" si="1"/>
        <v>1</v>
      </c>
    </row>
    <row r="100" spans="1:12" x14ac:dyDescent="0.25">
      <c r="A100" t="s">
        <v>7</v>
      </c>
      <c r="B100">
        <v>14</v>
      </c>
      <c r="C100" t="s">
        <v>10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 t="b">
        <f t="shared" si="1"/>
        <v>1</v>
      </c>
    </row>
    <row r="101" spans="1:12" x14ac:dyDescent="0.25">
      <c r="A101" t="s">
        <v>7</v>
      </c>
      <c r="B101">
        <v>14</v>
      </c>
      <c r="C101" t="s">
        <v>4</v>
      </c>
      <c r="D101">
        <v>4</v>
      </c>
      <c r="E101">
        <v>0</v>
      </c>
      <c r="F101">
        <v>1</v>
      </c>
      <c r="G101">
        <v>2</v>
      </c>
      <c r="H101">
        <v>0</v>
      </c>
      <c r="I101">
        <v>0</v>
      </c>
      <c r="J101">
        <v>1</v>
      </c>
      <c r="K101">
        <v>0</v>
      </c>
      <c r="L101" t="b">
        <f t="shared" si="1"/>
        <v>1</v>
      </c>
    </row>
    <row r="102" spans="1:12" x14ac:dyDescent="0.25">
      <c r="A102" t="s">
        <v>7</v>
      </c>
      <c r="B102">
        <v>14</v>
      </c>
      <c r="C102" t="s">
        <v>9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 t="b">
        <f t="shared" si="1"/>
        <v>1</v>
      </c>
    </row>
    <row r="103" spans="1:12" x14ac:dyDescent="0.25">
      <c r="A103" t="s">
        <v>7</v>
      </c>
      <c r="B103">
        <v>15</v>
      </c>
      <c r="C103" t="s">
        <v>2</v>
      </c>
      <c r="D103">
        <v>4</v>
      </c>
      <c r="E103">
        <v>0</v>
      </c>
      <c r="F103">
        <v>1</v>
      </c>
      <c r="G103">
        <v>2</v>
      </c>
      <c r="H103">
        <v>0</v>
      </c>
      <c r="I103">
        <v>1</v>
      </c>
      <c r="J103">
        <v>0</v>
      </c>
      <c r="K103">
        <v>0</v>
      </c>
      <c r="L103" t="b">
        <f t="shared" si="1"/>
        <v>1</v>
      </c>
    </row>
    <row r="104" spans="1:12" x14ac:dyDescent="0.25">
      <c r="A104" t="s">
        <v>7</v>
      </c>
      <c r="B104">
        <v>15</v>
      </c>
      <c r="C104" t="s">
        <v>3</v>
      </c>
      <c r="D104">
        <v>2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 t="b">
        <f t="shared" si="1"/>
        <v>1</v>
      </c>
    </row>
    <row r="105" spans="1:12" x14ac:dyDescent="0.25">
      <c r="A105" t="s">
        <v>7</v>
      </c>
      <c r="B105">
        <v>15</v>
      </c>
      <c r="C105" t="s">
        <v>6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 t="b">
        <f t="shared" si="1"/>
        <v>1</v>
      </c>
    </row>
    <row r="106" spans="1:12" x14ac:dyDescent="0.25">
      <c r="A106" t="s">
        <v>7</v>
      </c>
      <c r="B106">
        <v>15</v>
      </c>
      <c r="C106" t="s">
        <v>1</v>
      </c>
      <c r="D106">
        <v>8</v>
      </c>
      <c r="E106">
        <v>0</v>
      </c>
      <c r="F106">
        <v>3</v>
      </c>
      <c r="G106">
        <v>3</v>
      </c>
      <c r="H106">
        <v>0</v>
      </c>
      <c r="I106">
        <v>1</v>
      </c>
      <c r="J106">
        <v>0</v>
      </c>
      <c r="K106">
        <v>1</v>
      </c>
      <c r="L106" t="b">
        <f t="shared" si="1"/>
        <v>1</v>
      </c>
    </row>
    <row r="107" spans="1:12" x14ac:dyDescent="0.25">
      <c r="A107" t="s">
        <v>7</v>
      </c>
      <c r="B107">
        <v>15</v>
      </c>
      <c r="C107" t="s">
        <v>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 t="b">
        <f t="shared" si="1"/>
        <v>1</v>
      </c>
    </row>
    <row r="108" spans="1:12" x14ac:dyDescent="0.25">
      <c r="A108" t="s">
        <v>7</v>
      </c>
      <c r="B108">
        <v>15</v>
      </c>
      <c r="C108" t="s">
        <v>9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 t="b">
        <f t="shared" si="1"/>
        <v>1</v>
      </c>
    </row>
    <row r="109" spans="1:12" x14ac:dyDescent="0.25">
      <c r="A109" t="s">
        <v>7</v>
      </c>
      <c r="B109">
        <v>16</v>
      </c>
      <c r="C109" t="s">
        <v>2</v>
      </c>
      <c r="D109">
        <v>9</v>
      </c>
      <c r="E109">
        <v>0</v>
      </c>
      <c r="F109">
        <v>0</v>
      </c>
      <c r="G109">
        <v>3</v>
      </c>
      <c r="H109">
        <v>0</v>
      </c>
      <c r="I109">
        <v>6</v>
      </c>
      <c r="J109">
        <v>0</v>
      </c>
      <c r="K109">
        <v>0</v>
      </c>
      <c r="L109" t="b">
        <f t="shared" si="1"/>
        <v>1</v>
      </c>
    </row>
    <row r="110" spans="1:12" x14ac:dyDescent="0.25">
      <c r="A110" t="s">
        <v>7</v>
      </c>
      <c r="B110">
        <v>16</v>
      </c>
      <c r="C110" t="s">
        <v>84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 t="b">
        <f t="shared" si="1"/>
        <v>1</v>
      </c>
    </row>
    <row r="111" spans="1:12" x14ac:dyDescent="0.25">
      <c r="A111" t="s">
        <v>7</v>
      </c>
      <c r="B111">
        <v>16</v>
      </c>
      <c r="C111" t="s">
        <v>3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 t="b">
        <f t="shared" si="1"/>
        <v>1</v>
      </c>
    </row>
    <row r="112" spans="1:12" x14ac:dyDescent="0.25">
      <c r="A112" t="s">
        <v>7</v>
      </c>
      <c r="B112">
        <v>16</v>
      </c>
      <c r="C112" t="s">
        <v>1</v>
      </c>
      <c r="D112">
        <v>11</v>
      </c>
      <c r="E112">
        <v>0</v>
      </c>
      <c r="F112">
        <v>2</v>
      </c>
      <c r="G112">
        <v>3</v>
      </c>
      <c r="H112">
        <v>0</v>
      </c>
      <c r="I112">
        <v>6</v>
      </c>
      <c r="J112">
        <v>0</v>
      </c>
      <c r="K112">
        <v>0</v>
      </c>
      <c r="L112" t="b">
        <f t="shared" si="1"/>
        <v>1</v>
      </c>
    </row>
    <row r="113" spans="1:12" x14ac:dyDescent="0.25">
      <c r="A113" t="s">
        <v>7</v>
      </c>
      <c r="B113">
        <v>16</v>
      </c>
      <c r="C113" t="s">
        <v>10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 t="b">
        <f t="shared" si="1"/>
        <v>1</v>
      </c>
    </row>
    <row r="114" spans="1:12" x14ac:dyDescent="0.25">
      <c r="A114" t="s">
        <v>7</v>
      </c>
      <c r="B114">
        <v>16</v>
      </c>
      <c r="C114" t="s">
        <v>4</v>
      </c>
      <c r="D114">
        <v>2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 t="b">
        <f t="shared" si="1"/>
        <v>1</v>
      </c>
    </row>
    <row r="115" spans="1:12" x14ac:dyDescent="0.25">
      <c r="A115" t="s">
        <v>7</v>
      </c>
      <c r="B115">
        <v>17</v>
      </c>
      <c r="C115" t="s">
        <v>2</v>
      </c>
      <c r="D115">
        <v>12</v>
      </c>
      <c r="E115">
        <v>0</v>
      </c>
      <c r="F115">
        <v>0</v>
      </c>
      <c r="G115">
        <v>7</v>
      </c>
      <c r="H115">
        <v>0</v>
      </c>
      <c r="I115">
        <v>5</v>
      </c>
      <c r="J115">
        <v>0</v>
      </c>
      <c r="K115">
        <v>0</v>
      </c>
      <c r="L115" t="b">
        <f t="shared" si="1"/>
        <v>1</v>
      </c>
    </row>
    <row r="116" spans="1:12" x14ac:dyDescent="0.25">
      <c r="A116" t="s">
        <v>7</v>
      </c>
      <c r="B116">
        <v>17</v>
      </c>
      <c r="C116" t="s">
        <v>84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 t="b">
        <f t="shared" si="1"/>
        <v>1</v>
      </c>
    </row>
    <row r="117" spans="1:12" x14ac:dyDescent="0.25">
      <c r="A117" t="s">
        <v>7</v>
      </c>
      <c r="B117">
        <v>17</v>
      </c>
      <c r="C117" t="s">
        <v>3</v>
      </c>
      <c r="D117">
        <v>2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 t="b">
        <f t="shared" si="1"/>
        <v>1</v>
      </c>
    </row>
    <row r="118" spans="1:12" x14ac:dyDescent="0.25">
      <c r="A118" t="s">
        <v>7</v>
      </c>
      <c r="B118">
        <v>17</v>
      </c>
      <c r="C118" t="s">
        <v>5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 t="b">
        <f t="shared" si="1"/>
        <v>1</v>
      </c>
    </row>
    <row r="119" spans="1:12" x14ac:dyDescent="0.25">
      <c r="A119" t="s">
        <v>7</v>
      </c>
      <c r="B119">
        <v>17</v>
      </c>
      <c r="C119" t="s">
        <v>6</v>
      </c>
      <c r="D119">
        <v>3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2</v>
      </c>
      <c r="L119" t="b">
        <f t="shared" si="1"/>
        <v>1</v>
      </c>
    </row>
    <row r="120" spans="1:12" x14ac:dyDescent="0.25">
      <c r="A120" t="s">
        <v>7</v>
      </c>
      <c r="B120">
        <v>17</v>
      </c>
      <c r="C120" t="s">
        <v>1</v>
      </c>
      <c r="D120">
        <v>20</v>
      </c>
      <c r="E120">
        <v>0</v>
      </c>
      <c r="F120">
        <v>4</v>
      </c>
      <c r="G120">
        <v>8</v>
      </c>
      <c r="H120">
        <v>0</v>
      </c>
      <c r="I120">
        <v>5</v>
      </c>
      <c r="J120">
        <v>0</v>
      </c>
      <c r="K120">
        <v>3</v>
      </c>
      <c r="L120" t="b">
        <f t="shared" si="1"/>
        <v>1</v>
      </c>
    </row>
    <row r="121" spans="1:12" x14ac:dyDescent="0.25">
      <c r="A121" t="s">
        <v>7</v>
      </c>
      <c r="B121">
        <v>17</v>
      </c>
      <c r="C121" t="s">
        <v>10</v>
      </c>
      <c r="D121">
        <v>2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 t="b">
        <f t="shared" si="1"/>
        <v>1</v>
      </c>
    </row>
    <row r="122" spans="1:12" x14ac:dyDescent="0.25">
      <c r="A122" t="s">
        <v>7</v>
      </c>
      <c r="B122">
        <v>17</v>
      </c>
      <c r="C122" t="s">
        <v>4</v>
      </c>
      <c r="D122">
        <v>2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 t="b">
        <f t="shared" si="1"/>
        <v>1</v>
      </c>
    </row>
    <row r="123" spans="1:12" x14ac:dyDescent="0.25">
      <c r="A123" t="s">
        <v>7</v>
      </c>
      <c r="B123">
        <v>17</v>
      </c>
      <c r="C123" t="s">
        <v>9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 t="b">
        <f t="shared" si="1"/>
        <v>1</v>
      </c>
    </row>
    <row r="124" spans="1:12" x14ac:dyDescent="0.25">
      <c r="A124" t="s">
        <v>7</v>
      </c>
      <c r="B124">
        <v>18</v>
      </c>
      <c r="C124" t="s">
        <v>2</v>
      </c>
      <c r="D124">
        <v>36</v>
      </c>
      <c r="E124">
        <v>0</v>
      </c>
      <c r="F124">
        <v>6</v>
      </c>
      <c r="G124">
        <v>9</v>
      </c>
      <c r="H124">
        <v>0</v>
      </c>
      <c r="I124">
        <v>21</v>
      </c>
      <c r="J124">
        <v>0</v>
      </c>
      <c r="K124">
        <v>0</v>
      </c>
      <c r="L124" t="b">
        <f t="shared" si="1"/>
        <v>1</v>
      </c>
    </row>
    <row r="125" spans="1:12" x14ac:dyDescent="0.25">
      <c r="A125" t="s">
        <v>7</v>
      </c>
      <c r="B125">
        <v>18</v>
      </c>
      <c r="C125" t="s">
        <v>84</v>
      </c>
      <c r="D125">
        <v>4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2</v>
      </c>
      <c r="L125" t="b">
        <f t="shared" si="1"/>
        <v>1</v>
      </c>
    </row>
    <row r="126" spans="1:12" x14ac:dyDescent="0.25">
      <c r="A126" t="s">
        <v>7</v>
      </c>
      <c r="B126">
        <v>18</v>
      </c>
      <c r="C126" t="s">
        <v>3</v>
      </c>
      <c r="D126">
        <v>10</v>
      </c>
      <c r="E126">
        <v>6</v>
      </c>
      <c r="F126">
        <v>2</v>
      </c>
      <c r="G126">
        <v>2</v>
      </c>
      <c r="H126">
        <v>0</v>
      </c>
      <c r="I126">
        <v>0</v>
      </c>
      <c r="J126">
        <v>0</v>
      </c>
      <c r="K126">
        <v>0</v>
      </c>
      <c r="L126" t="b">
        <f t="shared" si="1"/>
        <v>1</v>
      </c>
    </row>
    <row r="127" spans="1:12" x14ac:dyDescent="0.25">
      <c r="A127" t="s">
        <v>7</v>
      </c>
      <c r="B127">
        <v>18</v>
      </c>
      <c r="C127" t="s">
        <v>5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 t="b">
        <f t="shared" si="1"/>
        <v>1</v>
      </c>
    </row>
    <row r="128" spans="1:12" x14ac:dyDescent="0.25">
      <c r="A128" t="s">
        <v>7</v>
      </c>
      <c r="B128">
        <v>18</v>
      </c>
      <c r="C128" t="s">
        <v>6</v>
      </c>
      <c r="D128">
        <v>7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5</v>
      </c>
      <c r="L128" t="b">
        <f t="shared" si="1"/>
        <v>1</v>
      </c>
    </row>
    <row r="129" spans="1:12" x14ac:dyDescent="0.25">
      <c r="A129" t="s">
        <v>7</v>
      </c>
      <c r="B129">
        <v>18</v>
      </c>
      <c r="C129" t="s">
        <v>1</v>
      </c>
      <c r="D129">
        <v>50</v>
      </c>
      <c r="E129">
        <v>0</v>
      </c>
      <c r="F129">
        <v>15</v>
      </c>
      <c r="G129">
        <v>12</v>
      </c>
      <c r="H129">
        <v>0</v>
      </c>
      <c r="I129">
        <v>19</v>
      </c>
      <c r="J129">
        <v>0</v>
      </c>
      <c r="K129">
        <v>4</v>
      </c>
      <c r="L129" t="b">
        <f t="shared" si="1"/>
        <v>1</v>
      </c>
    </row>
    <row r="130" spans="1:12" x14ac:dyDescent="0.25">
      <c r="A130" t="s">
        <v>7</v>
      </c>
      <c r="B130">
        <v>18</v>
      </c>
      <c r="C130" t="s">
        <v>10</v>
      </c>
      <c r="D130">
        <v>3</v>
      </c>
      <c r="E130">
        <v>0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0</v>
      </c>
      <c r="L130" t="b">
        <f t="shared" si="1"/>
        <v>1</v>
      </c>
    </row>
    <row r="131" spans="1:12" x14ac:dyDescent="0.25">
      <c r="A131" t="s">
        <v>7</v>
      </c>
      <c r="B131">
        <v>18</v>
      </c>
      <c r="C131" t="s">
        <v>4</v>
      </c>
      <c r="D131">
        <v>6</v>
      </c>
      <c r="E131">
        <v>0</v>
      </c>
      <c r="F131">
        <v>5</v>
      </c>
      <c r="G131">
        <v>0</v>
      </c>
      <c r="H131">
        <v>0</v>
      </c>
      <c r="I131">
        <v>0</v>
      </c>
      <c r="J131">
        <v>1</v>
      </c>
      <c r="K131">
        <v>0</v>
      </c>
      <c r="L131" t="b">
        <f t="shared" si="1"/>
        <v>1</v>
      </c>
    </row>
    <row r="132" spans="1:12" x14ac:dyDescent="0.25">
      <c r="A132" t="s">
        <v>7</v>
      </c>
      <c r="B132">
        <v>18</v>
      </c>
      <c r="C132" t="s">
        <v>9</v>
      </c>
      <c r="D132">
        <v>3</v>
      </c>
      <c r="E132">
        <v>0</v>
      </c>
      <c r="F132">
        <v>2</v>
      </c>
      <c r="G132">
        <v>0</v>
      </c>
      <c r="H132">
        <v>0</v>
      </c>
      <c r="I132">
        <v>1</v>
      </c>
      <c r="J132">
        <v>0</v>
      </c>
      <c r="K132">
        <v>0</v>
      </c>
      <c r="L132" t="b">
        <f t="shared" ref="L132:L195" si="2">SUM(E132:K132)=D132</f>
        <v>1</v>
      </c>
    </row>
    <row r="133" spans="1:12" x14ac:dyDescent="0.25">
      <c r="A133" t="s">
        <v>7</v>
      </c>
      <c r="B133">
        <v>19</v>
      </c>
      <c r="C133" t="s">
        <v>2</v>
      </c>
      <c r="D133">
        <v>12</v>
      </c>
      <c r="E133">
        <v>0</v>
      </c>
      <c r="F133">
        <v>0</v>
      </c>
      <c r="G133">
        <v>7</v>
      </c>
      <c r="H133">
        <v>0</v>
      </c>
      <c r="I133">
        <v>5</v>
      </c>
      <c r="J133">
        <v>0</v>
      </c>
      <c r="K133">
        <v>0</v>
      </c>
      <c r="L133" t="b">
        <f t="shared" si="2"/>
        <v>1</v>
      </c>
    </row>
    <row r="134" spans="1:12" x14ac:dyDescent="0.25">
      <c r="A134" t="s">
        <v>7</v>
      </c>
      <c r="B134">
        <v>19</v>
      </c>
      <c r="C134" t="s">
        <v>84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 t="b">
        <f t="shared" si="2"/>
        <v>1</v>
      </c>
    </row>
    <row r="135" spans="1:12" x14ac:dyDescent="0.25">
      <c r="A135" t="s">
        <v>7</v>
      </c>
      <c r="B135">
        <v>19</v>
      </c>
      <c r="C135" t="s">
        <v>3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b">
        <f t="shared" si="2"/>
        <v>1</v>
      </c>
    </row>
    <row r="136" spans="1:12" x14ac:dyDescent="0.25">
      <c r="A136" t="s">
        <v>7</v>
      </c>
      <c r="B136">
        <v>19</v>
      </c>
      <c r="C136" t="s">
        <v>5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 t="b">
        <f t="shared" si="2"/>
        <v>1</v>
      </c>
    </row>
    <row r="137" spans="1:12" x14ac:dyDescent="0.25">
      <c r="A137" t="s">
        <v>7</v>
      </c>
      <c r="B137">
        <v>19</v>
      </c>
      <c r="C137" t="s">
        <v>6</v>
      </c>
      <c r="D137">
        <v>5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3</v>
      </c>
      <c r="L137" t="b">
        <f t="shared" si="2"/>
        <v>1</v>
      </c>
    </row>
    <row r="138" spans="1:12" x14ac:dyDescent="0.25">
      <c r="A138" t="s">
        <v>7</v>
      </c>
      <c r="B138">
        <v>19</v>
      </c>
      <c r="C138" t="s">
        <v>1</v>
      </c>
      <c r="D138">
        <v>19</v>
      </c>
      <c r="E138">
        <v>0</v>
      </c>
      <c r="F138">
        <v>4</v>
      </c>
      <c r="G138">
        <v>7</v>
      </c>
      <c r="H138">
        <v>0</v>
      </c>
      <c r="I138">
        <v>5</v>
      </c>
      <c r="J138">
        <v>0</v>
      </c>
      <c r="K138">
        <v>3</v>
      </c>
      <c r="L138" t="b">
        <f t="shared" si="2"/>
        <v>1</v>
      </c>
    </row>
    <row r="139" spans="1:12" x14ac:dyDescent="0.25">
      <c r="A139" t="s">
        <v>7</v>
      </c>
      <c r="B139">
        <v>19</v>
      </c>
      <c r="C139" t="s">
        <v>4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 t="b">
        <f t="shared" si="2"/>
        <v>1</v>
      </c>
    </row>
    <row r="140" spans="1:12" x14ac:dyDescent="0.25">
      <c r="A140" t="s">
        <v>7</v>
      </c>
      <c r="B140">
        <v>19</v>
      </c>
      <c r="C140" t="s">
        <v>9</v>
      </c>
      <c r="D140">
        <v>4</v>
      </c>
      <c r="E140">
        <v>0</v>
      </c>
      <c r="F140">
        <v>3</v>
      </c>
      <c r="G140">
        <v>0</v>
      </c>
      <c r="H140">
        <v>0</v>
      </c>
      <c r="I140">
        <v>1</v>
      </c>
      <c r="J140">
        <v>0</v>
      </c>
      <c r="K140">
        <v>0</v>
      </c>
      <c r="L140" t="b">
        <f t="shared" si="2"/>
        <v>1</v>
      </c>
    </row>
    <row r="141" spans="1:12" x14ac:dyDescent="0.25">
      <c r="A141" t="s">
        <v>7</v>
      </c>
      <c r="B141">
        <v>20</v>
      </c>
      <c r="C141" t="s">
        <v>2</v>
      </c>
      <c r="D141">
        <v>5</v>
      </c>
      <c r="E141">
        <v>0</v>
      </c>
      <c r="F141">
        <v>0</v>
      </c>
      <c r="G141">
        <v>1</v>
      </c>
      <c r="H141">
        <v>0</v>
      </c>
      <c r="I141">
        <v>4</v>
      </c>
      <c r="J141">
        <v>0</v>
      </c>
      <c r="K141">
        <v>0</v>
      </c>
      <c r="L141" t="b">
        <f t="shared" si="2"/>
        <v>1</v>
      </c>
    </row>
    <row r="142" spans="1:12" x14ac:dyDescent="0.25">
      <c r="A142" t="s">
        <v>7</v>
      </c>
      <c r="B142">
        <v>20</v>
      </c>
      <c r="C142" t="s">
        <v>84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 t="b">
        <f t="shared" si="2"/>
        <v>1</v>
      </c>
    </row>
    <row r="143" spans="1:12" x14ac:dyDescent="0.25">
      <c r="A143" t="s">
        <v>7</v>
      </c>
      <c r="B143">
        <v>20</v>
      </c>
      <c r="C143" t="s">
        <v>3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 t="b">
        <f t="shared" si="2"/>
        <v>1</v>
      </c>
    </row>
    <row r="144" spans="1:12" x14ac:dyDescent="0.25">
      <c r="A144" t="s">
        <v>7</v>
      </c>
      <c r="B144">
        <v>20</v>
      </c>
      <c r="C144" t="s">
        <v>1</v>
      </c>
      <c r="D144">
        <v>9</v>
      </c>
      <c r="E144">
        <v>0</v>
      </c>
      <c r="F144">
        <v>1</v>
      </c>
      <c r="G144">
        <v>2</v>
      </c>
      <c r="H144">
        <v>0</v>
      </c>
      <c r="I144">
        <v>4</v>
      </c>
      <c r="J144">
        <v>0</v>
      </c>
      <c r="K144">
        <v>2</v>
      </c>
      <c r="L144" t="b">
        <f t="shared" si="2"/>
        <v>1</v>
      </c>
    </row>
    <row r="145" spans="1:12" x14ac:dyDescent="0.25">
      <c r="A145" t="s">
        <v>7</v>
      </c>
      <c r="B145">
        <v>20</v>
      </c>
      <c r="C145" t="s">
        <v>10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b">
        <f t="shared" si="2"/>
        <v>1</v>
      </c>
    </row>
    <row r="146" spans="1:12" x14ac:dyDescent="0.25">
      <c r="A146" t="s">
        <v>7</v>
      </c>
      <c r="B146">
        <v>20</v>
      </c>
      <c r="C146" t="s">
        <v>11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 t="b">
        <f t="shared" si="2"/>
        <v>1</v>
      </c>
    </row>
    <row r="147" spans="1:12" x14ac:dyDescent="0.25">
      <c r="A147" t="s">
        <v>7</v>
      </c>
      <c r="B147">
        <v>20</v>
      </c>
      <c r="C147" t="s">
        <v>9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 t="b">
        <f t="shared" si="2"/>
        <v>1</v>
      </c>
    </row>
    <row r="148" spans="1:12" x14ac:dyDescent="0.25">
      <c r="A148" t="s">
        <v>7</v>
      </c>
      <c r="B148">
        <v>21</v>
      </c>
      <c r="C148" t="s">
        <v>2</v>
      </c>
      <c r="D148">
        <v>12</v>
      </c>
      <c r="E148">
        <v>0</v>
      </c>
      <c r="F148">
        <v>1</v>
      </c>
      <c r="G148">
        <v>7</v>
      </c>
      <c r="H148">
        <v>0</v>
      </c>
      <c r="I148">
        <v>4</v>
      </c>
      <c r="J148">
        <v>0</v>
      </c>
      <c r="K148">
        <v>0</v>
      </c>
      <c r="L148" t="b">
        <f t="shared" si="2"/>
        <v>1</v>
      </c>
    </row>
    <row r="149" spans="1:12" x14ac:dyDescent="0.25">
      <c r="A149" t="s">
        <v>7</v>
      </c>
      <c r="B149">
        <v>21</v>
      </c>
      <c r="C149" t="s">
        <v>3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b">
        <f t="shared" si="2"/>
        <v>1</v>
      </c>
    </row>
    <row r="150" spans="1:12" x14ac:dyDescent="0.25">
      <c r="A150" t="s">
        <v>7</v>
      </c>
      <c r="B150">
        <v>21</v>
      </c>
      <c r="C150" t="s">
        <v>1</v>
      </c>
      <c r="D150">
        <v>12</v>
      </c>
      <c r="E150">
        <v>0</v>
      </c>
      <c r="F150">
        <v>3</v>
      </c>
      <c r="G150">
        <v>7</v>
      </c>
      <c r="H150">
        <v>0</v>
      </c>
      <c r="I150">
        <v>2</v>
      </c>
      <c r="J150">
        <v>0</v>
      </c>
      <c r="K150">
        <v>0</v>
      </c>
      <c r="L150" t="b">
        <f t="shared" si="2"/>
        <v>1</v>
      </c>
    </row>
    <row r="151" spans="1:12" x14ac:dyDescent="0.25">
      <c r="A151" t="s">
        <v>7</v>
      </c>
      <c r="B151">
        <v>21</v>
      </c>
      <c r="C151" t="s">
        <v>4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 t="b">
        <f t="shared" si="2"/>
        <v>1</v>
      </c>
    </row>
    <row r="152" spans="1:12" x14ac:dyDescent="0.25">
      <c r="A152" t="s">
        <v>7</v>
      </c>
      <c r="B152">
        <v>22</v>
      </c>
      <c r="C152" t="s">
        <v>2</v>
      </c>
      <c r="D152">
        <v>21</v>
      </c>
      <c r="E152">
        <v>0</v>
      </c>
      <c r="F152">
        <v>0</v>
      </c>
      <c r="G152">
        <v>9</v>
      </c>
      <c r="H152">
        <v>0</v>
      </c>
      <c r="I152">
        <v>12</v>
      </c>
      <c r="J152">
        <v>0</v>
      </c>
      <c r="K152">
        <v>0</v>
      </c>
      <c r="L152" t="b">
        <f t="shared" si="2"/>
        <v>1</v>
      </c>
    </row>
    <row r="153" spans="1:12" x14ac:dyDescent="0.25">
      <c r="A153" t="s">
        <v>7</v>
      </c>
      <c r="B153">
        <v>22</v>
      </c>
      <c r="C153" t="s">
        <v>84</v>
      </c>
      <c r="D153">
        <v>3</v>
      </c>
      <c r="E153">
        <v>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 t="b">
        <f t="shared" si="2"/>
        <v>1</v>
      </c>
    </row>
    <row r="154" spans="1:12" x14ac:dyDescent="0.25">
      <c r="A154" t="s">
        <v>7</v>
      </c>
      <c r="B154">
        <v>22</v>
      </c>
      <c r="C154" t="s">
        <v>3</v>
      </c>
      <c r="D154">
        <v>3</v>
      </c>
      <c r="E154">
        <v>0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0</v>
      </c>
      <c r="L154" t="b">
        <f t="shared" si="2"/>
        <v>1</v>
      </c>
    </row>
    <row r="155" spans="1:12" x14ac:dyDescent="0.25">
      <c r="A155" t="s">
        <v>7</v>
      </c>
      <c r="B155">
        <v>22</v>
      </c>
      <c r="C155" t="s">
        <v>5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b">
        <f t="shared" si="2"/>
        <v>1</v>
      </c>
    </row>
    <row r="156" spans="1:12" x14ac:dyDescent="0.25">
      <c r="A156" t="s">
        <v>7</v>
      </c>
      <c r="B156">
        <v>22</v>
      </c>
      <c r="C156" t="s">
        <v>6</v>
      </c>
      <c r="D156">
        <v>5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2</v>
      </c>
      <c r="L156" t="b">
        <f t="shared" si="2"/>
        <v>1</v>
      </c>
    </row>
    <row r="157" spans="1:12" x14ac:dyDescent="0.25">
      <c r="A157" t="s">
        <v>7</v>
      </c>
      <c r="B157">
        <v>22</v>
      </c>
      <c r="C157" t="s">
        <v>1</v>
      </c>
      <c r="D157">
        <v>31</v>
      </c>
      <c r="E157">
        <v>1</v>
      </c>
      <c r="F157">
        <v>5</v>
      </c>
      <c r="G157">
        <v>12</v>
      </c>
      <c r="H157">
        <v>0</v>
      </c>
      <c r="I157">
        <v>12</v>
      </c>
      <c r="J157">
        <v>0</v>
      </c>
      <c r="K157">
        <v>1</v>
      </c>
      <c r="L157" t="b">
        <f t="shared" si="2"/>
        <v>1</v>
      </c>
    </row>
    <row r="158" spans="1:12" x14ac:dyDescent="0.25">
      <c r="A158" t="s">
        <v>7</v>
      </c>
      <c r="B158">
        <v>22</v>
      </c>
      <c r="C158" t="s">
        <v>10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 t="b">
        <f t="shared" si="2"/>
        <v>1</v>
      </c>
    </row>
    <row r="159" spans="1:12" x14ac:dyDescent="0.25">
      <c r="A159" t="s">
        <v>7</v>
      </c>
      <c r="B159">
        <v>22</v>
      </c>
      <c r="C159" t="s">
        <v>4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 t="b">
        <f t="shared" si="2"/>
        <v>1</v>
      </c>
    </row>
    <row r="160" spans="1:12" x14ac:dyDescent="0.25">
      <c r="A160" t="s">
        <v>7</v>
      </c>
      <c r="B160">
        <v>22</v>
      </c>
      <c r="C160" t="s">
        <v>9</v>
      </c>
      <c r="D160">
        <v>2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 t="b">
        <f t="shared" si="2"/>
        <v>1</v>
      </c>
    </row>
    <row r="161" spans="1:12" x14ac:dyDescent="0.25">
      <c r="A161" t="s">
        <v>7</v>
      </c>
      <c r="B161">
        <v>23</v>
      </c>
      <c r="C161" t="s">
        <v>2</v>
      </c>
      <c r="D161">
        <v>4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 t="b">
        <f t="shared" si="2"/>
        <v>1</v>
      </c>
    </row>
    <row r="162" spans="1:12" x14ac:dyDescent="0.25">
      <c r="A162" t="s">
        <v>7</v>
      </c>
      <c r="B162">
        <v>23</v>
      </c>
      <c r="C162" t="s">
        <v>84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 t="b">
        <f t="shared" si="2"/>
        <v>1</v>
      </c>
    </row>
    <row r="163" spans="1:12" x14ac:dyDescent="0.25">
      <c r="A163" t="s">
        <v>7</v>
      </c>
      <c r="B163">
        <v>23</v>
      </c>
      <c r="C163" t="s">
        <v>5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b">
        <f t="shared" si="2"/>
        <v>1</v>
      </c>
    </row>
    <row r="164" spans="1:12" x14ac:dyDescent="0.25">
      <c r="A164" t="s">
        <v>7</v>
      </c>
      <c r="B164">
        <v>23</v>
      </c>
      <c r="C164" t="s">
        <v>6</v>
      </c>
      <c r="D164">
        <v>2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 t="b">
        <f t="shared" si="2"/>
        <v>1</v>
      </c>
    </row>
    <row r="165" spans="1:12" x14ac:dyDescent="0.25">
      <c r="A165" t="s">
        <v>7</v>
      </c>
      <c r="B165">
        <v>23</v>
      </c>
      <c r="C165" t="s">
        <v>1</v>
      </c>
      <c r="D165">
        <v>6</v>
      </c>
      <c r="E165">
        <v>0</v>
      </c>
      <c r="F165">
        <v>1</v>
      </c>
      <c r="G165">
        <v>4</v>
      </c>
      <c r="H165">
        <v>0</v>
      </c>
      <c r="I165">
        <v>0</v>
      </c>
      <c r="J165">
        <v>0</v>
      </c>
      <c r="K165">
        <v>1</v>
      </c>
      <c r="L165" t="b">
        <f t="shared" si="2"/>
        <v>1</v>
      </c>
    </row>
    <row r="166" spans="1:12" x14ac:dyDescent="0.25">
      <c r="A166" t="s">
        <v>7</v>
      </c>
      <c r="B166">
        <v>23</v>
      </c>
      <c r="C166" t="s">
        <v>10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 t="b">
        <f t="shared" si="2"/>
        <v>1</v>
      </c>
    </row>
    <row r="167" spans="1:12" x14ac:dyDescent="0.25">
      <c r="A167" t="s">
        <v>7</v>
      </c>
      <c r="B167">
        <v>23</v>
      </c>
      <c r="C167" t="s">
        <v>9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b">
        <f t="shared" si="2"/>
        <v>1</v>
      </c>
    </row>
    <row r="168" spans="1:12" x14ac:dyDescent="0.25">
      <c r="A168" t="s">
        <v>7</v>
      </c>
      <c r="B168">
        <v>24</v>
      </c>
      <c r="C168" t="s">
        <v>2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7</v>
      </c>
      <c r="J168">
        <v>0</v>
      </c>
      <c r="K168">
        <v>0</v>
      </c>
      <c r="L168" t="b">
        <f t="shared" si="2"/>
        <v>1</v>
      </c>
    </row>
    <row r="169" spans="1:12" x14ac:dyDescent="0.25">
      <c r="A169" t="s">
        <v>7</v>
      </c>
      <c r="B169">
        <v>24</v>
      </c>
      <c r="C169" t="s">
        <v>3</v>
      </c>
      <c r="D169">
        <v>4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2</v>
      </c>
      <c r="L169" t="b">
        <f t="shared" si="2"/>
        <v>1</v>
      </c>
    </row>
    <row r="170" spans="1:12" x14ac:dyDescent="0.25">
      <c r="A170" t="s">
        <v>7</v>
      </c>
      <c r="B170">
        <v>24</v>
      </c>
      <c r="C170" t="s">
        <v>6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2</v>
      </c>
      <c r="L170" t="b">
        <f t="shared" si="2"/>
        <v>1</v>
      </c>
    </row>
    <row r="171" spans="1:12" x14ac:dyDescent="0.25">
      <c r="A171" t="s">
        <v>7</v>
      </c>
      <c r="B171">
        <v>24</v>
      </c>
      <c r="C171" t="s">
        <v>1</v>
      </c>
      <c r="D171">
        <v>9</v>
      </c>
      <c r="E171">
        <v>0</v>
      </c>
      <c r="F171">
        <v>3</v>
      </c>
      <c r="G171">
        <v>1</v>
      </c>
      <c r="H171">
        <v>0</v>
      </c>
      <c r="I171">
        <v>5</v>
      </c>
      <c r="J171">
        <v>0</v>
      </c>
      <c r="K171">
        <v>0</v>
      </c>
      <c r="L171" t="b">
        <f t="shared" si="2"/>
        <v>1</v>
      </c>
    </row>
    <row r="172" spans="1:12" x14ac:dyDescent="0.25">
      <c r="A172" t="s">
        <v>7</v>
      </c>
      <c r="B172">
        <v>24</v>
      </c>
      <c r="C172" t="s">
        <v>4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 t="b">
        <f t="shared" si="2"/>
        <v>1</v>
      </c>
    </row>
    <row r="173" spans="1:12" x14ac:dyDescent="0.25">
      <c r="A173" t="s">
        <v>7</v>
      </c>
      <c r="B173">
        <v>25</v>
      </c>
      <c r="C173" t="s">
        <v>2</v>
      </c>
      <c r="D173">
        <v>12</v>
      </c>
      <c r="E173">
        <v>0</v>
      </c>
      <c r="F173">
        <v>0</v>
      </c>
      <c r="G173">
        <v>4</v>
      </c>
      <c r="H173">
        <v>0</v>
      </c>
      <c r="I173">
        <v>8</v>
      </c>
      <c r="J173">
        <v>0</v>
      </c>
      <c r="K173">
        <v>0</v>
      </c>
      <c r="L173" t="b">
        <f t="shared" si="2"/>
        <v>1</v>
      </c>
    </row>
    <row r="174" spans="1:12" x14ac:dyDescent="0.25">
      <c r="A174" t="s">
        <v>7</v>
      </c>
      <c r="B174">
        <v>25</v>
      </c>
      <c r="C174" t="s">
        <v>3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 t="b">
        <f t="shared" si="2"/>
        <v>1</v>
      </c>
    </row>
    <row r="175" spans="1:12" x14ac:dyDescent="0.25">
      <c r="A175" t="s">
        <v>7</v>
      </c>
      <c r="B175">
        <v>25</v>
      </c>
      <c r="C175" t="s">
        <v>5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 t="b">
        <f t="shared" si="2"/>
        <v>1</v>
      </c>
    </row>
    <row r="176" spans="1:12" x14ac:dyDescent="0.25">
      <c r="A176" t="s">
        <v>7</v>
      </c>
      <c r="B176">
        <v>25</v>
      </c>
      <c r="C176" t="s">
        <v>6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 t="b">
        <f t="shared" si="2"/>
        <v>1</v>
      </c>
    </row>
    <row r="177" spans="1:12" x14ac:dyDescent="0.25">
      <c r="A177" t="s">
        <v>7</v>
      </c>
      <c r="B177">
        <v>25</v>
      </c>
      <c r="C177" t="s">
        <v>1</v>
      </c>
      <c r="D177">
        <v>15</v>
      </c>
      <c r="E177">
        <v>0</v>
      </c>
      <c r="F177">
        <v>2</v>
      </c>
      <c r="G177">
        <v>4</v>
      </c>
      <c r="H177">
        <v>0</v>
      </c>
      <c r="I177">
        <v>8</v>
      </c>
      <c r="J177">
        <v>0</v>
      </c>
      <c r="K177">
        <v>1</v>
      </c>
      <c r="L177" t="b">
        <f t="shared" si="2"/>
        <v>1</v>
      </c>
    </row>
    <row r="178" spans="1:12" x14ac:dyDescent="0.25">
      <c r="A178" t="s">
        <v>7</v>
      </c>
      <c r="B178">
        <v>25</v>
      </c>
      <c r="C178" t="s">
        <v>10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 t="b">
        <f t="shared" si="2"/>
        <v>1</v>
      </c>
    </row>
    <row r="179" spans="1:12" x14ac:dyDescent="0.25">
      <c r="A179" t="s">
        <v>7</v>
      </c>
      <c r="B179">
        <v>25</v>
      </c>
      <c r="C179" t="s">
        <v>9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 t="b">
        <f t="shared" si="2"/>
        <v>1</v>
      </c>
    </row>
    <row r="180" spans="1:12" x14ac:dyDescent="0.25">
      <c r="A180" t="s">
        <v>7</v>
      </c>
      <c r="B180">
        <v>26</v>
      </c>
      <c r="C180" t="s">
        <v>2</v>
      </c>
      <c r="D180">
        <v>8</v>
      </c>
      <c r="E180">
        <v>0</v>
      </c>
      <c r="F180">
        <v>0</v>
      </c>
      <c r="G180">
        <v>2</v>
      </c>
      <c r="H180">
        <v>0</v>
      </c>
      <c r="I180">
        <v>6</v>
      </c>
      <c r="J180">
        <v>0</v>
      </c>
      <c r="K180">
        <v>0</v>
      </c>
      <c r="L180" t="b">
        <f t="shared" si="2"/>
        <v>1</v>
      </c>
    </row>
    <row r="181" spans="1:12" x14ac:dyDescent="0.25">
      <c r="A181" t="s">
        <v>7</v>
      </c>
      <c r="B181">
        <v>26</v>
      </c>
      <c r="C181" t="s">
        <v>6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 t="b">
        <f t="shared" si="2"/>
        <v>1</v>
      </c>
    </row>
    <row r="182" spans="1:12" x14ac:dyDescent="0.25">
      <c r="A182" t="s">
        <v>7</v>
      </c>
      <c r="B182">
        <v>26</v>
      </c>
      <c r="C182" t="s">
        <v>1</v>
      </c>
      <c r="D182">
        <v>11</v>
      </c>
      <c r="E182">
        <v>0</v>
      </c>
      <c r="F182">
        <v>1</v>
      </c>
      <c r="G182">
        <v>3</v>
      </c>
      <c r="H182">
        <v>0</v>
      </c>
      <c r="I182">
        <v>6</v>
      </c>
      <c r="J182">
        <v>0</v>
      </c>
      <c r="K182">
        <v>1</v>
      </c>
      <c r="L182" t="b">
        <f t="shared" si="2"/>
        <v>1</v>
      </c>
    </row>
    <row r="183" spans="1:12" x14ac:dyDescent="0.25">
      <c r="A183" t="s">
        <v>7</v>
      </c>
      <c r="B183">
        <v>27</v>
      </c>
      <c r="C183" t="s">
        <v>2</v>
      </c>
      <c r="D183">
        <v>8</v>
      </c>
      <c r="E183">
        <v>0</v>
      </c>
      <c r="F183">
        <v>0</v>
      </c>
      <c r="G183">
        <v>4</v>
      </c>
      <c r="H183">
        <v>0</v>
      </c>
      <c r="I183">
        <v>4</v>
      </c>
      <c r="J183">
        <v>0</v>
      </c>
      <c r="K183">
        <v>0</v>
      </c>
      <c r="L183" t="b">
        <f t="shared" si="2"/>
        <v>1</v>
      </c>
    </row>
    <row r="184" spans="1:12" x14ac:dyDescent="0.25">
      <c r="A184" t="s">
        <v>7</v>
      </c>
      <c r="B184">
        <v>27</v>
      </c>
      <c r="C184" t="s">
        <v>84</v>
      </c>
      <c r="D184">
        <v>3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1</v>
      </c>
      <c r="L184" t="b">
        <f t="shared" si="2"/>
        <v>1</v>
      </c>
    </row>
    <row r="185" spans="1:12" x14ac:dyDescent="0.25">
      <c r="A185" t="s">
        <v>7</v>
      </c>
      <c r="B185">
        <v>27</v>
      </c>
      <c r="C185" t="s">
        <v>3</v>
      </c>
      <c r="D185">
        <v>7</v>
      </c>
      <c r="E185">
        <v>4</v>
      </c>
      <c r="F185">
        <v>2</v>
      </c>
      <c r="G185">
        <v>1</v>
      </c>
      <c r="H185">
        <v>0</v>
      </c>
      <c r="I185">
        <v>0</v>
      </c>
      <c r="J185">
        <v>0</v>
      </c>
      <c r="K185">
        <v>0</v>
      </c>
      <c r="L185" t="b">
        <f t="shared" si="2"/>
        <v>1</v>
      </c>
    </row>
    <row r="186" spans="1:12" x14ac:dyDescent="0.25">
      <c r="A186" t="s">
        <v>7</v>
      </c>
      <c r="B186">
        <v>27</v>
      </c>
      <c r="C186" t="s">
        <v>5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b">
        <f t="shared" si="2"/>
        <v>1</v>
      </c>
    </row>
    <row r="187" spans="1:12" x14ac:dyDescent="0.25">
      <c r="A187" t="s">
        <v>7</v>
      </c>
      <c r="B187">
        <v>27</v>
      </c>
      <c r="C187" t="s">
        <v>6</v>
      </c>
      <c r="D187">
        <v>6</v>
      </c>
      <c r="E187">
        <v>0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2</v>
      </c>
      <c r="L187" t="b">
        <f t="shared" si="2"/>
        <v>1</v>
      </c>
    </row>
    <row r="188" spans="1:12" x14ac:dyDescent="0.25">
      <c r="A188" t="s">
        <v>7</v>
      </c>
      <c r="B188">
        <v>27</v>
      </c>
      <c r="C188" t="s">
        <v>1</v>
      </c>
      <c r="D188">
        <v>14</v>
      </c>
      <c r="E188">
        <v>0</v>
      </c>
      <c r="F188">
        <v>4</v>
      </c>
      <c r="G188">
        <v>6</v>
      </c>
      <c r="H188">
        <v>0</v>
      </c>
      <c r="I188">
        <v>4</v>
      </c>
      <c r="J188">
        <v>0</v>
      </c>
      <c r="K188">
        <v>0</v>
      </c>
      <c r="L188" t="b">
        <f t="shared" si="2"/>
        <v>1</v>
      </c>
    </row>
    <row r="189" spans="1:12" x14ac:dyDescent="0.25">
      <c r="A189" t="s">
        <v>7</v>
      </c>
      <c r="B189">
        <v>27</v>
      </c>
      <c r="C189" t="s">
        <v>10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 t="b">
        <f t="shared" si="2"/>
        <v>1</v>
      </c>
    </row>
    <row r="190" spans="1:12" x14ac:dyDescent="0.25">
      <c r="A190" t="s">
        <v>7</v>
      </c>
      <c r="B190">
        <v>27</v>
      </c>
      <c r="C190" t="s">
        <v>4</v>
      </c>
      <c r="D190">
        <v>5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</v>
      </c>
      <c r="K190">
        <v>2</v>
      </c>
      <c r="L190" t="b">
        <f t="shared" si="2"/>
        <v>1</v>
      </c>
    </row>
    <row r="191" spans="1:12" x14ac:dyDescent="0.25">
      <c r="A191" t="s">
        <v>7</v>
      </c>
      <c r="B191">
        <v>28</v>
      </c>
      <c r="C191" t="s">
        <v>2</v>
      </c>
      <c r="D191">
        <v>6</v>
      </c>
      <c r="E191">
        <v>0</v>
      </c>
      <c r="F191">
        <v>0</v>
      </c>
      <c r="G191">
        <v>2</v>
      </c>
      <c r="H191">
        <v>0</v>
      </c>
      <c r="I191">
        <v>4</v>
      </c>
      <c r="J191">
        <v>0</v>
      </c>
      <c r="K191">
        <v>0</v>
      </c>
      <c r="L191" t="b">
        <f t="shared" si="2"/>
        <v>1</v>
      </c>
    </row>
    <row r="192" spans="1:12" x14ac:dyDescent="0.25">
      <c r="A192" t="s">
        <v>7</v>
      </c>
      <c r="B192">
        <v>28</v>
      </c>
      <c r="C192" t="s">
        <v>3</v>
      </c>
      <c r="D192">
        <v>4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 t="b">
        <f t="shared" si="2"/>
        <v>1</v>
      </c>
    </row>
    <row r="193" spans="1:12" x14ac:dyDescent="0.25">
      <c r="A193" t="s">
        <v>7</v>
      </c>
      <c r="B193">
        <v>28</v>
      </c>
      <c r="C193" t="s">
        <v>5</v>
      </c>
      <c r="D193">
        <v>2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1</v>
      </c>
      <c r="L193" t="b">
        <f t="shared" si="2"/>
        <v>1</v>
      </c>
    </row>
    <row r="194" spans="1:12" x14ac:dyDescent="0.25">
      <c r="A194" t="s">
        <v>7</v>
      </c>
      <c r="B194">
        <v>28</v>
      </c>
      <c r="C194" t="s">
        <v>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 t="b">
        <f t="shared" si="2"/>
        <v>1</v>
      </c>
    </row>
    <row r="195" spans="1:12" x14ac:dyDescent="0.25">
      <c r="A195" t="s">
        <v>7</v>
      </c>
      <c r="B195">
        <v>28</v>
      </c>
      <c r="C195" t="s">
        <v>1</v>
      </c>
      <c r="D195">
        <v>8</v>
      </c>
      <c r="E195">
        <v>0</v>
      </c>
      <c r="F195">
        <v>0</v>
      </c>
      <c r="G195">
        <v>3</v>
      </c>
      <c r="H195">
        <v>0</v>
      </c>
      <c r="I195">
        <v>3</v>
      </c>
      <c r="J195">
        <v>0</v>
      </c>
      <c r="K195">
        <v>2</v>
      </c>
      <c r="L195" t="b">
        <f t="shared" si="2"/>
        <v>1</v>
      </c>
    </row>
    <row r="196" spans="1:12" x14ac:dyDescent="0.25">
      <c r="A196" t="s">
        <v>7</v>
      </c>
      <c r="B196">
        <v>28</v>
      </c>
      <c r="C196" t="s">
        <v>4</v>
      </c>
      <c r="D196">
        <v>4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2</v>
      </c>
      <c r="K196">
        <v>1</v>
      </c>
      <c r="L196" t="b">
        <f t="shared" ref="L196:L259" si="3">SUM(E196:K196)=D196</f>
        <v>1</v>
      </c>
    </row>
    <row r="197" spans="1:12" x14ac:dyDescent="0.25">
      <c r="A197" t="s">
        <v>7</v>
      </c>
      <c r="B197">
        <v>28</v>
      </c>
      <c r="C197" t="s">
        <v>9</v>
      </c>
      <c r="D197">
        <v>2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 t="b">
        <f t="shared" si="3"/>
        <v>1</v>
      </c>
    </row>
    <row r="198" spans="1:12" x14ac:dyDescent="0.25">
      <c r="A198" t="s">
        <v>7</v>
      </c>
      <c r="B198">
        <v>29</v>
      </c>
      <c r="C198" t="s">
        <v>2</v>
      </c>
      <c r="D198">
        <v>9</v>
      </c>
      <c r="E198">
        <v>0</v>
      </c>
      <c r="F198">
        <v>0</v>
      </c>
      <c r="G198">
        <v>7</v>
      </c>
      <c r="H198">
        <v>0</v>
      </c>
      <c r="I198">
        <v>2</v>
      </c>
      <c r="J198">
        <v>0</v>
      </c>
      <c r="K198">
        <v>0</v>
      </c>
      <c r="L198" t="b">
        <f t="shared" si="3"/>
        <v>1</v>
      </c>
    </row>
    <row r="199" spans="1:12" x14ac:dyDescent="0.25">
      <c r="A199" t="s">
        <v>7</v>
      </c>
      <c r="B199">
        <v>29</v>
      </c>
      <c r="C199" t="s">
        <v>3</v>
      </c>
      <c r="D199">
        <v>3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 t="b">
        <f t="shared" si="3"/>
        <v>1</v>
      </c>
    </row>
    <row r="200" spans="1:12" x14ac:dyDescent="0.25">
      <c r="A200" t="s">
        <v>7</v>
      </c>
      <c r="B200">
        <v>29</v>
      </c>
      <c r="C200" t="s">
        <v>6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 t="b">
        <f t="shared" si="3"/>
        <v>1</v>
      </c>
    </row>
    <row r="201" spans="1:12" x14ac:dyDescent="0.25">
      <c r="A201" t="s">
        <v>7</v>
      </c>
      <c r="B201">
        <v>29</v>
      </c>
      <c r="C201" t="s">
        <v>1</v>
      </c>
      <c r="D201">
        <v>13</v>
      </c>
      <c r="E201">
        <v>0</v>
      </c>
      <c r="F201">
        <v>2</v>
      </c>
      <c r="G201">
        <v>9</v>
      </c>
      <c r="H201">
        <v>0</v>
      </c>
      <c r="I201">
        <v>2</v>
      </c>
      <c r="J201">
        <v>0</v>
      </c>
      <c r="K201">
        <v>0</v>
      </c>
      <c r="L201" t="b">
        <f t="shared" si="3"/>
        <v>1</v>
      </c>
    </row>
    <row r="202" spans="1:12" x14ac:dyDescent="0.25">
      <c r="A202" t="s">
        <v>7</v>
      </c>
      <c r="B202">
        <v>29</v>
      </c>
      <c r="C202" t="s">
        <v>11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 t="b">
        <f t="shared" si="3"/>
        <v>1</v>
      </c>
    </row>
    <row r="203" spans="1:12" x14ac:dyDescent="0.25">
      <c r="A203" t="s">
        <v>7</v>
      </c>
      <c r="B203">
        <v>29</v>
      </c>
      <c r="C203" t="s">
        <v>4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 t="b">
        <f t="shared" si="3"/>
        <v>1</v>
      </c>
    </row>
    <row r="204" spans="1:12" x14ac:dyDescent="0.25">
      <c r="A204" t="s">
        <v>7</v>
      </c>
      <c r="B204">
        <v>30</v>
      </c>
      <c r="C204" t="s">
        <v>2</v>
      </c>
      <c r="D204">
        <v>6</v>
      </c>
      <c r="E204">
        <v>0</v>
      </c>
      <c r="F204">
        <v>0</v>
      </c>
      <c r="G204">
        <v>2</v>
      </c>
      <c r="H204">
        <v>0</v>
      </c>
      <c r="I204">
        <v>4</v>
      </c>
      <c r="J204">
        <v>0</v>
      </c>
      <c r="K204">
        <v>0</v>
      </c>
      <c r="L204" t="b">
        <f t="shared" si="3"/>
        <v>1</v>
      </c>
    </row>
    <row r="205" spans="1:12" x14ac:dyDescent="0.25">
      <c r="A205" t="s">
        <v>7</v>
      </c>
      <c r="B205">
        <v>30</v>
      </c>
      <c r="C205" t="s">
        <v>3</v>
      </c>
      <c r="D205">
        <v>3</v>
      </c>
      <c r="E205">
        <v>2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 t="b">
        <f t="shared" si="3"/>
        <v>1</v>
      </c>
    </row>
    <row r="206" spans="1:12" x14ac:dyDescent="0.25">
      <c r="A206" t="s">
        <v>7</v>
      </c>
      <c r="B206">
        <v>30</v>
      </c>
      <c r="C206" t="s">
        <v>5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 t="b">
        <f t="shared" si="3"/>
        <v>1</v>
      </c>
    </row>
    <row r="207" spans="1:12" x14ac:dyDescent="0.25">
      <c r="A207" t="s">
        <v>7</v>
      </c>
      <c r="B207">
        <v>30</v>
      </c>
      <c r="C207" t="s">
        <v>6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 t="b">
        <f t="shared" si="3"/>
        <v>1</v>
      </c>
    </row>
    <row r="208" spans="1:12" x14ac:dyDescent="0.25">
      <c r="A208" t="s">
        <v>7</v>
      </c>
      <c r="B208">
        <v>30</v>
      </c>
      <c r="C208" t="s">
        <v>1</v>
      </c>
      <c r="D208">
        <v>9</v>
      </c>
      <c r="E208">
        <v>0</v>
      </c>
      <c r="F208">
        <v>2</v>
      </c>
      <c r="G208">
        <v>4</v>
      </c>
      <c r="H208">
        <v>0</v>
      </c>
      <c r="I208">
        <v>3</v>
      </c>
      <c r="J208">
        <v>0</v>
      </c>
      <c r="K208">
        <v>0</v>
      </c>
      <c r="L208" t="b">
        <f t="shared" si="3"/>
        <v>1</v>
      </c>
    </row>
    <row r="209" spans="1:12" x14ac:dyDescent="0.25">
      <c r="A209" t="s">
        <v>7</v>
      </c>
      <c r="B209">
        <v>30</v>
      </c>
      <c r="C209" t="s">
        <v>4</v>
      </c>
      <c r="D209">
        <v>4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1</v>
      </c>
      <c r="L209" t="b">
        <f t="shared" si="3"/>
        <v>1</v>
      </c>
    </row>
    <row r="210" spans="1:12" x14ac:dyDescent="0.25">
      <c r="A210" t="s">
        <v>7</v>
      </c>
      <c r="B210">
        <v>31</v>
      </c>
      <c r="C210" t="s">
        <v>2</v>
      </c>
      <c r="D210">
        <v>9</v>
      </c>
      <c r="E210">
        <v>0</v>
      </c>
      <c r="F210">
        <v>0</v>
      </c>
      <c r="G210">
        <v>2</v>
      </c>
      <c r="H210">
        <v>0</v>
      </c>
      <c r="I210">
        <v>6</v>
      </c>
      <c r="J210">
        <v>0</v>
      </c>
      <c r="K210">
        <v>1</v>
      </c>
      <c r="L210" t="b">
        <f t="shared" si="3"/>
        <v>1</v>
      </c>
    </row>
    <row r="211" spans="1:12" x14ac:dyDescent="0.25">
      <c r="A211" t="s">
        <v>7</v>
      </c>
      <c r="B211">
        <v>31</v>
      </c>
      <c r="C211" t="s">
        <v>3</v>
      </c>
      <c r="D211">
        <v>12</v>
      </c>
      <c r="E211">
        <v>5</v>
      </c>
      <c r="F211">
        <v>3</v>
      </c>
      <c r="G211">
        <v>3</v>
      </c>
      <c r="H211">
        <v>0</v>
      </c>
      <c r="I211">
        <v>0</v>
      </c>
      <c r="J211">
        <v>0</v>
      </c>
      <c r="K211">
        <v>1</v>
      </c>
      <c r="L211" t="b">
        <f t="shared" si="3"/>
        <v>1</v>
      </c>
    </row>
    <row r="212" spans="1:12" x14ac:dyDescent="0.25">
      <c r="A212" t="s">
        <v>7</v>
      </c>
      <c r="B212">
        <v>31</v>
      </c>
      <c r="C212" t="s">
        <v>5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b">
        <f t="shared" si="3"/>
        <v>1</v>
      </c>
    </row>
    <row r="213" spans="1:12" x14ac:dyDescent="0.25">
      <c r="A213" t="s">
        <v>7</v>
      </c>
      <c r="B213">
        <v>31</v>
      </c>
      <c r="C213" t="s">
        <v>6</v>
      </c>
      <c r="D213">
        <v>5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3</v>
      </c>
      <c r="L213" t="b">
        <f t="shared" si="3"/>
        <v>1</v>
      </c>
    </row>
    <row r="214" spans="1:12" x14ac:dyDescent="0.25">
      <c r="A214" t="s">
        <v>7</v>
      </c>
      <c r="B214">
        <v>31</v>
      </c>
      <c r="C214" t="s">
        <v>1</v>
      </c>
      <c r="D214">
        <v>23</v>
      </c>
      <c r="E214">
        <v>0</v>
      </c>
      <c r="F214">
        <v>4</v>
      </c>
      <c r="G214">
        <v>12</v>
      </c>
      <c r="H214">
        <v>0</v>
      </c>
      <c r="I214">
        <v>5</v>
      </c>
      <c r="J214">
        <v>0</v>
      </c>
      <c r="K214">
        <v>2</v>
      </c>
      <c r="L214" t="b">
        <f t="shared" si="3"/>
        <v>1</v>
      </c>
    </row>
    <row r="215" spans="1:12" x14ac:dyDescent="0.25">
      <c r="A215" t="s">
        <v>7</v>
      </c>
      <c r="B215">
        <v>31</v>
      </c>
      <c r="C215" t="s">
        <v>10</v>
      </c>
      <c r="D215">
        <v>3</v>
      </c>
      <c r="E215">
        <v>0</v>
      </c>
      <c r="F215">
        <v>0</v>
      </c>
      <c r="G215">
        <v>2</v>
      </c>
      <c r="H215">
        <v>0</v>
      </c>
      <c r="I215">
        <v>1</v>
      </c>
      <c r="J215">
        <v>0</v>
      </c>
      <c r="K215">
        <v>0</v>
      </c>
      <c r="L215" t="b">
        <f t="shared" si="3"/>
        <v>1</v>
      </c>
    </row>
    <row r="216" spans="1:12" x14ac:dyDescent="0.25">
      <c r="A216" t="s">
        <v>7</v>
      </c>
      <c r="B216">
        <v>31</v>
      </c>
      <c r="C216" t="s">
        <v>4</v>
      </c>
      <c r="D216">
        <v>9</v>
      </c>
      <c r="E216">
        <v>2</v>
      </c>
      <c r="F216">
        <v>2</v>
      </c>
      <c r="G216">
        <v>3</v>
      </c>
      <c r="H216">
        <v>0</v>
      </c>
      <c r="I216">
        <v>0</v>
      </c>
      <c r="J216">
        <v>0</v>
      </c>
      <c r="K216">
        <v>2</v>
      </c>
      <c r="L216" t="b">
        <f t="shared" si="3"/>
        <v>1</v>
      </c>
    </row>
    <row r="217" spans="1:12" x14ac:dyDescent="0.25">
      <c r="A217" t="s">
        <v>7</v>
      </c>
      <c r="B217">
        <v>31</v>
      </c>
      <c r="C217" t="s">
        <v>9</v>
      </c>
      <c r="D217">
        <v>3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 t="b">
        <f t="shared" si="3"/>
        <v>1</v>
      </c>
    </row>
    <row r="218" spans="1:12" x14ac:dyDescent="0.25">
      <c r="A218" t="s">
        <v>7</v>
      </c>
      <c r="B218">
        <v>32</v>
      </c>
      <c r="C218" t="s">
        <v>2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3</v>
      </c>
      <c r="J218">
        <v>0</v>
      </c>
      <c r="K218">
        <v>0</v>
      </c>
      <c r="L218" t="b">
        <f t="shared" si="3"/>
        <v>1</v>
      </c>
    </row>
    <row r="219" spans="1:12" x14ac:dyDescent="0.25">
      <c r="A219" t="s">
        <v>7</v>
      </c>
      <c r="B219">
        <v>32</v>
      </c>
      <c r="C219" t="s">
        <v>84</v>
      </c>
      <c r="D219">
        <v>3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1</v>
      </c>
      <c r="L219" t="b">
        <f t="shared" si="3"/>
        <v>1</v>
      </c>
    </row>
    <row r="220" spans="1:12" x14ac:dyDescent="0.25">
      <c r="A220" t="s">
        <v>7</v>
      </c>
      <c r="B220">
        <v>32</v>
      </c>
      <c r="C220" t="s">
        <v>3</v>
      </c>
      <c r="D220">
        <v>6</v>
      </c>
      <c r="E220">
        <v>2</v>
      </c>
      <c r="F220">
        <v>1</v>
      </c>
      <c r="G220">
        <v>2</v>
      </c>
      <c r="H220">
        <v>0</v>
      </c>
      <c r="I220">
        <v>0</v>
      </c>
      <c r="J220">
        <v>0</v>
      </c>
      <c r="K220">
        <v>1</v>
      </c>
      <c r="L220" t="b">
        <f t="shared" si="3"/>
        <v>1</v>
      </c>
    </row>
    <row r="221" spans="1:12" x14ac:dyDescent="0.25">
      <c r="A221" t="s">
        <v>7</v>
      </c>
      <c r="B221">
        <v>32</v>
      </c>
      <c r="C221" t="s">
        <v>5</v>
      </c>
      <c r="D221">
        <v>2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 t="b">
        <f t="shared" si="3"/>
        <v>1</v>
      </c>
    </row>
    <row r="222" spans="1:12" x14ac:dyDescent="0.25">
      <c r="A222" t="s">
        <v>7</v>
      </c>
      <c r="B222">
        <v>32</v>
      </c>
      <c r="C222" t="s">
        <v>6</v>
      </c>
      <c r="D222">
        <v>4</v>
      </c>
      <c r="E222">
        <v>0</v>
      </c>
      <c r="F222">
        <v>3</v>
      </c>
      <c r="G222">
        <v>0</v>
      </c>
      <c r="H222">
        <v>0</v>
      </c>
      <c r="I222">
        <v>1</v>
      </c>
      <c r="J222">
        <v>0</v>
      </c>
      <c r="K222">
        <v>0</v>
      </c>
      <c r="L222" t="b">
        <f t="shared" si="3"/>
        <v>1</v>
      </c>
    </row>
    <row r="223" spans="1:12" x14ac:dyDescent="0.25">
      <c r="A223" t="s">
        <v>7</v>
      </c>
      <c r="B223">
        <v>32</v>
      </c>
      <c r="C223" t="s">
        <v>1</v>
      </c>
      <c r="D223">
        <v>12</v>
      </c>
      <c r="E223">
        <v>0</v>
      </c>
      <c r="F223">
        <v>6</v>
      </c>
      <c r="G223">
        <v>3</v>
      </c>
      <c r="H223">
        <v>0</v>
      </c>
      <c r="I223">
        <v>3</v>
      </c>
      <c r="J223">
        <v>0</v>
      </c>
      <c r="K223">
        <v>0</v>
      </c>
      <c r="L223" t="b">
        <f t="shared" si="3"/>
        <v>1</v>
      </c>
    </row>
    <row r="224" spans="1:12" x14ac:dyDescent="0.25">
      <c r="A224" t="s">
        <v>7</v>
      </c>
      <c r="B224">
        <v>32</v>
      </c>
      <c r="C224" t="s">
        <v>10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 t="b">
        <f t="shared" si="3"/>
        <v>1</v>
      </c>
    </row>
    <row r="225" spans="1:12" x14ac:dyDescent="0.25">
      <c r="A225" t="s">
        <v>7</v>
      </c>
      <c r="B225">
        <v>32</v>
      </c>
      <c r="C225" t="s">
        <v>4</v>
      </c>
      <c r="D225">
        <v>4</v>
      </c>
      <c r="E225">
        <v>0</v>
      </c>
      <c r="F225">
        <v>1</v>
      </c>
      <c r="G225">
        <v>2</v>
      </c>
      <c r="H225">
        <v>0</v>
      </c>
      <c r="I225">
        <v>0</v>
      </c>
      <c r="J225">
        <v>1</v>
      </c>
      <c r="K225">
        <v>0</v>
      </c>
      <c r="L225" t="b">
        <f t="shared" si="3"/>
        <v>1</v>
      </c>
    </row>
    <row r="226" spans="1:12" x14ac:dyDescent="0.25">
      <c r="A226" t="s">
        <v>7</v>
      </c>
      <c r="B226">
        <v>32</v>
      </c>
      <c r="C226" t="s">
        <v>9</v>
      </c>
      <c r="D226">
        <v>2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 t="b">
        <f t="shared" si="3"/>
        <v>1</v>
      </c>
    </row>
    <row r="227" spans="1:12" x14ac:dyDescent="0.25">
      <c r="A227" t="s">
        <v>7</v>
      </c>
      <c r="B227">
        <v>33</v>
      </c>
      <c r="C227" t="s">
        <v>2</v>
      </c>
      <c r="D227">
        <v>15</v>
      </c>
      <c r="E227">
        <v>0</v>
      </c>
      <c r="F227">
        <v>1</v>
      </c>
      <c r="G227">
        <v>6</v>
      </c>
      <c r="H227">
        <v>0</v>
      </c>
      <c r="I227">
        <v>8</v>
      </c>
      <c r="J227">
        <v>0</v>
      </c>
      <c r="K227">
        <v>0</v>
      </c>
      <c r="L227" t="b">
        <f t="shared" si="3"/>
        <v>1</v>
      </c>
    </row>
    <row r="228" spans="1:12" x14ac:dyDescent="0.25">
      <c r="A228" t="s">
        <v>7</v>
      </c>
      <c r="B228">
        <v>33</v>
      </c>
      <c r="C228" t="s">
        <v>1</v>
      </c>
      <c r="D228">
        <v>16</v>
      </c>
      <c r="E228">
        <v>0</v>
      </c>
      <c r="F228">
        <v>2</v>
      </c>
      <c r="G228">
        <v>6</v>
      </c>
      <c r="H228">
        <v>0</v>
      </c>
      <c r="I228">
        <v>8</v>
      </c>
      <c r="J228">
        <v>0</v>
      </c>
      <c r="K228">
        <v>0</v>
      </c>
      <c r="L228" t="b">
        <f t="shared" si="3"/>
        <v>1</v>
      </c>
    </row>
    <row r="229" spans="1:12" x14ac:dyDescent="0.25">
      <c r="A229" t="s">
        <v>7</v>
      </c>
      <c r="B229">
        <v>33</v>
      </c>
      <c r="C229" t="s">
        <v>10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 t="b">
        <f t="shared" si="3"/>
        <v>1</v>
      </c>
    </row>
    <row r="230" spans="1:12" x14ac:dyDescent="0.25">
      <c r="A230" t="s">
        <v>7</v>
      </c>
      <c r="B230">
        <v>33</v>
      </c>
      <c r="C230" t="s">
        <v>11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 t="b">
        <f t="shared" si="3"/>
        <v>1</v>
      </c>
    </row>
    <row r="231" spans="1:12" x14ac:dyDescent="0.25">
      <c r="A231" t="s">
        <v>7</v>
      </c>
      <c r="B231">
        <v>34</v>
      </c>
      <c r="C231" t="s">
        <v>2</v>
      </c>
      <c r="D231">
        <v>16</v>
      </c>
      <c r="E231">
        <v>0</v>
      </c>
      <c r="F231">
        <v>0</v>
      </c>
      <c r="G231">
        <v>7</v>
      </c>
      <c r="H231">
        <v>0</v>
      </c>
      <c r="I231">
        <v>9</v>
      </c>
      <c r="J231">
        <v>0</v>
      </c>
      <c r="K231">
        <v>0</v>
      </c>
      <c r="L231" t="b">
        <f t="shared" si="3"/>
        <v>1</v>
      </c>
    </row>
    <row r="232" spans="1:12" x14ac:dyDescent="0.25">
      <c r="A232" t="s">
        <v>7</v>
      </c>
      <c r="B232">
        <v>34</v>
      </c>
      <c r="C232" t="s">
        <v>1</v>
      </c>
      <c r="D232">
        <v>18</v>
      </c>
      <c r="E232">
        <v>0</v>
      </c>
      <c r="F232">
        <v>1</v>
      </c>
      <c r="G232">
        <v>7</v>
      </c>
      <c r="H232">
        <v>0</v>
      </c>
      <c r="I232">
        <v>9</v>
      </c>
      <c r="J232">
        <v>0</v>
      </c>
      <c r="K232">
        <v>1</v>
      </c>
      <c r="L232" t="b">
        <f t="shared" si="3"/>
        <v>1</v>
      </c>
    </row>
    <row r="233" spans="1:12" x14ac:dyDescent="0.25">
      <c r="A233" t="s">
        <v>7</v>
      </c>
      <c r="B233">
        <v>34</v>
      </c>
      <c r="C233" t="s">
        <v>11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 t="b">
        <f t="shared" si="3"/>
        <v>1</v>
      </c>
    </row>
    <row r="234" spans="1:12" x14ac:dyDescent="0.25">
      <c r="A234" t="s">
        <v>7</v>
      </c>
      <c r="B234">
        <v>34</v>
      </c>
      <c r="C234" t="s">
        <v>9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 t="b">
        <f t="shared" si="3"/>
        <v>1</v>
      </c>
    </row>
    <row r="235" spans="1:12" x14ac:dyDescent="0.25">
      <c r="A235" t="s">
        <v>7</v>
      </c>
      <c r="B235">
        <v>35</v>
      </c>
      <c r="C235" t="s">
        <v>2</v>
      </c>
      <c r="D235">
        <v>18</v>
      </c>
      <c r="E235">
        <v>0</v>
      </c>
      <c r="F235">
        <v>0</v>
      </c>
      <c r="G235">
        <v>6</v>
      </c>
      <c r="H235">
        <v>0</v>
      </c>
      <c r="I235">
        <v>12</v>
      </c>
      <c r="J235">
        <v>0</v>
      </c>
      <c r="K235">
        <v>0</v>
      </c>
      <c r="L235" t="b">
        <f t="shared" si="3"/>
        <v>1</v>
      </c>
    </row>
    <row r="236" spans="1:12" x14ac:dyDescent="0.25">
      <c r="A236" t="s">
        <v>7</v>
      </c>
      <c r="B236">
        <v>35</v>
      </c>
      <c r="C236" t="s">
        <v>84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 t="b">
        <f t="shared" si="3"/>
        <v>1</v>
      </c>
    </row>
    <row r="237" spans="1:12" x14ac:dyDescent="0.25">
      <c r="A237" t="s">
        <v>7</v>
      </c>
      <c r="B237">
        <v>35</v>
      </c>
      <c r="C237" t="s">
        <v>3</v>
      </c>
      <c r="D237">
        <v>9</v>
      </c>
      <c r="E237">
        <v>3</v>
      </c>
      <c r="F237">
        <v>2</v>
      </c>
      <c r="G237">
        <v>4</v>
      </c>
      <c r="H237">
        <v>0</v>
      </c>
      <c r="I237">
        <v>0</v>
      </c>
      <c r="J237">
        <v>0</v>
      </c>
      <c r="K237">
        <v>0</v>
      </c>
      <c r="L237" t="b">
        <f t="shared" si="3"/>
        <v>1</v>
      </c>
    </row>
    <row r="238" spans="1:12" x14ac:dyDescent="0.25">
      <c r="A238" t="s">
        <v>7</v>
      </c>
      <c r="B238">
        <v>35</v>
      </c>
      <c r="C238" t="s">
        <v>5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 t="b">
        <f t="shared" si="3"/>
        <v>1</v>
      </c>
    </row>
    <row r="239" spans="1:12" x14ac:dyDescent="0.25">
      <c r="A239" t="s">
        <v>7</v>
      </c>
      <c r="B239">
        <v>35</v>
      </c>
      <c r="C239" t="s">
        <v>6</v>
      </c>
      <c r="D239">
        <v>3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 t="b">
        <f t="shared" si="3"/>
        <v>1</v>
      </c>
    </row>
    <row r="240" spans="1:12" x14ac:dyDescent="0.25">
      <c r="A240" t="s">
        <v>7</v>
      </c>
      <c r="B240">
        <v>35</v>
      </c>
      <c r="C240" t="s">
        <v>1</v>
      </c>
      <c r="D240">
        <v>23</v>
      </c>
      <c r="E240">
        <v>0</v>
      </c>
      <c r="F240">
        <v>2</v>
      </c>
      <c r="G240">
        <v>10</v>
      </c>
      <c r="H240">
        <v>0</v>
      </c>
      <c r="I240">
        <v>10</v>
      </c>
      <c r="J240">
        <v>0</v>
      </c>
      <c r="K240">
        <v>1</v>
      </c>
      <c r="L240" t="b">
        <f t="shared" si="3"/>
        <v>1</v>
      </c>
    </row>
    <row r="241" spans="1:12" x14ac:dyDescent="0.25">
      <c r="A241" t="s">
        <v>7</v>
      </c>
      <c r="B241">
        <v>35</v>
      </c>
      <c r="C241" t="s">
        <v>10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 t="b">
        <f t="shared" si="3"/>
        <v>1</v>
      </c>
    </row>
    <row r="242" spans="1:12" x14ac:dyDescent="0.25">
      <c r="A242" t="s">
        <v>7</v>
      </c>
      <c r="B242">
        <v>35</v>
      </c>
      <c r="C242" t="s">
        <v>4</v>
      </c>
      <c r="D242">
        <v>7</v>
      </c>
      <c r="E242">
        <v>0</v>
      </c>
      <c r="F242">
        <v>2</v>
      </c>
      <c r="G242">
        <v>1</v>
      </c>
      <c r="H242">
        <v>0</v>
      </c>
      <c r="I242">
        <v>0</v>
      </c>
      <c r="J242">
        <v>3</v>
      </c>
      <c r="K242">
        <v>1</v>
      </c>
      <c r="L242" t="b">
        <f t="shared" si="3"/>
        <v>1</v>
      </c>
    </row>
    <row r="243" spans="1:12" x14ac:dyDescent="0.25">
      <c r="A243" t="s">
        <v>7</v>
      </c>
      <c r="B243">
        <v>35</v>
      </c>
      <c r="C243" t="s">
        <v>9</v>
      </c>
      <c r="D243">
        <v>2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 t="b">
        <f t="shared" si="3"/>
        <v>1</v>
      </c>
    </row>
    <row r="244" spans="1:12" x14ac:dyDescent="0.25">
      <c r="A244" t="s">
        <v>7</v>
      </c>
      <c r="B244">
        <v>36</v>
      </c>
      <c r="C244" t="s">
        <v>2</v>
      </c>
      <c r="D244">
        <v>7</v>
      </c>
      <c r="E244">
        <v>0</v>
      </c>
      <c r="F244">
        <v>0</v>
      </c>
      <c r="G244">
        <v>2</v>
      </c>
      <c r="H244">
        <v>0</v>
      </c>
      <c r="I244">
        <v>5</v>
      </c>
      <c r="J244">
        <v>0</v>
      </c>
      <c r="K244">
        <v>0</v>
      </c>
      <c r="L244" t="b">
        <f t="shared" si="3"/>
        <v>1</v>
      </c>
    </row>
    <row r="245" spans="1:12" x14ac:dyDescent="0.25">
      <c r="A245" t="s">
        <v>7</v>
      </c>
      <c r="B245">
        <v>36</v>
      </c>
      <c r="C245" t="s">
        <v>84</v>
      </c>
      <c r="D245">
        <v>2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 t="b">
        <f t="shared" si="3"/>
        <v>1</v>
      </c>
    </row>
    <row r="246" spans="1:12" x14ac:dyDescent="0.25">
      <c r="A246" t="s">
        <v>7</v>
      </c>
      <c r="B246">
        <v>36</v>
      </c>
      <c r="C246" t="s">
        <v>3</v>
      </c>
      <c r="D246">
        <v>2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 t="b">
        <f t="shared" si="3"/>
        <v>1</v>
      </c>
    </row>
    <row r="247" spans="1:12" x14ac:dyDescent="0.25">
      <c r="A247" t="s">
        <v>7</v>
      </c>
      <c r="B247">
        <v>36</v>
      </c>
      <c r="C247" t="s">
        <v>6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 t="b">
        <f t="shared" si="3"/>
        <v>1</v>
      </c>
    </row>
    <row r="248" spans="1:12" x14ac:dyDescent="0.25">
      <c r="A248" t="s">
        <v>7</v>
      </c>
      <c r="B248">
        <v>36</v>
      </c>
      <c r="C248" t="s">
        <v>1</v>
      </c>
      <c r="D248">
        <v>10</v>
      </c>
      <c r="E248">
        <v>0</v>
      </c>
      <c r="F248">
        <v>1</v>
      </c>
      <c r="G248">
        <v>4</v>
      </c>
      <c r="H248">
        <v>0</v>
      </c>
      <c r="I248">
        <v>4</v>
      </c>
      <c r="J248">
        <v>0</v>
      </c>
      <c r="K248">
        <v>1</v>
      </c>
      <c r="L248" t="b">
        <f t="shared" si="3"/>
        <v>1</v>
      </c>
    </row>
    <row r="249" spans="1:12" x14ac:dyDescent="0.25">
      <c r="A249" t="s">
        <v>7</v>
      </c>
      <c r="B249">
        <v>36</v>
      </c>
      <c r="C249" t="s">
        <v>10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 t="b">
        <f t="shared" si="3"/>
        <v>1</v>
      </c>
    </row>
    <row r="250" spans="1:12" x14ac:dyDescent="0.25">
      <c r="A250" t="s">
        <v>7</v>
      </c>
      <c r="B250">
        <v>37</v>
      </c>
      <c r="C250" t="s">
        <v>2</v>
      </c>
      <c r="D250">
        <v>24</v>
      </c>
      <c r="E250">
        <v>0</v>
      </c>
      <c r="F250">
        <v>4</v>
      </c>
      <c r="G250">
        <v>3</v>
      </c>
      <c r="H250">
        <v>0</v>
      </c>
      <c r="I250">
        <v>17</v>
      </c>
      <c r="J250">
        <v>0</v>
      </c>
      <c r="K250">
        <v>0</v>
      </c>
      <c r="L250" t="b">
        <f t="shared" si="3"/>
        <v>1</v>
      </c>
    </row>
    <row r="251" spans="1:12" x14ac:dyDescent="0.25">
      <c r="A251" t="s">
        <v>7</v>
      </c>
      <c r="B251">
        <v>37</v>
      </c>
      <c r="C251" t="s">
        <v>84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 t="b">
        <f t="shared" si="3"/>
        <v>1</v>
      </c>
    </row>
    <row r="252" spans="1:12" x14ac:dyDescent="0.25">
      <c r="A252" t="s">
        <v>7</v>
      </c>
      <c r="B252">
        <v>37</v>
      </c>
      <c r="C252" t="s">
        <v>3</v>
      </c>
      <c r="D252">
        <v>4</v>
      </c>
      <c r="E252">
        <v>2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 t="b">
        <f t="shared" si="3"/>
        <v>1</v>
      </c>
    </row>
    <row r="253" spans="1:12" x14ac:dyDescent="0.25">
      <c r="A253" t="s">
        <v>7</v>
      </c>
      <c r="B253">
        <v>37</v>
      </c>
      <c r="C253" t="s">
        <v>6</v>
      </c>
      <c r="D253">
        <v>4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3</v>
      </c>
      <c r="L253" t="b">
        <f t="shared" si="3"/>
        <v>1</v>
      </c>
    </row>
    <row r="254" spans="1:12" x14ac:dyDescent="0.25">
      <c r="A254" t="s">
        <v>7</v>
      </c>
      <c r="B254">
        <v>37</v>
      </c>
      <c r="C254" t="s">
        <v>1</v>
      </c>
      <c r="D254">
        <v>31</v>
      </c>
      <c r="E254">
        <v>0</v>
      </c>
      <c r="F254">
        <v>4</v>
      </c>
      <c r="G254">
        <v>5</v>
      </c>
      <c r="H254">
        <v>1</v>
      </c>
      <c r="I254">
        <v>17</v>
      </c>
      <c r="J254">
        <v>0</v>
      </c>
      <c r="K254">
        <v>4</v>
      </c>
      <c r="L254" t="b">
        <f t="shared" si="3"/>
        <v>1</v>
      </c>
    </row>
    <row r="255" spans="1:12" x14ac:dyDescent="0.25">
      <c r="A255" t="s">
        <v>7</v>
      </c>
      <c r="B255">
        <v>37</v>
      </c>
      <c r="C255" t="s">
        <v>10</v>
      </c>
      <c r="D255">
        <v>2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 t="b">
        <f t="shared" si="3"/>
        <v>1</v>
      </c>
    </row>
    <row r="256" spans="1:12" x14ac:dyDescent="0.25">
      <c r="A256" t="s">
        <v>7</v>
      </c>
      <c r="B256">
        <v>37</v>
      </c>
      <c r="C256" t="s">
        <v>4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 t="b">
        <f t="shared" si="3"/>
        <v>1</v>
      </c>
    </row>
    <row r="257" spans="1:12" x14ac:dyDescent="0.25">
      <c r="A257" t="s">
        <v>7</v>
      </c>
      <c r="B257">
        <v>37</v>
      </c>
      <c r="C257" t="s">
        <v>9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 t="b">
        <f t="shared" si="3"/>
        <v>1</v>
      </c>
    </row>
    <row r="258" spans="1:12" x14ac:dyDescent="0.25">
      <c r="A258" t="s">
        <v>7</v>
      </c>
      <c r="B258">
        <v>38</v>
      </c>
      <c r="C258" t="s">
        <v>2</v>
      </c>
      <c r="D258">
        <v>17</v>
      </c>
      <c r="E258">
        <v>0</v>
      </c>
      <c r="F258">
        <v>0</v>
      </c>
      <c r="G258">
        <v>6</v>
      </c>
      <c r="H258">
        <v>0</v>
      </c>
      <c r="I258">
        <v>11</v>
      </c>
      <c r="J258">
        <v>0</v>
      </c>
      <c r="K258">
        <v>0</v>
      </c>
      <c r="L258" t="b">
        <f t="shared" si="3"/>
        <v>1</v>
      </c>
    </row>
    <row r="259" spans="1:12" x14ac:dyDescent="0.25">
      <c r="A259" t="s">
        <v>7</v>
      </c>
      <c r="B259">
        <v>38</v>
      </c>
      <c r="C259" t="s">
        <v>84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 t="b">
        <f t="shared" si="3"/>
        <v>1</v>
      </c>
    </row>
    <row r="260" spans="1:12" x14ac:dyDescent="0.25">
      <c r="A260" t="s">
        <v>7</v>
      </c>
      <c r="B260">
        <v>38</v>
      </c>
      <c r="C260" t="s">
        <v>6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 t="b">
        <f t="shared" ref="L260:L323" si="4">SUM(E260:K260)=D260</f>
        <v>1</v>
      </c>
    </row>
    <row r="261" spans="1:12" x14ac:dyDescent="0.25">
      <c r="A261" t="s">
        <v>7</v>
      </c>
      <c r="B261">
        <v>38</v>
      </c>
      <c r="C261" t="s">
        <v>1</v>
      </c>
      <c r="D261">
        <v>21</v>
      </c>
      <c r="E261">
        <v>0</v>
      </c>
      <c r="F261">
        <v>3</v>
      </c>
      <c r="G261">
        <v>6</v>
      </c>
      <c r="H261">
        <v>0</v>
      </c>
      <c r="I261">
        <v>11</v>
      </c>
      <c r="J261">
        <v>0</v>
      </c>
      <c r="K261">
        <v>1</v>
      </c>
      <c r="L261" t="b">
        <f t="shared" si="4"/>
        <v>1</v>
      </c>
    </row>
    <row r="262" spans="1:12" x14ac:dyDescent="0.25">
      <c r="A262" t="s">
        <v>7</v>
      </c>
      <c r="B262">
        <v>38</v>
      </c>
      <c r="C262" t="s">
        <v>10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 t="b">
        <f t="shared" si="4"/>
        <v>1</v>
      </c>
    </row>
    <row r="263" spans="1:12" x14ac:dyDescent="0.25">
      <c r="A263" t="s">
        <v>7</v>
      </c>
      <c r="B263">
        <v>39</v>
      </c>
      <c r="C263" t="s">
        <v>2</v>
      </c>
      <c r="D263">
        <v>8</v>
      </c>
      <c r="E263">
        <v>0</v>
      </c>
      <c r="F263">
        <v>0</v>
      </c>
      <c r="G263">
        <v>3</v>
      </c>
      <c r="H263">
        <v>0</v>
      </c>
      <c r="I263">
        <v>5</v>
      </c>
      <c r="J263">
        <v>0</v>
      </c>
      <c r="K263">
        <v>0</v>
      </c>
      <c r="L263" t="b">
        <f t="shared" si="4"/>
        <v>1</v>
      </c>
    </row>
    <row r="264" spans="1:12" x14ac:dyDescent="0.25">
      <c r="A264" t="s">
        <v>7</v>
      </c>
      <c r="B264">
        <v>39</v>
      </c>
      <c r="C264" t="s">
        <v>84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 t="b">
        <f t="shared" si="4"/>
        <v>1</v>
      </c>
    </row>
    <row r="265" spans="1:12" x14ac:dyDescent="0.25">
      <c r="A265" t="s">
        <v>7</v>
      </c>
      <c r="B265">
        <v>39</v>
      </c>
      <c r="C265" t="s">
        <v>3</v>
      </c>
      <c r="D265">
        <v>2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 t="b">
        <f t="shared" si="4"/>
        <v>1</v>
      </c>
    </row>
    <row r="266" spans="1:12" x14ac:dyDescent="0.25">
      <c r="A266" t="s">
        <v>7</v>
      </c>
      <c r="B266">
        <v>39</v>
      </c>
      <c r="C266" t="s">
        <v>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 t="b">
        <f t="shared" si="4"/>
        <v>1</v>
      </c>
    </row>
    <row r="267" spans="1:12" x14ac:dyDescent="0.25">
      <c r="A267" t="s">
        <v>7</v>
      </c>
      <c r="B267">
        <v>39</v>
      </c>
      <c r="C267" t="s">
        <v>6</v>
      </c>
      <c r="D267">
        <v>6</v>
      </c>
      <c r="E267">
        <v>0</v>
      </c>
      <c r="F267">
        <v>1</v>
      </c>
      <c r="G267">
        <v>2</v>
      </c>
      <c r="H267">
        <v>0</v>
      </c>
      <c r="I267">
        <v>0</v>
      </c>
      <c r="J267">
        <v>0</v>
      </c>
      <c r="K267">
        <v>3</v>
      </c>
      <c r="L267" t="b">
        <f t="shared" si="4"/>
        <v>1</v>
      </c>
    </row>
    <row r="268" spans="1:12" x14ac:dyDescent="0.25">
      <c r="A268" t="s">
        <v>7</v>
      </c>
      <c r="B268">
        <v>39</v>
      </c>
      <c r="C268" t="s">
        <v>1</v>
      </c>
      <c r="D268">
        <v>16</v>
      </c>
      <c r="E268">
        <v>0</v>
      </c>
      <c r="F268">
        <v>5</v>
      </c>
      <c r="G268">
        <v>3</v>
      </c>
      <c r="H268">
        <v>0</v>
      </c>
      <c r="I268">
        <v>5</v>
      </c>
      <c r="J268">
        <v>0</v>
      </c>
      <c r="K268">
        <v>3</v>
      </c>
      <c r="L268" t="b">
        <f t="shared" si="4"/>
        <v>1</v>
      </c>
    </row>
    <row r="269" spans="1:12" x14ac:dyDescent="0.25">
      <c r="A269" t="s">
        <v>7</v>
      </c>
      <c r="B269">
        <v>39</v>
      </c>
      <c r="C269" t="s">
        <v>4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 t="b">
        <f t="shared" si="4"/>
        <v>1</v>
      </c>
    </row>
    <row r="270" spans="1:12" x14ac:dyDescent="0.25">
      <c r="A270" t="s">
        <v>7</v>
      </c>
      <c r="B270">
        <v>39</v>
      </c>
      <c r="C270" t="s">
        <v>9</v>
      </c>
      <c r="D270">
        <v>3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1</v>
      </c>
      <c r="L270" t="b">
        <f t="shared" si="4"/>
        <v>1</v>
      </c>
    </row>
    <row r="271" spans="1:12" x14ac:dyDescent="0.25">
      <c r="A271" t="s">
        <v>7</v>
      </c>
      <c r="B271">
        <v>40</v>
      </c>
      <c r="C271" t="s">
        <v>2</v>
      </c>
      <c r="D271">
        <v>15</v>
      </c>
      <c r="E271">
        <v>0</v>
      </c>
      <c r="F271">
        <v>1</v>
      </c>
      <c r="G271">
        <v>6</v>
      </c>
      <c r="H271">
        <v>0</v>
      </c>
      <c r="I271">
        <v>8</v>
      </c>
      <c r="J271">
        <v>0</v>
      </c>
      <c r="K271">
        <v>0</v>
      </c>
      <c r="L271" t="b">
        <f t="shared" si="4"/>
        <v>1</v>
      </c>
    </row>
    <row r="272" spans="1:12" x14ac:dyDescent="0.25">
      <c r="A272" t="s">
        <v>7</v>
      </c>
      <c r="B272">
        <v>40</v>
      </c>
      <c r="C272" t="s">
        <v>84</v>
      </c>
      <c r="D272">
        <v>5</v>
      </c>
      <c r="E272">
        <v>0</v>
      </c>
      <c r="F272">
        <v>3</v>
      </c>
      <c r="G272">
        <v>1</v>
      </c>
      <c r="H272">
        <v>0</v>
      </c>
      <c r="I272">
        <v>0</v>
      </c>
      <c r="J272">
        <v>0</v>
      </c>
      <c r="K272">
        <v>1</v>
      </c>
      <c r="L272" t="b">
        <f t="shared" si="4"/>
        <v>1</v>
      </c>
    </row>
    <row r="273" spans="1:12" x14ac:dyDescent="0.25">
      <c r="A273" t="s">
        <v>7</v>
      </c>
      <c r="B273">
        <v>40</v>
      </c>
      <c r="C273" t="s">
        <v>3</v>
      </c>
      <c r="D273">
        <v>6</v>
      </c>
      <c r="E273">
        <v>3</v>
      </c>
      <c r="F273">
        <v>1</v>
      </c>
      <c r="G273">
        <v>2</v>
      </c>
      <c r="H273">
        <v>0</v>
      </c>
      <c r="I273">
        <v>0</v>
      </c>
      <c r="J273">
        <v>0</v>
      </c>
      <c r="K273">
        <v>0</v>
      </c>
      <c r="L273" t="b">
        <f t="shared" si="4"/>
        <v>1</v>
      </c>
    </row>
    <row r="274" spans="1:12" x14ac:dyDescent="0.25">
      <c r="A274" t="s">
        <v>7</v>
      </c>
      <c r="B274">
        <v>40</v>
      </c>
      <c r="C274" t="s">
        <v>5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 t="b">
        <f t="shared" si="4"/>
        <v>1</v>
      </c>
    </row>
    <row r="275" spans="1:12" x14ac:dyDescent="0.25">
      <c r="A275" t="s">
        <v>7</v>
      </c>
      <c r="B275">
        <v>40</v>
      </c>
      <c r="C275" t="s">
        <v>6</v>
      </c>
      <c r="D275">
        <v>8</v>
      </c>
      <c r="E275">
        <v>0</v>
      </c>
      <c r="F275">
        <v>2</v>
      </c>
      <c r="G275">
        <v>1</v>
      </c>
      <c r="H275">
        <v>0</v>
      </c>
      <c r="I275">
        <v>0</v>
      </c>
      <c r="J275">
        <v>0</v>
      </c>
      <c r="K275">
        <v>5</v>
      </c>
      <c r="L275" t="b">
        <f t="shared" si="4"/>
        <v>1</v>
      </c>
    </row>
    <row r="276" spans="1:12" x14ac:dyDescent="0.25">
      <c r="A276" t="s">
        <v>7</v>
      </c>
      <c r="B276">
        <v>40</v>
      </c>
      <c r="C276" t="s">
        <v>1</v>
      </c>
      <c r="D276">
        <v>26</v>
      </c>
      <c r="E276">
        <v>0</v>
      </c>
      <c r="F276">
        <v>4</v>
      </c>
      <c r="G276">
        <v>11</v>
      </c>
      <c r="H276">
        <v>0</v>
      </c>
      <c r="I276">
        <v>7</v>
      </c>
      <c r="J276">
        <v>0</v>
      </c>
      <c r="K276">
        <v>4</v>
      </c>
      <c r="L276" t="b">
        <f t="shared" si="4"/>
        <v>1</v>
      </c>
    </row>
    <row r="277" spans="1:12" x14ac:dyDescent="0.25">
      <c r="A277" t="s">
        <v>7</v>
      </c>
      <c r="B277">
        <v>40</v>
      </c>
      <c r="C277" t="s">
        <v>10</v>
      </c>
      <c r="D277">
        <v>2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 t="b">
        <f t="shared" si="4"/>
        <v>1</v>
      </c>
    </row>
    <row r="278" spans="1:12" x14ac:dyDescent="0.25">
      <c r="A278" t="s">
        <v>7</v>
      </c>
      <c r="B278">
        <v>40</v>
      </c>
      <c r="C278" t="s">
        <v>4</v>
      </c>
      <c r="D278">
        <v>5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2</v>
      </c>
      <c r="K278">
        <v>1</v>
      </c>
      <c r="L278" t="b">
        <f t="shared" si="4"/>
        <v>1</v>
      </c>
    </row>
    <row r="279" spans="1:12" x14ac:dyDescent="0.25">
      <c r="A279" t="s">
        <v>7</v>
      </c>
      <c r="B279">
        <v>40</v>
      </c>
      <c r="C279" t="s">
        <v>9</v>
      </c>
      <c r="D279">
        <v>4</v>
      </c>
      <c r="E279">
        <v>0</v>
      </c>
      <c r="F279">
        <v>2</v>
      </c>
      <c r="G279">
        <v>1</v>
      </c>
      <c r="H279">
        <v>0</v>
      </c>
      <c r="I279">
        <v>0</v>
      </c>
      <c r="J279">
        <v>0</v>
      </c>
      <c r="K279">
        <v>1</v>
      </c>
      <c r="L279" t="b">
        <f t="shared" si="4"/>
        <v>1</v>
      </c>
    </row>
    <row r="280" spans="1:12" x14ac:dyDescent="0.25">
      <c r="A280" t="s">
        <v>7</v>
      </c>
      <c r="B280">
        <v>41</v>
      </c>
      <c r="C280" t="s">
        <v>2</v>
      </c>
      <c r="D280">
        <v>6</v>
      </c>
      <c r="E280">
        <v>0</v>
      </c>
      <c r="F280">
        <v>1</v>
      </c>
      <c r="G280">
        <v>4</v>
      </c>
      <c r="H280">
        <v>0</v>
      </c>
      <c r="I280">
        <v>1</v>
      </c>
      <c r="J280">
        <v>0</v>
      </c>
      <c r="K280">
        <v>0</v>
      </c>
      <c r="L280" t="b">
        <f t="shared" si="4"/>
        <v>1</v>
      </c>
    </row>
    <row r="281" spans="1:12" x14ac:dyDescent="0.25">
      <c r="A281" t="s">
        <v>7</v>
      </c>
      <c r="B281">
        <v>41</v>
      </c>
      <c r="C281" t="s">
        <v>6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</v>
      </c>
      <c r="L281" t="b">
        <f t="shared" si="4"/>
        <v>1</v>
      </c>
    </row>
    <row r="282" spans="1:12" x14ac:dyDescent="0.25">
      <c r="A282" t="s">
        <v>7</v>
      </c>
      <c r="B282">
        <v>41</v>
      </c>
      <c r="C282" t="s">
        <v>1</v>
      </c>
      <c r="D282">
        <v>16</v>
      </c>
      <c r="E282">
        <v>0</v>
      </c>
      <c r="F282">
        <v>6</v>
      </c>
      <c r="G282">
        <v>5</v>
      </c>
      <c r="H282">
        <v>0</v>
      </c>
      <c r="I282">
        <v>1</v>
      </c>
      <c r="J282">
        <v>0</v>
      </c>
      <c r="K282">
        <v>4</v>
      </c>
      <c r="L282" t="b">
        <f t="shared" si="4"/>
        <v>1</v>
      </c>
    </row>
    <row r="283" spans="1:12" x14ac:dyDescent="0.25">
      <c r="A283" t="s">
        <v>7</v>
      </c>
      <c r="B283">
        <v>41</v>
      </c>
      <c r="C283" t="s">
        <v>11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 t="b">
        <f t="shared" si="4"/>
        <v>1</v>
      </c>
    </row>
    <row r="284" spans="1:12" x14ac:dyDescent="0.25">
      <c r="A284" t="s">
        <v>7</v>
      </c>
      <c r="B284">
        <v>41</v>
      </c>
      <c r="C284" t="s">
        <v>9</v>
      </c>
      <c r="D284">
        <v>3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1</v>
      </c>
      <c r="L284" t="b">
        <f t="shared" si="4"/>
        <v>1</v>
      </c>
    </row>
    <row r="285" spans="1:12" x14ac:dyDescent="0.25">
      <c r="A285" t="s">
        <v>7</v>
      </c>
      <c r="B285">
        <v>42</v>
      </c>
      <c r="C285" t="s">
        <v>2</v>
      </c>
      <c r="D285">
        <v>7</v>
      </c>
      <c r="E285">
        <v>0</v>
      </c>
      <c r="F285">
        <v>0</v>
      </c>
      <c r="G285">
        <v>4</v>
      </c>
      <c r="H285">
        <v>0</v>
      </c>
      <c r="I285">
        <v>3</v>
      </c>
      <c r="J285">
        <v>0</v>
      </c>
      <c r="K285">
        <v>0</v>
      </c>
      <c r="L285" t="b">
        <f t="shared" si="4"/>
        <v>1</v>
      </c>
    </row>
    <row r="286" spans="1:12" x14ac:dyDescent="0.25">
      <c r="A286" t="s">
        <v>7</v>
      </c>
      <c r="B286">
        <v>42</v>
      </c>
      <c r="C286" t="s">
        <v>84</v>
      </c>
      <c r="D286">
        <v>6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2</v>
      </c>
      <c r="L286" t="b">
        <f t="shared" si="4"/>
        <v>1</v>
      </c>
    </row>
    <row r="287" spans="1:12" x14ac:dyDescent="0.25">
      <c r="A287" t="s">
        <v>7</v>
      </c>
      <c r="B287">
        <v>42</v>
      </c>
      <c r="C287" t="s">
        <v>3</v>
      </c>
      <c r="D287">
        <v>5</v>
      </c>
      <c r="E287">
        <v>4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 t="b">
        <f t="shared" si="4"/>
        <v>1</v>
      </c>
    </row>
    <row r="288" spans="1:12" x14ac:dyDescent="0.25">
      <c r="A288" t="s">
        <v>7</v>
      </c>
      <c r="B288">
        <v>42</v>
      </c>
      <c r="C288" t="s">
        <v>6</v>
      </c>
      <c r="D288">
        <v>8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5</v>
      </c>
      <c r="L288" t="b">
        <f t="shared" si="4"/>
        <v>1</v>
      </c>
    </row>
    <row r="289" spans="1:12" x14ac:dyDescent="0.25">
      <c r="A289" t="s">
        <v>7</v>
      </c>
      <c r="B289">
        <v>42</v>
      </c>
      <c r="C289" t="s">
        <v>1</v>
      </c>
      <c r="D289">
        <v>18</v>
      </c>
      <c r="E289">
        <v>0</v>
      </c>
      <c r="F289">
        <v>4</v>
      </c>
      <c r="G289">
        <v>8</v>
      </c>
      <c r="H289">
        <v>0</v>
      </c>
      <c r="I289">
        <v>3</v>
      </c>
      <c r="J289">
        <v>0</v>
      </c>
      <c r="K289">
        <v>3</v>
      </c>
      <c r="L289" t="b">
        <f t="shared" si="4"/>
        <v>1</v>
      </c>
    </row>
    <row r="290" spans="1:12" x14ac:dyDescent="0.25">
      <c r="A290" t="s">
        <v>7</v>
      </c>
      <c r="B290">
        <v>42</v>
      </c>
      <c r="C290" t="s">
        <v>4</v>
      </c>
      <c r="D290">
        <v>6</v>
      </c>
      <c r="E290">
        <v>0</v>
      </c>
      <c r="F290">
        <v>4</v>
      </c>
      <c r="G290">
        <v>1</v>
      </c>
      <c r="H290">
        <v>0</v>
      </c>
      <c r="I290">
        <v>0</v>
      </c>
      <c r="J290">
        <v>0</v>
      </c>
      <c r="K290">
        <v>1</v>
      </c>
      <c r="L290" t="b">
        <f t="shared" si="4"/>
        <v>1</v>
      </c>
    </row>
    <row r="291" spans="1:12" x14ac:dyDescent="0.25">
      <c r="A291" t="s">
        <v>7</v>
      </c>
      <c r="B291">
        <v>43</v>
      </c>
      <c r="C291" t="s">
        <v>2</v>
      </c>
      <c r="D291">
        <v>2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 t="b">
        <f t="shared" si="4"/>
        <v>1</v>
      </c>
    </row>
    <row r="292" spans="1:12" x14ac:dyDescent="0.25">
      <c r="A292" t="s">
        <v>7</v>
      </c>
      <c r="B292">
        <v>43</v>
      </c>
      <c r="C292" t="s">
        <v>84</v>
      </c>
      <c r="D292">
        <v>2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 t="b">
        <f t="shared" si="4"/>
        <v>1</v>
      </c>
    </row>
    <row r="293" spans="1:12" x14ac:dyDescent="0.25">
      <c r="A293" t="s">
        <v>7</v>
      </c>
      <c r="B293">
        <v>43</v>
      </c>
      <c r="C293" t="s">
        <v>3</v>
      </c>
      <c r="D293">
        <v>3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b">
        <f t="shared" si="4"/>
        <v>1</v>
      </c>
    </row>
    <row r="294" spans="1:12" x14ac:dyDescent="0.25">
      <c r="A294" t="s">
        <v>7</v>
      </c>
      <c r="B294">
        <v>43</v>
      </c>
      <c r="C294" t="s">
        <v>6</v>
      </c>
      <c r="D294">
        <v>2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 t="b">
        <f t="shared" si="4"/>
        <v>1</v>
      </c>
    </row>
    <row r="295" spans="1:12" x14ac:dyDescent="0.25">
      <c r="A295" t="s">
        <v>7</v>
      </c>
      <c r="B295">
        <v>43</v>
      </c>
      <c r="C295" t="s">
        <v>1</v>
      </c>
      <c r="D295">
        <v>6</v>
      </c>
      <c r="E295">
        <v>0</v>
      </c>
      <c r="F295">
        <v>1</v>
      </c>
      <c r="G295">
        <v>3</v>
      </c>
      <c r="H295">
        <v>0</v>
      </c>
      <c r="I295">
        <v>0</v>
      </c>
      <c r="J295">
        <v>0</v>
      </c>
      <c r="K295">
        <v>2</v>
      </c>
      <c r="L295" t="b">
        <f t="shared" si="4"/>
        <v>1</v>
      </c>
    </row>
    <row r="296" spans="1:12" x14ac:dyDescent="0.25">
      <c r="A296" t="s">
        <v>7</v>
      </c>
      <c r="B296">
        <v>43</v>
      </c>
      <c r="C296" t="s">
        <v>4</v>
      </c>
      <c r="D296">
        <v>3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  <c r="L296" t="b">
        <f t="shared" si="4"/>
        <v>1</v>
      </c>
    </row>
    <row r="297" spans="1:12" x14ac:dyDescent="0.25">
      <c r="A297" t="s">
        <v>7</v>
      </c>
      <c r="B297">
        <v>43</v>
      </c>
      <c r="C297" t="s">
        <v>9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 t="b">
        <f t="shared" si="4"/>
        <v>1</v>
      </c>
    </row>
    <row r="298" spans="1:12" x14ac:dyDescent="0.25">
      <c r="A298" t="s">
        <v>7</v>
      </c>
      <c r="B298">
        <v>44</v>
      </c>
      <c r="C298" t="s">
        <v>2</v>
      </c>
      <c r="D298">
        <v>17</v>
      </c>
      <c r="E298">
        <v>0</v>
      </c>
      <c r="F298">
        <v>1</v>
      </c>
      <c r="G298">
        <v>7</v>
      </c>
      <c r="H298">
        <v>0</v>
      </c>
      <c r="I298">
        <v>9</v>
      </c>
      <c r="J298">
        <v>0</v>
      </c>
      <c r="K298">
        <v>0</v>
      </c>
      <c r="L298" t="b">
        <f t="shared" si="4"/>
        <v>1</v>
      </c>
    </row>
    <row r="299" spans="1:12" x14ac:dyDescent="0.25">
      <c r="A299" t="s">
        <v>7</v>
      </c>
      <c r="B299">
        <v>44</v>
      </c>
      <c r="C299" t="s">
        <v>84</v>
      </c>
      <c r="D299">
        <v>3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1</v>
      </c>
      <c r="L299" t="b">
        <f t="shared" si="4"/>
        <v>1</v>
      </c>
    </row>
    <row r="300" spans="1:12" x14ac:dyDescent="0.25">
      <c r="A300" t="s">
        <v>7</v>
      </c>
      <c r="B300">
        <v>44</v>
      </c>
      <c r="C300" t="s">
        <v>3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b">
        <f t="shared" si="4"/>
        <v>1</v>
      </c>
    </row>
    <row r="301" spans="1:12" x14ac:dyDescent="0.25">
      <c r="A301" t="s">
        <v>7</v>
      </c>
      <c r="B301">
        <v>44</v>
      </c>
      <c r="C301" t="s">
        <v>5</v>
      </c>
      <c r="D301">
        <v>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 t="b">
        <f t="shared" si="4"/>
        <v>1</v>
      </c>
    </row>
    <row r="302" spans="1:12" x14ac:dyDescent="0.25">
      <c r="A302" t="s">
        <v>7</v>
      </c>
      <c r="B302">
        <v>44</v>
      </c>
      <c r="C302" t="s">
        <v>1</v>
      </c>
      <c r="D302">
        <v>21</v>
      </c>
      <c r="E302">
        <v>0</v>
      </c>
      <c r="F302">
        <v>1</v>
      </c>
      <c r="G302">
        <v>10</v>
      </c>
      <c r="H302">
        <v>0</v>
      </c>
      <c r="I302">
        <v>9</v>
      </c>
      <c r="J302">
        <v>0</v>
      </c>
      <c r="K302">
        <v>1</v>
      </c>
      <c r="L302" t="b">
        <f t="shared" si="4"/>
        <v>1</v>
      </c>
    </row>
    <row r="303" spans="1:12" x14ac:dyDescent="0.25">
      <c r="A303" t="s">
        <v>7</v>
      </c>
      <c r="B303">
        <v>44</v>
      </c>
      <c r="C303" t="s">
        <v>10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 t="b">
        <f t="shared" si="4"/>
        <v>1</v>
      </c>
    </row>
    <row r="304" spans="1:12" x14ac:dyDescent="0.25">
      <c r="A304" t="s">
        <v>7</v>
      </c>
      <c r="B304">
        <v>44</v>
      </c>
      <c r="C304" t="s">
        <v>11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 t="b">
        <f t="shared" si="4"/>
        <v>1</v>
      </c>
    </row>
    <row r="305" spans="1:12" x14ac:dyDescent="0.25">
      <c r="A305" t="s">
        <v>7</v>
      </c>
      <c r="B305">
        <v>44</v>
      </c>
      <c r="C305" t="s">
        <v>4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 t="b">
        <f t="shared" si="4"/>
        <v>1</v>
      </c>
    </row>
    <row r="306" spans="1:12" x14ac:dyDescent="0.25">
      <c r="A306" t="s">
        <v>7</v>
      </c>
      <c r="B306">
        <v>45</v>
      </c>
      <c r="C306" t="s">
        <v>2</v>
      </c>
      <c r="D306">
        <v>11</v>
      </c>
      <c r="E306">
        <v>0</v>
      </c>
      <c r="F306">
        <v>0</v>
      </c>
      <c r="G306">
        <v>6</v>
      </c>
      <c r="H306">
        <v>0</v>
      </c>
      <c r="I306">
        <v>5</v>
      </c>
      <c r="J306">
        <v>0</v>
      </c>
      <c r="K306">
        <v>0</v>
      </c>
      <c r="L306" t="b">
        <f t="shared" si="4"/>
        <v>1</v>
      </c>
    </row>
    <row r="307" spans="1:12" x14ac:dyDescent="0.25">
      <c r="A307" t="s">
        <v>7</v>
      </c>
      <c r="B307">
        <v>45</v>
      </c>
      <c r="C307" t="s">
        <v>84</v>
      </c>
      <c r="D307">
        <v>4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1</v>
      </c>
      <c r="L307" t="b">
        <f t="shared" si="4"/>
        <v>1</v>
      </c>
    </row>
    <row r="308" spans="1:12" x14ac:dyDescent="0.25">
      <c r="A308" t="s">
        <v>7</v>
      </c>
      <c r="B308">
        <v>45</v>
      </c>
      <c r="C308" t="s">
        <v>3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 t="b">
        <f t="shared" si="4"/>
        <v>1</v>
      </c>
    </row>
    <row r="309" spans="1:12" x14ac:dyDescent="0.25">
      <c r="A309" t="s">
        <v>7</v>
      </c>
      <c r="B309">
        <v>45</v>
      </c>
      <c r="C309" t="s">
        <v>5</v>
      </c>
      <c r="D309">
        <v>2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 t="b">
        <f t="shared" si="4"/>
        <v>1</v>
      </c>
    </row>
    <row r="310" spans="1:12" x14ac:dyDescent="0.25">
      <c r="A310" t="s">
        <v>7</v>
      </c>
      <c r="B310">
        <v>45</v>
      </c>
      <c r="C310" t="s">
        <v>6</v>
      </c>
      <c r="D310">
        <v>3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1</v>
      </c>
      <c r="L310" t="b">
        <f t="shared" si="4"/>
        <v>1</v>
      </c>
    </row>
    <row r="311" spans="1:12" x14ac:dyDescent="0.25">
      <c r="A311" t="s">
        <v>7</v>
      </c>
      <c r="B311">
        <v>45</v>
      </c>
      <c r="C311" t="s">
        <v>1</v>
      </c>
      <c r="D311">
        <v>17</v>
      </c>
      <c r="E311">
        <v>0</v>
      </c>
      <c r="F311">
        <v>3</v>
      </c>
      <c r="G311">
        <v>8</v>
      </c>
      <c r="H311">
        <v>0</v>
      </c>
      <c r="I311">
        <v>5</v>
      </c>
      <c r="J311">
        <v>0</v>
      </c>
      <c r="K311">
        <v>1</v>
      </c>
      <c r="L311" t="b">
        <f t="shared" si="4"/>
        <v>1</v>
      </c>
    </row>
    <row r="312" spans="1:12" x14ac:dyDescent="0.25">
      <c r="A312" t="s">
        <v>7</v>
      </c>
      <c r="B312">
        <v>45</v>
      </c>
      <c r="C312" t="s">
        <v>10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 t="b">
        <f t="shared" si="4"/>
        <v>1</v>
      </c>
    </row>
    <row r="313" spans="1:12" x14ac:dyDescent="0.25">
      <c r="A313" t="s">
        <v>7</v>
      </c>
      <c r="B313">
        <v>45</v>
      </c>
      <c r="C313" t="s">
        <v>4</v>
      </c>
      <c r="D313">
        <v>2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 t="b">
        <f t="shared" si="4"/>
        <v>1</v>
      </c>
    </row>
    <row r="314" spans="1:12" x14ac:dyDescent="0.25">
      <c r="A314" t="s">
        <v>7</v>
      </c>
      <c r="B314">
        <v>45</v>
      </c>
      <c r="C314" t="s">
        <v>9</v>
      </c>
      <c r="D314">
        <v>2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 t="b">
        <f t="shared" si="4"/>
        <v>1</v>
      </c>
    </row>
    <row r="315" spans="1:12" x14ac:dyDescent="0.25">
      <c r="A315" t="s">
        <v>7</v>
      </c>
      <c r="B315">
        <v>46</v>
      </c>
      <c r="C315" t="s">
        <v>2</v>
      </c>
      <c r="D315">
        <v>9</v>
      </c>
      <c r="E315">
        <v>0</v>
      </c>
      <c r="F315">
        <v>2</v>
      </c>
      <c r="G315">
        <v>5</v>
      </c>
      <c r="H315">
        <v>0</v>
      </c>
      <c r="I315">
        <v>2</v>
      </c>
      <c r="J315">
        <v>0</v>
      </c>
      <c r="K315">
        <v>0</v>
      </c>
      <c r="L315" t="b">
        <f t="shared" si="4"/>
        <v>1</v>
      </c>
    </row>
    <row r="316" spans="1:12" x14ac:dyDescent="0.25">
      <c r="A316" t="s">
        <v>7</v>
      </c>
      <c r="B316">
        <v>46</v>
      </c>
      <c r="C316" t="s">
        <v>3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b">
        <f t="shared" si="4"/>
        <v>1</v>
      </c>
    </row>
    <row r="317" spans="1:12" x14ac:dyDescent="0.25">
      <c r="A317" t="s">
        <v>7</v>
      </c>
      <c r="B317">
        <v>46</v>
      </c>
      <c r="C317" t="s">
        <v>1</v>
      </c>
      <c r="D317">
        <v>9</v>
      </c>
      <c r="E317">
        <v>0</v>
      </c>
      <c r="F317">
        <v>2</v>
      </c>
      <c r="G317">
        <v>5</v>
      </c>
      <c r="H317">
        <v>0</v>
      </c>
      <c r="I317">
        <v>2</v>
      </c>
      <c r="J317">
        <v>0</v>
      </c>
      <c r="K317">
        <v>0</v>
      </c>
      <c r="L317" t="b">
        <f t="shared" si="4"/>
        <v>1</v>
      </c>
    </row>
    <row r="318" spans="1:12" x14ac:dyDescent="0.25">
      <c r="A318" t="s">
        <v>7</v>
      </c>
      <c r="B318">
        <v>46</v>
      </c>
      <c r="C318" t="s">
        <v>4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 t="b">
        <f t="shared" si="4"/>
        <v>1</v>
      </c>
    </row>
    <row r="319" spans="1:12" x14ac:dyDescent="0.25">
      <c r="A319" t="s">
        <v>7</v>
      </c>
      <c r="B319">
        <v>47</v>
      </c>
      <c r="C319" t="s">
        <v>2</v>
      </c>
      <c r="D319">
        <v>5</v>
      </c>
      <c r="E319">
        <v>0</v>
      </c>
      <c r="F319">
        <v>0</v>
      </c>
      <c r="G319">
        <v>2</v>
      </c>
      <c r="H319">
        <v>0</v>
      </c>
      <c r="I319">
        <v>3</v>
      </c>
      <c r="J319">
        <v>0</v>
      </c>
      <c r="K319">
        <v>0</v>
      </c>
      <c r="L319" t="b">
        <f t="shared" si="4"/>
        <v>1</v>
      </c>
    </row>
    <row r="320" spans="1:12" x14ac:dyDescent="0.25">
      <c r="A320" t="s">
        <v>7</v>
      </c>
      <c r="B320">
        <v>47</v>
      </c>
      <c r="C320" t="s">
        <v>84</v>
      </c>
      <c r="D320">
        <v>3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1</v>
      </c>
      <c r="L320" t="b">
        <f t="shared" si="4"/>
        <v>1</v>
      </c>
    </row>
    <row r="321" spans="1:12" x14ac:dyDescent="0.25">
      <c r="A321" t="s">
        <v>7</v>
      </c>
      <c r="B321">
        <v>47</v>
      </c>
      <c r="C321" t="s">
        <v>3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b">
        <f t="shared" si="4"/>
        <v>1</v>
      </c>
    </row>
    <row r="322" spans="1:12" x14ac:dyDescent="0.25">
      <c r="A322" t="s">
        <v>7</v>
      </c>
      <c r="B322">
        <v>47</v>
      </c>
      <c r="C322" t="s">
        <v>6</v>
      </c>
      <c r="D322">
        <v>2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1</v>
      </c>
      <c r="L322" t="b">
        <f t="shared" si="4"/>
        <v>1</v>
      </c>
    </row>
    <row r="323" spans="1:12" x14ac:dyDescent="0.25">
      <c r="A323" t="s">
        <v>7</v>
      </c>
      <c r="B323">
        <v>47</v>
      </c>
      <c r="C323" t="s">
        <v>1</v>
      </c>
      <c r="D323">
        <v>7</v>
      </c>
      <c r="E323">
        <v>0</v>
      </c>
      <c r="F323">
        <v>1</v>
      </c>
      <c r="G323">
        <v>2</v>
      </c>
      <c r="H323">
        <v>0</v>
      </c>
      <c r="I323">
        <v>3</v>
      </c>
      <c r="J323">
        <v>0</v>
      </c>
      <c r="K323">
        <v>1</v>
      </c>
      <c r="L323" t="b">
        <f t="shared" si="4"/>
        <v>1</v>
      </c>
    </row>
    <row r="324" spans="1:12" x14ac:dyDescent="0.25">
      <c r="A324" t="s">
        <v>7</v>
      </c>
      <c r="B324">
        <v>47</v>
      </c>
      <c r="C324" t="s">
        <v>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 t="b">
        <f t="shared" ref="L324:L387" si="5">SUM(E324:K324)=D324</f>
        <v>1</v>
      </c>
    </row>
    <row r="325" spans="1:12" x14ac:dyDescent="0.25">
      <c r="A325" t="s">
        <v>7</v>
      </c>
      <c r="B325">
        <v>47</v>
      </c>
      <c r="C325" t="s">
        <v>9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 t="b">
        <f t="shared" si="5"/>
        <v>1</v>
      </c>
    </row>
    <row r="326" spans="1:12" x14ac:dyDescent="0.25">
      <c r="A326" t="s">
        <v>7</v>
      </c>
      <c r="B326">
        <v>48</v>
      </c>
      <c r="C326" t="s">
        <v>2</v>
      </c>
      <c r="D326">
        <v>8</v>
      </c>
      <c r="E326">
        <v>0</v>
      </c>
      <c r="F326">
        <v>0</v>
      </c>
      <c r="G326">
        <v>3</v>
      </c>
      <c r="H326">
        <v>0</v>
      </c>
      <c r="I326">
        <v>5</v>
      </c>
      <c r="J326">
        <v>0</v>
      </c>
      <c r="K326">
        <v>0</v>
      </c>
      <c r="L326" t="b">
        <f t="shared" si="5"/>
        <v>1</v>
      </c>
    </row>
    <row r="327" spans="1:12" x14ac:dyDescent="0.25">
      <c r="A327" t="s">
        <v>7</v>
      </c>
      <c r="B327">
        <v>48</v>
      </c>
      <c r="C327" t="s">
        <v>3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b">
        <f t="shared" si="5"/>
        <v>1</v>
      </c>
    </row>
    <row r="328" spans="1:12" x14ac:dyDescent="0.25">
      <c r="A328" t="s">
        <v>7</v>
      </c>
      <c r="B328">
        <v>48</v>
      </c>
      <c r="C328" t="s">
        <v>6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</v>
      </c>
      <c r="L328" t="b">
        <f t="shared" si="5"/>
        <v>1</v>
      </c>
    </row>
    <row r="329" spans="1:12" x14ac:dyDescent="0.25">
      <c r="A329" t="s">
        <v>7</v>
      </c>
      <c r="B329">
        <v>48</v>
      </c>
      <c r="C329" t="s">
        <v>1</v>
      </c>
      <c r="D329">
        <v>13</v>
      </c>
      <c r="E329">
        <v>0</v>
      </c>
      <c r="F329">
        <v>1</v>
      </c>
      <c r="G329">
        <v>4</v>
      </c>
      <c r="H329">
        <v>0</v>
      </c>
      <c r="I329">
        <v>5</v>
      </c>
      <c r="J329">
        <v>0</v>
      </c>
      <c r="K329">
        <v>3</v>
      </c>
      <c r="L329" t="b">
        <f t="shared" si="5"/>
        <v>1</v>
      </c>
    </row>
    <row r="330" spans="1:12" x14ac:dyDescent="0.25">
      <c r="A330" t="s">
        <v>7</v>
      </c>
      <c r="B330">
        <v>48</v>
      </c>
      <c r="C330" t="s">
        <v>10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0</v>
      </c>
      <c r="L330" t="b">
        <f t="shared" si="5"/>
        <v>1</v>
      </c>
    </row>
    <row r="331" spans="1:12" x14ac:dyDescent="0.25">
      <c r="A331" t="s">
        <v>7</v>
      </c>
      <c r="B331">
        <v>48</v>
      </c>
      <c r="C331" t="s">
        <v>4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 t="b">
        <f t="shared" si="5"/>
        <v>1</v>
      </c>
    </row>
    <row r="332" spans="1:12" x14ac:dyDescent="0.25">
      <c r="A332" t="s">
        <v>7</v>
      </c>
      <c r="B332">
        <v>48</v>
      </c>
      <c r="C332" t="s">
        <v>9</v>
      </c>
      <c r="D332">
        <v>2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 t="b">
        <f t="shared" si="5"/>
        <v>1</v>
      </c>
    </row>
    <row r="333" spans="1:12" x14ac:dyDescent="0.25">
      <c r="A333" t="s">
        <v>7</v>
      </c>
      <c r="B333">
        <v>49</v>
      </c>
      <c r="C333" t="s">
        <v>2</v>
      </c>
      <c r="D333">
        <v>6</v>
      </c>
      <c r="E333">
        <v>0</v>
      </c>
      <c r="F333">
        <v>0</v>
      </c>
      <c r="G333">
        <v>3</v>
      </c>
      <c r="H333">
        <v>0</v>
      </c>
      <c r="I333">
        <v>3</v>
      </c>
      <c r="J333">
        <v>0</v>
      </c>
      <c r="K333">
        <v>0</v>
      </c>
      <c r="L333" t="b">
        <f t="shared" si="5"/>
        <v>1</v>
      </c>
    </row>
    <row r="334" spans="1:12" x14ac:dyDescent="0.25">
      <c r="A334" t="s">
        <v>7</v>
      </c>
      <c r="B334">
        <v>49</v>
      </c>
      <c r="C334" t="s">
        <v>84</v>
      </c>
      <c r="D334">
        <v>2</v>
      </c>
      <c r="E334">
        <v>0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 t="b">
        <f t="shared" si="5"/>
        <v>1</v>
      </c>
    </row>
    <row r="335" spans="1:12" x14ac:dyDescent="0.25">
      <c r="A335" t="s">
        <v>7</v>
      </c>
      <c r="B335">
        <v>49</v>
      </c>
      <c r="C335" t="s">
        <v>3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 t="b">
        <f t="shared" si="5"/>
        <v>1</v>
      </c>
    </row>
    <row r="336" spans="1:12" x14ac:dyDescent="0.25">
      <c r="A336" t="s">
        <v>7</v>
      </c>
      <c r="B336">
        <v>49</v>
      </c>
      <c r="C336" t="s">
        <v>6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</v>
      </c>
      <c r="L336" t="b">
        <f t="shared" si="5"/>
        <v>1</v>
      </c>
    </row>
    <row r="337" spans="1:12" x14ac:dyDescent="0.25">
      <c r="A337" t="s">
        <v>7</v>
      </c>
      <c r="B337">
        <v>49</v>
      </c>
      <c r="C337" t="s">
        <v>1</v>
      </c>
      <c r="D337">
        <v>13</v>
      </c>
      <c r="E337">
        <v>0</v>
      </c>
      <c r="F337">
        <v>3</v>
      </c>
      <c r="G337">
        <v>5</v>
      </c>
      <c r="H337">
        <v>0</v>
      </c>
      <c r="I337">
        <v>3</v>
      </c>
      <c r="J337">
        <v>0</v>
      </c>
      <c r="K337">
        <v>2</v>
      </c>
      <c r="L337" t="b">
        <f t="shared" si="5"/>
        <v>1</v>
      </c>
    </row>
    <row r="338" spans="1:12" x14ac:dyDescent="0.25">
      <c r="A338" t="s">
        <v>7</v>
      </c>
      <c r="B338">
        <v>49</v>
      </c>
      <c r="C338" t="s">
        <v>10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0</v>
      </c>
      <c r="K338">
        <v>0</v>
      </c>
      <c r="L338" t="b">
        <f t="shared" si="5"/>
        <v>1</v>
      </c>
    </row>
    <row r="339" spans="1:12" x14ac:dyDescent="0.25">
      <c r="A339" t="s">
        <v>7</v>
      </c>
      <c r="B339">
        <v>49</v>
      </c>
      <c r="C339" t="s">
        <v>11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 t="b">
        <f t="shared" si="5"/>
        <v>1</v>
      </c>
    </row>
    <row r="340" spans="1:12" x14ac:dyDescent="0.25">
      <c r="A340" t="s">
        <v>7</v>
      </c>
      <c r="B340">
        <v>49</v>
      </c>
      <c r="C340" t="s">
        <v>4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 t="b">
        <f t="shared" si="5"/>
        <v>1</v>
      </c>
    </row>
    <row r="341" spans="1:12" x14ac:dyDescent="0.25">
      <c r="A341" t="s">
        <v>7</v>
      </c>
      <c r="B341">
        <v>49</v>
      </c>
      <c r="C341" t="s">
        <v>9</v>
      </c>
      <c r="D341">
        <v>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1</v>
      </c>
      <c r="L341" t="b">
        <f t="shared" si="5"/>
        <v>1</v>
      </c>
    </row>
    <row r="342" spans="1:12" x14ac:dyDescent="0.25">
      <c r="A342" t="s">
        <v>7</v>
      </c>
      <c r="B342">
        <v>50</v>
      </c>
      <c r="C342" t="s">
        <v>2</v>
      </c>
      <c r="D342">
        <v>11</v>
      </c>
      <c r="E342">
        <v>0</v>
      </c>
      <c r="F342">
        <v>1</v>
      </c>
      <c r="G342">
        <v>2</v>
      </c>
      <c r="H342">
        <v>0</v>
      </c>
      <c r="I342">
        <v>8</v>
      </c>
      <c r="J342">
        <v>0</v>
      </c>
      <c r="K342">
        <v>0</v>
      </c>
      <c r="L342" t="b">
        <f t="shared" si="5"/>
        <v>1</v>
      </c>
    </row>
    <row r="343" spans="1:12" x14ac:dyDescent="0.25">
      <c r="A343" t="s">
        <v>7</v>
      </c>
      <c r="B343">
        <v>50</v>
      </c>
      <c r="C343" t="s">
        <v>3</v>
      </c>
      <c r="D343">
        <v>3</v>
      </c>
      <c r="E343">
        <v>0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 t="b">
        <f t="shared" si="5"/>
        <v>1</v>
      </c>
    </row>
    <row r="344" spans="1:12" x14ac:dyDescent="0.25">
      <c r="A344" t="s">
        <v>7</v>
      </c>
      <c r="B344">
        <v>50</v>
      </c>
      <c r="C344" t="s">
        <v>5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 t="b">
        <f t="shared" si="5"/>
        <v>1</v>
      </c>
    </row>
    <row r="345" spans="1:12" x14ac:dyDescent="0.25">
      <c r="A345" t="s">
        <v>7</v>
      </c>
      <c r="B345">
        <v>50</v>
      </c>
      <c r="C345" t="s">
        <v>6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</v>
      </c>
      <c r="L345" t="b">
        <f t="shared" si="5"/>
        <v>1</v>
      </c>
    </row>
    <row r="346" spans="1:12" x14ac:dyDescent="0.25">
      <c r="A346" t="s">
        <v>7</v>
      </c>
      <c r="B346">
        <v>50</v>
      </c>
      <c r="C346" t="s">
        <v>1</v>
      </c>
      <c r="D346">
        <v>20</v>
      </c>
      <c r="E346">
        <v>0</v>
      </c>
      <c r="F346">
        <v>5</v>
      </c>
      <c r="G346">
        <v>5</v>
      </c>
      <c r="H346">
        <v>0</v>
      </c>
      <c r="I346">
        <v>8</v>
      </c>
      <c r="J346">
        <v>0</v>
      </c>
      <c r="K346">
        <v>2</v>
      </c>
      <c r="L346" t="b">
        <f t="shared" si="5"/>
        <v>1</v>
      </c>
    </row>
    <row r="347" spans="1:12" x14ac:dyDescent="0.25">
      <c r="A347" t="s">
        <v>7</v>
      </c>
      <c r="B347">
        <v>50</v>
      </c>
      <c r="C347" t="s">
        <v>10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 t="b">
        <f t="shared" si="5"/>
        <v>1</v>
      </c>
    </row>
    <row r="348" spans="1:12" x14ac:dyDescent="0.25">
      <c r="A348" t="s">
        <v>7</v>
      </c>
      <c r="B348">
        <v>50</v>
      </c>
      <c r="C348" t="s">
        <v>11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 t="b">
        <f t="shared" si="5"/>
        <v>1</v>
      </c>
    </row>
    <row r="349" spans="1:12" x14ac:dyDescent="0.25">
      <c r="A349" t="s">
        <v>7</v>
      </c>
      <c r="B349">
        <v>50</v>
      </c>
      <c r="C349" t="s">
        <v>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 t="b">
        <f t="shared" si="5"/>
        <v>1</v>
      </c>
    </row>
    <row r="350" spans="1:12" x14ac:dyDescent="0.25">
      <c r="A350" t="s">
        <v>7</v>
      </c>
      <c r="B350">
        <v>51</v>
      </c>
      <c r="C350" t="s">
        <v>2</v>
      </c>
      <c r="D350">
        <v>13</v>
      </c>
      <c r="E350">
        <v>0</v>
      </c>
      <c r="F350">
        <v>0</v>
      </c>
      <c r="G350">
        <v>4</v>
      </c>
      <c r="H350">
        <v>0</v>
      </c>
      <c r="I350">
        <v>9</v>
      </c>
      <c r="J350">
        <v>0</v>
      </c>
      <c r="K350">
        <v>0</v>
      </c>
      <c r="L350" t="b">
        <f t="shared" si="5"/>
        <v>1</v>
      </c>
    </row>
    <row r="351" spans="1:12" x14ac:dyDescent="0.25">
      <c r="A351" t="s">
        <v>7</v>
      </c>
      <c r="B351">
        <v>51</v>
      </c>
      <c r="C351" t="s">
        <v>3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 t="b">
        <f t="shared" si="5"/>
        <v>1</v>
      </c>
    </row>
    <row r="352" spans="1:12" x14ac:dyDescent="0.25">
      <c r="A352" t="s">
        <v>7</v>
      </c>
      <c r="B352">
        <v>51</v>
      </c>
      <c r="C352" t="s">
        <v>6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 t="b">
        <f t="shared" si="5"/>
        <v>1</v>
      </c>
    </row>
    <row r="353" spans="1:12" x14ac:dyDescent="0.25">
      <c r="A353" t="s">
        <v>7</v>
      </c>
      <c r="B353">
        <v>51</v>
      </c>
      <c r="C353" t="s">
        <v>1</v>
      </c>
      <c r="D353">
        <v>17</v>
      </c>
      <c r="E353">
        <v>0</v>
      </c>
      <c r="F353">
        <v>2</v>
      </c>
      <c r="G353">
        <v>6</v>
      </c>
      <c r="H353">
        <v>0</v>
      </c>
      <c r="I353">
        <v>9</v>
      </c>
      <c r="J353">
        <v>0</v>
      </c>
      <c r="K353">
        <v>0</v>
      </c>
      <c r="L353" t="b">
        <f t="shared" si="5"/>
        <v>1</v>
      </c>
    </row>
    <row r="354" spans="1:12" x14ac:dyDescent="0.25">
      <c r="A354" t="s">
        <v>7</v>
      </c>
      <c r="B354">
        <v>51</v>
      </c>
      <c r="C354" t="s">
        <v>10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 t="b">
        <f t="shared" si="5"/>
        <v>1</v>
      </c>
    </row>
    <row r="355" spans="1:12" x14ac:dyDescent="0.25">
      <c r="A355" t="s">
        <v>7</v>
      </c>
      <c r="B355">
        <v>51</v>
      </c>
      <c r="C355" t="s">
        <v>4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 t="b">
        <f t="shared" si="5"/>
        <v>1</v>
      </c>
    </row>
    <row r="356" spans="1:12" x14ac:dyDescent="0.25">
      <c r="A356" t="s">
        <v>7</v>
      </c>
      <c r="B356">
        <v>51</v>
      </c>
      <c r="C356" t="s">
        <v>9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 t="b">
        <f t="shared" si="5"/>
        <v>1</v>
      </c>
    </row>
    <row r="357" spans="1:12" x14ac:dyDescent="0.25">
      <c r="A357" t="s">
        <v>7</v>
      </c>
      <c r="B357">
        <v>52</v>
      </c>
      <c r="C357" t="s">
        <v>2</v>
      </c>
      <c r="D357">
        <v>4</v>
      </c>
      <c r="E357">
        <v>0</v>
      </c>
      <c r="F357">
        <v>0</v>
      </c>
      <c r="G357">
        <v>3</v>
      </c>
      <c r="H357">
        <v>0</v>
      </c>
      <c r="I357">
        <v>1</v>
      </c>
      <c r="J357">
        <v>0</v>
      </c>
      <c r="K357">
        <v>0</v>
      </c>
      <c r="L357" t="b">
        <f t="shared" si="5"/>
        <v>1</v>
      </c>
    </row>
    <row r="358" spans="1:12" x14ac:dyDescent="0.25">
      <c r="A358" t="s">
        <v>7</v>
      </c>
      <c r="B358">
        <v>52</v>
      </c>
      <c r="C358" t="s">
        <v>3</v>
      </c>
      <c r="D358">
        <v>3</v>
      </c>
      <c r="E358">
        <v>2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 t="b">
        <f t="shared" si="5"/>
        <v>1</v>
      </c>
    </row>
    <row r="359" spans="1:12" x14ac:dyDescent="0.25">
      <c r="A359" t="s">
        <v>7</v>
      </c>
      <c r="B359">
        <v>52</v>
      </c>
      <c r="C359" t="s">
        <v>6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 t="b">
        <f t="shared" si="5"/>
        <v>1</v>
      </c>
    </row>
    <row r="360" spans="1:12" x14ac:dyDescent="0.25">
      <c r="A360" t="s">
        <v>7</v>
      </c>
      <c r="B360">
        <v>52</v>
      </c>
      <c r="C360" t="s">
        <v>1</v>
      </c>
      <c r="D360">
        <v>9</v>
      </c>
      <c r="E360">
        <v>0</v>
      </c>
      <c r="F360">
        <v>2</v>
      </c>
      <c r="G360">
        <v>5</v>
      </c>
      <c r="H360">
        <v>0</v>
      </c>
      <c r="I360">
        <v>1</v>
      </c>
      <c r="J360">
        <v>0</v>
      </c>
      <c r="K360">
        <v>1</v>
      </c>
      <c r="L360" t="b">
        <f t="shared" si="5"/>
        <v>1</v>
      </c>
    </row>
    <row r="361" spans="1:12" x14ac:dyDescent="0.25">
      <c r="A361" t="s">
        <v>7</v>
      </c>
      <c r="B361">
        <v>52</v>
      </c>
      <c r="C361" t="s">
        <v>10</v>
      </c>
      <c r="D361">
        <v>2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 t="b">
        <f t="shared" si="5"/>
        <v>1</v>
      </c>
    </row>
    <row r="362" spans="1:12" x14ac:dyDescent="0.25">
      <c r="A362" t="s">
        <v>7</v>
      </c>
      <c r="B362">
        <v>52</v>
      </c>
      <c r="C362" t="s">
        <v>11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 t="b">
        <f t="shared" si="5"/>
        <v>1</v>
      </c>
    </row>
    <row r="363" spans="1:12" x14ac:dyDescent="0.25">
      <c r="A363" t="s">
        <v>7</v>
      </c>
      <c r="B363">
        <v>52</v>
      </c>
      <c r="C363" t="s">
        <v>4</v>
      </c>
      <c r="D363">
        <v>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0</v>
      </c>
      <c r="L363" t="b">
        <f t="shared" si="5"/>
        <v>1</v>
      </c>
    </row>
    <row r="364" spans="1:12" x14ac:dyDescent="0.25">
      <c r="A364" t="s">
        <v>7</v>
      </c>
      <c r="B364">
        <v>53</v>
      </c>
      <c r="C364" t="s">
        <v>2</v>
      </c>
      <c r="D364">
        <v>6</v>
      </c>
      <c r="E364">
        <v>0</v>
      </c>
      <c r="F364">
        <v>1</v>
      </c>
      <c r="G364">
        <v>2</v>
      </c>
      <c r="H364">
        <v>0</v>
      </c>
      <c r="I364">
        <v>3</v>
      </c>
      <c r="J364">
        <v>0</v>
      </c>
      <c r="K364">
        <v>0</v>
      </c>
      <c r="L364" t="b">
        <f t="shared" si="5"/>
        <v>1</v>
      </c>
    </row>
    <row r="365" spans="1:12" x14ac:dyDescent="0.25">
      <c r="A365" t="s">
        <v>7</v>
      </c>
      <c r="B365">
        <v>53</v>
      </c>
      <c r="C365" t="s">
        <v>3</v>
      </c>
      <c r="D365">
        <v>5</v>
      </c>
      <c r="E365">
        <v>3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 t="b">
        <f t="shared" si="5"/>
        <v>1</v>
      </c>
    </row>
    <row r="366" spans="1:12" x14ac:dyDescent="0.25">
      <c r="A366" t="s">
        <v>7</v>
      </c>
      <c r="B366">
        <v>53</v>
      </c>
      <c r="C366" t="s">
        <v>1</v>
      </c>
      <c r="D366">
        <v>8</v>
      </c>
      <c r="E366">
        <v>0</v>
      </c>
      <c r="F366">
        <v>4</v>
      </c>
      <c r="G366">
        <v>1</v>
      </c>
      <c r="H366">
        <v>0</v>
      </c>
      <c r="I366">
        <v>3</v>
      </c>
      <c r="J366">
        <v>0</v>
      </c>
      <c r="K366">
        <v>0</v>
      </c>
      <c r="L366" t="b">
        <f t="shared" si="5"/>
        <v>1</v>
      </c>
    </row>
    <row r="367" spans="1:12" x14ac:dyDescent="0.25">
      <c r="A367" t="s">
        <v>7</v>
      </c>
      <c r="B367">
        <v>53</v>
      </c>
      <c r="C367" t="s">
        <v>10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 t="b">
        <f t="shared" si="5"/>
        <v>1</v>
      </c>
    </row>
    <row r="368" spans="1:12" x14ac:dyDescent="0.25">
      <c r="A368" t="s">
        <v>7</v>
      </c>
      <c r="B368">
        <v>53</v>
      </c>
      <c r="C368" t="s">
        <v>4</v>
      </c>
      <c r="D368">
        <v>5</v>
      </c>
      <c r="E368">
        <v>0</v>
      </c>
      <c r="F368">
        <v>1</v>
      </c>
      <c r="G368">
        <v>3</v>
      </c>
      <c r="H368">
        <v>0</v>
      </c>
      <c r="I368">
        <v>0</v>
      </c>
      <c r="J368">
        <v>1</v>
      </c>
      <c r="K368">
        <v>0</v>
      </c>
      <c r="L368" t="b">
        <f t="shared" si="5"/>
        <v>1</v>
      </c>
    </row>
    <row r="369" spans="1:12" x14ac:dyDescent="0.25">
      <c r="A369" t="s">
        <v>7</v>
      </c>
      <c r="B369">
        <v>53</v>
      </c>
      <c r="C369" t="s">
        <v>9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 t="b">
        <f t="shared" si="5"/>
        <v>1</v>
      </c>
    </row>
    <row r="370" spans="1:12" x14ac:dyDescent="0.25">
      <c r="A370" t="s">
        <v>7</v>
      </c>
      <c r="B370">
        <v>54</v>
      </c>
      <c r="C370" t="s">
        <v>2</v>
      </c>
      <c r="D370">
        <v>5</v>
      </c>
      <c r="E370">
        <v>0</v>
      </c>
      <c r="F370">
        <v>0</v>
      </c>
      <c r="G370">
        <v>1</v>
      </c>
      <c r="H370">
        <v>0</v>
      </c>
      <c r="I370">
        <v>4</v>
      </c>
      <c r="J370">
        <v>0</v>
      </c>
      <c r="K370">
        <v>0</v>
      </c>
      <c r="L370" t="b">
        <f t="shared" si="5"/>
        <v>1</v>
      </c>
    </row>
    <row r="371" spans="1:12" x14ac:dyDescent="0.25">
      <c r="A371" t="s">
        <v>7</v>
      </c>
      <c r="B371">
        <v>54</v>
      </c>
      <c r="C371" t="s">
        <v>6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 t="b">
        <f t="shared" si="5"/>
        <v>1</v>
      </c>
    </row>
    <row r="372" spans="1:12" x14ac:dyDescent="0.25">
      <c r="A372" t="s">
        <v>7</v>
      </c>
      <c r="B372">
        <v>54</v>
      </c>
      <c r="C372" t="s">
        <v>1</v>
      </c>
      <c r="D372">
        <v>7</v>
      </c>
      <c r="E372">
        <v>0</v>
      </c>
      <c r="F372">
        <v>0</v>
      </c>
      <c r="G372">
        <v>2</v>
      </c>
      <c r="H372">
        <v>0</v>
      </c>
      <c r="I372">
        <v>4</v>
      </c>
      <c r="J372">
        <v>0</v>
      </c>
      <c r="K372">
        <v>1</v>
      </c>
      <c r="L372" t="b">
        <f t="shared" si="5"/>
        <v>1</v>
      </c>
    </row>
    <row r="373" spans="1:12" x14ac:dyDescent="0.25">
      <c r="A373" t="s">
        <v>7</v>
      </c>
      <c r="B373">
        <v>55</v>
      </c>
      <c r="C373" t="s">
        <v>2</v>
      </c>
      <c r="D373">
        <v>8</v>
      </c>
      <c r="E373">
        <v>0</v>
      </c>
      <c r="F373">
        <v>1</v>
      </c>
      <c r="G373">
        <v>2</v>
      </c>
      <c r="H373">
        <v>0</v>
      </c>
      <c r="I373">
        <v>5</v>
      </c>
      <c r="J373">
        <v>0</v>
      </c>
      <c r="K373">
        <v>0</v>
      </c>
      <c r="L373" t="b">
        <f t="shared" si="5"/>
        <v>1</v>
      </c>
    </row>
    <row r="374" spans="1:12" x14ac:dyDescent="0.25">
      <c r="A374" t="s">
        <v>7</v>
      </c>
      <c r="B374">
        <v>55</v>
      </c>
      <c r="C374" t="s">
        <v>84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 t="b">
        <f t="shared" si="5"/>
        <v>1</v>
      </c>
    </row>
    <row r="375" spans="1:12" x14ac:dyDescent="0.25">
      <c r="A375" t="s">
        <v>7</v>
      </c>
      <c r="B375">
        <v>55</v>
      </c>
      <c r="C375" t="s">
        <v>3</v>
      </c>
      <c r="D375">
        <v>3</v>
      </c>
      <c r="E375">
        <v>1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 t="b">
        <f t="shared" si="5"/>
        <v>1</v>
      </c>
    </row>
    <row r="376" spans="1:12" x14ac:dyDescent="0.25">
      <c r="A376" t="s">
        <v>7</v>
      </c>
      <c r="B376">
        <v>55</v>
      </c>
      <c r="C376" t="s">
        <v>6</v>
      </c>
      <c r="D376">
        <v>5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4</v>
      </c>
      <c r="L376" t="b">
        <f t="shared" si="5"/>
        <v>1</v>
      </c>
    </row>
    <row r="377" spans="1:12" x14ac:dyDescent="0.25">
      <c r="A377" t="s">
        <v>7</v>
      </c>
      <c r="B377">
        <v>55</v>
      </c>
      <c r="C377" t="s">
        <v>1</v>
      </c>
      <c r="D377">
        <v>20</v>
      </c>
      <c r="E377">
        <v>0</v>
      </c>
      <c r="F377">
        <v>3</v>
      </c>
      <c r="G377">
        <v>6</v>
      </c>
      <c r="H377">
        <v>2</v>
      </c>
      <c r="I377">
        <v>5</v>
      </c>
      <c r="J377">
        <v>0</v>
      </c>
      <c r="K377">
        <v>4</v>
      </c>
      <c r="L377" t="b">
        <f t="shared" si="5"/>
        <v>1</v>
      </c>
    </row>
    <row r="378" spans="1:12" x14ac:dyDescent="0.25">
      <c r="A378" t="s">
        <v>7</v>
      </c>
      <c r="B378">
        <v>55</v>
      </c>
      <c r="C378" t="s">
        <v>10</v>
      </c>
      <c r="D378">
        <v>2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 t="b">
        <f t="shared" si="5"/>
        <v>1</v>
      </c>
    </row>
    <row r="379" spans="1:12" x14ac:dyDescent="0.25">
      <c r="A379" t="s">
        <v>7</v>
      </c>
      <c r="B379">
        <v>55</v>
      </c>
      <c r="C379" t="s">
        <v>4</v>
      </c>
      <c r="D379">
        <v>3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1</v>
      </c>
      <c r="L379" t="b">
        <f t="shared" si="5"/>
        <v>1</v>
      </c>
    </row>
    <row r="380" spans="1:12" x14ac:dyDescent="0.25">
      <c r="A380" t="s">
        <v>7</v>
      </c>
      <c r="B380">
        <v>55</v>
      </c>
      <c r="C380" t="s">
        <v>9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 t="b">
        <f t="shared" si="5"/>
        <v>1</v>
      </c>
    </row>
    <row r="381" spans="1:12" x14ac:dyDescent="0.25">
      <c r="A381" t="s">
        <v>7</v>
      </c>
      <c r="B381">
        <v>56</v>
      </c>
      <c r="C381" t="s">
        <v>2</v>
      </c>
      <c r="D381">
        <v>8</v>
      </c>
      <c r="E381">
        <v>0</v>
      </c>
      <c r="F381">
        <v>0</v>
      </c>
      <c r="G381">
        <v>0</v>
      </c>
      <c r="H381">
        <v>0</v>
      </c>
      <c r="I381">
        <v>8</v>
      </c>
      <c r="J381">
        <v>0</v>
      </c>
      <c r="K381">
        <v>0</v>
      </c>
      <c r="L381" t="b">
        <f t="shared" si="5"/>
        <v>1</v>
      </c>
    </row>
    <row r="382" spans="1:12" x14ac:dyDescent="0.25">
      <c r="A382" t="s">
        <v>7</v>
      </c>
      <c r="B382">
        <v>56</v>
      </c>
      <c r="C382" t="s">
        <v>84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 t="b">
        <f t="shared" si="5"/>
        <v>1</v>
      </c>
    </row>
    <row r="383" spans="1:12" x14ac:dyDescent="0.25">
      <c r="A383" t="s">
        <v>7</v>
      </c>
      <c r="B383">
        <v>56</v>
      </c>
      <c r="C383" t="s">
        <v>3</v>
      </c>
      <c r="D383">
        <v>3</v>
      </c>
      <c r="E383">
        <v>2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b">
        <f t="shared" si="5"/>
        <v>1</v>
      </c>
    </row>
    <row r="384" spans="1:12" x14ac:dyDescent="0.25">
      <c r="A384" t="s">
        <v>7</v>
      </c>
      <c r="B384">
        <v>56</v>
      </c>
      <c r="C384" t="s">
        <v>5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b">
        <f t="shared" si="5"/>
        <v>1</v>
      </c>
    </row>
    <row r="385" spans="1:12" x14ac:dyDescent="0.25">
      <c r="A385" t="s">
        <v>7</v>
      </c>
      <c r="B385">
        <v>56</v>
      </c>
      <c r="C385" t="s">
        <v>6</v>
      </c>
      <c r="D385">
        <v>3</v>
      </c>
      <c r="E385">
        <v>0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0</v>
      </c>
      <c r="L385" t="b">
        <f t="shared" si="5"/>
        <v>1</v>
      </c>
    </row>
    <row r="386" spans="1:12" x14ac:dyDescent="0.25">
      <c r="A386" t="s">
        <v>7</v>
      </c>
      <c r="B386">
        <v>56</v>
      </c>
      <c r="C386" t="s">
        <v>1</v>
      </c>
      <c r="D386">
        <v>10</v>
      </c>
      <c r="E386">
        <v>0</v>
      </c>
      <c r="F386">
        <v>0</v>
      </c>
      <c r="G386">
        <v>1</v>
      </c>
      <c r="H386">
        <v>0</v>
      </c>
      <c r="I386">
        <v>8</v>
      </c>
      <c r="J386">
        <v>0</v>
      </c>
      <c r="K386">
        <v>1</v>
      </c>
      <c r="L386" t="b">
        <f t="shared" si="5"/>
        <v>1</v>
      </c>
    </row>
    <row r="387" spans="1:12" x14ac:dyDescent="0.25">
      <c r="A387" t="s">
        <v>7</v>
      </c>
      <c r="B387">
        <v>56</v>
      </c>
      <c r="C387" t="s">
        <v>4</v>
      </c>
      <c r="D387">
        <v>3</v>
      </c>
      <c r="E387">
        <v>1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 t="b">
        <f t="shared" si="5"/>
        <v>1</v>
      </c>
    </row>
    <row r="388" spans="1:12" x14ac:dyDescent="0.25">
      <c r="A388" t="s">
        <v>7</v>
      </c>
      <c r="B388">
        <v>56</v>
      </c>
      <c r="C388" t="s">
        <v>9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 t="b">
        <f t="shared" ref="L388:L451" si="6">SUM(E388:K388)=D388</f>
        <v>1</v>
      </c>
    </row>
    <row r="389" spans="1:12" x14ac:dyDescent="0.25">
      <c r="A389" t="s">
        <v>7</v>
      </c>
      <c r="B389">
        <v>57</v>
      </c>
      <c r="C389" t="s">
        <v>2</v>
      </c>
      <c r="D389">
        <v>6</v>
      </c>
      <c r="E389">
        <v>0</v>
      </c>
      <c r="F389">
        <v>0</v>
      </c>
      <c r="G389">
        <v>2</v>
      </c>
      <c r="H389">
        <v>0</v>
      </c>
      <c r="I389">
        <v>4</v>
      </c>
      <c r="J389">
        <v>0</v>
      </c>
      <c r="K389">
        <v>0</v>
      </c>
      <c r="L389" t="b">
        <f t="shared" si="6"/>
        <v>1</v>
      </c>
    </row>
    <row r="390" spans="1:12" x14ac:dyDescent="0.25">
      <c r="A390" t="s">
        <v>7</v>
      </c>
      <c r="B390">
        <v>57</v>
      </c>
      <c r="C390" t="s">
        <v>3</v>
      </c>
      <c r="D390">
        <v>3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b">
        <f t="shared" si="6"/>
        <v>1</v>
      </c>
    </row>
    <row r="391" spans="1:12" x14ac:dyDescent="0.25">
      <c r="A391" t="s">
        <v>7</v>
      </c>
      <c r="B391">
        <v>57</v>
      </c>
      <c r="C391" t="s">
        <v>6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 t="b">
        <f t="shared" si="6"/>
        <v>1</v>
      </c>
    </row>
    <row r="392" spans="1:12" x14ac:dyDescent="0.25">
      <c r="A392" t="s">
        <v>7</v>
      </c>
      <c r="B392">
        <v>57</v>
      </c>
      <c r="C392" t="s">
        <v>1</v>
      </c>
      <c r="D392">
        <v>11</v>
      </c>
      <c r="E392">
        <v>0</v>
      </c>
      <c r="F392">
        <v>2</v>
      </c>
      <c r="G392">
        <v>3</v>
      </c>
      <c r="H392">
        <v>0</v>
      </c>
      <c r="I392">
        <v>4</v>
      </c>
      <c r="J392">
        <v>0</v>
      </c>
      <c r="K392">
        <v>2</v>
      </c>
      <c r="L392" t="b">
        <f t="shared" si="6"/>
        <v>1</v>
      </c>
    </row>
    <row r="393" spans="1:12" x14ac:dyDescent="0.25">
      <c r="A393" t="s">
        <v>7</v>
      </c>
      <c r="B393">
        <v>57</v>
      </c>
      <c r="C393" t="s">
        <v>10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 t="b">
        <f t="shared" si="6"/>
        <v>1</v>
      </c>
    </row>
    <row r="394" spans="1:12" x14ac:dyDescent="0.25">
      <c r="A394" t="s">
        <v>7</v>
      </c>
      <c r="B394">
        <v>57</v>
      </c>
      <c r="C394" t="s">
        <v>4</v>
      </c>
      <c r="D394">
        <v>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1</v>
      </c>
      <c r="K394">
        <v>0</v>
      </c>
      <c r="L394" t="b">
        <f t="shared" si="6"/>
        <v>1</v>
      </c>
    </row>
    <row r="395" spans="1:12" x14ac:dyDescent="0.25">
      <c r="A395" t="s">
        <v>7</v>
      </c>
      <c r="B395">
        <v>57</v>
      </c>
      <c r="C395" t="s">
        <v>9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 t="b">
        <f t="shared" si="6"/>
        <v>1</v>
      </c>
    </row>
    <row r="396" spans="1:12" x14ac:dyDescent="0.25">
      <c r="A396" t="s">
        <v>7</v>
      </c>
      <c r="B396">
        <v>58</v>
      </c>
      <c r="C396" t="s">
        <v>2</v>
      </c>
      <c r="D396">
        <v>9</v>
      </c>
      <c r="E396">
        <v>0</v>
      </c>
      <c r="F396">
        <v>0</v>
      </c>
      <c r="G396">
        <v>9</v>
      </c>
      <c r="H396">
        <v>0</v>
      </c>
      <c r="I396">
        <v>0</v>
      </c>
      <c r="J396">
        <v>0</v>
      </c>
      <c r="K396">
        <v>0</v>
      </c>
      <c r="L396" t="b">
        <f t="shared" si="6"/>
        <v>1</v>
      </c>
    </row>
    <row r="397" spans="1:12" x14ac:dyDescent="0.25">
      <c r="A397" t="s">
        <v>7</v>
      </c>
      <c r="B397">
        <v>58</v>
      </c>
      <c r="C397" t="s">
        <v>3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b">
        <f t="shared" si="6"/>
        <v>1</v>
      </c>
    </row>
    <row r="398" spans="1:12" x14ac:dyDescent="0.25">
      <c r="A398" t="s">
        <v>7</v>
      </c>
      <c r="B398">
        <v>58</v>
      </c>
      <c r="C398" t="s">
        <v>5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 t="b">
        <f t="shared" si="6"/>
        <v>1</v>
      </c>
    </row>
    <row r="399" spans="1:12" x14ac:dyDescent="0.25">
      <c r="A399" t="s">
        <v>7</v>
      </c>
      <c r="B399">
        <v>58</v>
      </c>
      <c r="C399" t="s">
        <v>1</v>
      </c>
      <c r="D399">
        <v>13</v>
      </c>
      <c r="E399">
        <v>0</v>
      </c>
      <c r="F399">
        <v>3</v>
      </c>
      <c r="G399">
        <v>10</v>
      </c>
      <c r="H399">
        <v>0</v>
      </c>
      <c r="I399">
        <v>0</v>
      </c>
      <c r="J399">
        <v>0</v>
      </c>
      <c r="K399">
        <v>0</v>
      </c>
      <c r="L399" t="b">
        <f t="shared" si="6"/>
        <v>1</v>
      </c>
    </row>
    <row r="400" spans="1:12" x14ac:dyDescent="0.25">
      <c r="A400" t="s">
        <v>7</v>
      </c>
      <c r="B400">
        <v>58</v>
      </c>
      <c r="C400" t="s">
        <v>10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 t="b">
        <f t="shared" si="6"/>
        <v>1</v>
      </c>
    </row>
    <row r="401" spans="1:12" x14ac:dyDescent="0.25">
      <c r="A401" t="s">
        <v>7</v>
      </c>
      <c r="B401">
        <v>58</v>
      </c>
      <c r="C401" t="s">
        <v>4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 t="b">
        <f t="shared" si="6"/>
        <v>1</v>
      </c>
    </row>
    <row r="402" spans="1:12" x14ac:dyDescent="0.25">
      <c r="A402" t="s">
        <v>7</v>
      </c>
      <c r="B402">
        <v>59</v>
      </c>
      <c r="C402" t="s">
        <v>2</v>
      </c>
      <c r="D402">
        <v>8</v>
      </c>
      <c r="E402">
        <v>0</v>
      </c>
      <c r="F402">
        <v>1</v>
      </c>
      <c r="G402">
        <v>4</v>
      </c>
      <c r="H402">
        <v>0</v>
      </c>
      <c r="I402">
        <v>3</v>
      </c>
      <c r="J402">
        <v>0</v>
      </c>
      <c r="K402">
        <v>0</v>
      </c>
      <c r="L402" t="b">
        <f t="shared" si="6"/>
        <v>1</v>
      </c>
    </row>
    <row r="403" spans="1:12" x14ac:dyDescent="0.25">
      <c r="A403" t="s">
        <v>7</v>
      </c>
      <c r="B403">
        <v>59</v>
      </c>
      <c r="C403" t="s">
        <v>84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 t="b">
        <f t="shared" si="6"/>
        <v>1</v>
      </c>
    </row>
    <row r="404" spans="1:12" x14ac:dyDescent="0.25">
      <c r="A404" t="s">
        <v>7</v>
      </c>
      <c r="B404">
        <v>59</v>
      </c>
      <c r="C404" t="s">
        <v>3</v>
      </c>
      <c r="D404">
        <v>4</v>
      </c>
      <c r="E404">
        <v>1</v>
      </c>
      <c r="F404">
        <v>2</v>
      </c>
      <c r="G404">
        <v>1</v>
      </c>
      <c r="H404">
        <v>0</v>
      </c>
      <c r="I404">
        <v>0</v>
      </c>
      <c r="J404">
        <v>0</v>
      </c>
      <c r="K404">
        <v>0</v>
      </c>
      <c r="L404" t="b">
        <f t="shared" si="6"/>
        <v>1</v>
      </c>
    </row>
    <row r="405" spans="1:12" x14ac:dyDescent="0.25">
      <c r="A405" t="s">
        <v>7</v>
      </c>
      <c r="B405">
        <v>59</v>
      </c>
      <c r="C405" t="s">
        <v>5</v>
      </c>
      <c r="D405">
        <v>2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 t="b">
        <f t="shared" si="6"/>
        <v>1</v>
      </c>
    </row>
    <row r="406" spans="1:12" x14ac:dyDescent="0.25">
      <c r="A406" t="s">
        <v>7</v>
      </c>
      <c r="B406">
        <v>59</v>
      </c>
      <c r="C406" t="s">
        <v>6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 t="b">
        <f t="shared" si="6"/>
        <v>1</v>
      </c>
    </row>
    <row r="407" spans="1:12" x14ac:dyDescent="0.25">
      <c r="A407" t="s">
        <v>7</v>
      </c>
      <c r="B407">
        <v>59</v>
      </c>
      <c r="C407" t="s">
        <v>1</v>
      </c>
      <c r="D407">
        <v>18</v>
      </c>
      <c r="E407">
        <v>1</v>
      </c>
      <c r="F407">
        <v>4</v>
      </c>
      <c r="G407">
        <v>7</v>
      </c>
      <c r="H407">
        <v>0</v>
      </c>
      <c r="I407">
        <v>3</v>
      </c>
      <c r="J407">
        <v>0</v>
      </c>
      <c r="K407">
        <v>3</v>
      </c>
      <c r="L407" t="b">
        <f t="shared" si="6"/>
        <v>1</v>
      </c>
    </row>
    <row r="408" spans="1:12" x14ac:dyDescent="0.25">
      <c r="A408" t="s">
        <v>7</v>
      </c>
      <c r="B408">
        <v>59</v>
      </c>
      <c r="C408" t="s">
        <v>4</v>
      </c>
      <c r="D408">
        <v>3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2</v>
      </c>
      <c r="K408">
        <v>0</v>
      </c>
      <c r="L408" t="b">
        <f t="shared" si="6"/>
        <v>1</v>
      </c>
    </row>
    <row r="409" spans="1:12" x14ac:dyDescent="0.25">
      <c r="A409" t="s">
        <v>7</v>
      </c>
      <c r="B409">
        <v>59</v>
      </c>
      <c r="C409" t="s">
        <v>9</v>
      </c>
      <c r="D409">
        <v>2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 t="b">
        <f t="shared" si="6"/>
        <v>1</v>
      </c>
    </row>
    <row r="410" spans="1:12" x14ac:dyDescent="0.25">
      <c r="A410" t="s">
        <v>7</v>
      </c>
      <c r="B410">
        <v>60</v>
      </c>
      <c r="C410" t="s">
        <v>2</v>
      </c>
      <c r="D410">
        <v>8</v>
      </c>
      <c r="E410">
        <v>0</v>
      </c>
      <c r="F410">
        <v>0</v>
      </c>
      <c r="G410">
        <v>1</v>
      </c>
      <c r="H410">
        <v>0</v>
      </c>
      <c r="I410">
        <v>7</v>
      </c>
      <c r="J410">
        <v>0</v>
      </c>
      <c r="K410">
        <v>0</v>
      </c>
      <c r="L410" t="b">
        <f t="shared" si="6"/>
        <v>1</v>
      </c>
    </row>
    <row r="411" spans="1:12" x14ac:dyDescent="0.25">
      <c r="A411" t="s">
        <v>7</v>
      </c>
      <c r="B411">
        <v>60</v>
      </c>
      <c r="C411" t="s">
        <v>84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 t="b">
        <f t="shared" si="6"/>
        <v>1</v>
      </c>
    </row>
    <row r="412" spans="1:12" x14ac:dyDescent="0.25">
      <c r="A412" t="s">
        <v>7</v>
      </c>
      <c r="B412">
        <v>60</v>
      </c>
      <c r="C412" t="s">
        <v>3</v>
      </c>
      <c r="D412">
        <v>2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 t="b">
        <f t="shared" si="6"/>
        <v>1</v>
      </c>
    </row>
    <row r="413" spans="1:12" x14ac:dyDescent="0.25">
      <c r="A413" t="s">
        <v>7</v>
      </c>
      <c r="B413">
        <v>60</v>
      </c>
      <c r="C413" t="s">
        <v>6</v>
      </c>
      <c r="D413">
        <v>2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 t="b">
        <f t="shared" si="6"/>
        <v>1</v>
      </c>
    </row>
    <row r="414" spans="1:12" x14ac:dyDescent="0.25">
      <c r="A414" t="s">
        <v>7</v>
      </c>
      <c r="B414">
        <v>60</v>
      </c>
      <c r="C414" t="s">
        <v>1</v>
      </c>
      <c r="D414">
        <v>12</v>
      </c>
      <c r="E414">
        <v>0</v>
      </c>
      <c r="F414">
        <v>0</v>
      </c>
      <c r="G414">
        <v>2</v>
      </c>
      <c r="H414">
        <v>0</v>
      </c>
      <c r="I414">
        <v>7</v>
      </c>
      <c r="J414">
        <v>0</v>
      </c>
      <c r="K414">
        <v>3</v>
      </c>
      <c r="L414" t="b">
        <f t="shared" si="6"/>
        <v>1</v>
      </c>
    </row>
    <row r="415" spans="1:12" x14ac:dyDescent="0.25">
      <c r="A415" t="s">
        <v>7</v>
      </c>
      <c r="B415">
        <v>60</v>
      </c>
      <c r="C415" t="s">
        <v>4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 t="b">
        <f t="shared" si="6"/>
        <v>1</v>
      </c>
    </row>
    <row r="416" spans="1:12" x14ac:dyDescent="0.25">
      <c r="A416" t="s">
        <v>7</v>
      </c>
      <c r="B416">
        <v>60</v>
      </c>
      <c r="C416" t="s">
        <v>9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 t="b">
        <f t="shared" si="6"/>
        <v>1</v>
      </c>
    </row>
    <row r="417" spans="1:12" x14ac:dyDescent="0.25">
      <c r="A417" t="s">
        <v>7</v>
      </c>
      <c r="B417">
        <v>61</v>
      </c>
      <c r="C417" t="s">
        <v>2</v>
      </c>
      <c r="D417">
        <v>4</v>
      </c>
      <c r="E417">
        <v>0</v>
      </c>
      <c r="F417">
        <v>0</v>
      </c>
      <c r="G417">
        <v>2</v>
      </c>
      <c r="H417">
        <v>0</v>
      </c>
      <c r="I417">
        <v>2</v>
      </c>
      <c r="J417">
        <v>0</v>
      </c>
      <c r="K417">
        <v>0</v>
      </c>
      <c r="L417" t="b">
        <f t="shared" si="6"/>
        <v>1</v>
      </c>
    </row>
    <row r="418" spans="1:12" x14ac:dyDescent="0.25">
      <c r="A418" t="s">
        <v>7</v>
      </c>
      <c r="B418">
        <v>61</v>
      </c>
      <c r="C418" t="s">
        <v>84</v>
      </c>
      <c r="D418">
        <v>2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 t="b">
        <f t="shared" si="6"/>
        <v>1</v>
      </c>
    </row>
    <row r="419" spans="1:12" x14ac:dyDescent="0.25">
      <c r="A419" t="s">
        <v>7</v>
      </c>
      <c r="B419">
        <v>61</v>
      </c>
      <c r="C419" t="s">
        <v>6</v>
      </c>
      <c r="D419">
        <v>2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 t="b">
        <f t="shared" si="6"/>
        <v>1</v>
      </c>
    </row>
    <row r="420" spans="1:12" x14ac:dyDescent="0.25">
      <c r="A420" t="s">
        <v>7</v>
      </c>
      <c r="B420">
        <v>61</v>
      </c>
      <c r="C420" t="s">
        <v>1</v>
      </c>
      <c r="D420">
        <v>5</v>
      </c>
      <c r="E420">
        <v>0</v>
      </c>
      <c r="F420">
        <v>0</v>
      </c>
      <c r="G420">
        <v>3</v>
      </c>
      <c r="H420">
        <v>0</v>
      </c>
      <c r="I420">
        <v>2</v>
      </c>
      <c r="J420">
        <v>0</v>
      </c>
      <c r="K420">
        <v>0</v>
      </c>
      <c r="L420" t="b">
        <f t="shared" si="6"/>
        <v>1</v>
      </c>
    </row>
    <row r="421" spans="1:12" x14ac:dyDescent="0.25">
      <c r="A421" t="s">
        <v>7</v>
      </c>
      <c r="B421">
        <v>61</v>
      </c>
      <c r="C421" t="s">
        <v>10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 t="b">
        <f t="shared" si="6"/>
        <v>1</v>
      </c>
    </row>
    <row r="422" spans="1:12" x14ac:dyDescent="0.25">
      <c r="A422" t="s">
        <v>7</v>
      </c>
      <c r="B422">
        <v>62</v>
      </c>
      <c r="C422" t="s">
        <v>2</v>
      </c>
      <c r="D422">
        <v>7</v>
      </c>
      <c r="E422">
        <v>0</v>
      </c>
      <c r="F422">
        <v>0</v>
      </c>
      <c r="G422">
        <v>1</v>
      </c>
      <c r="H422">
        <v>0</v>
      </c>
      <c r="I422">
        <v>6</v>
      </c>
      <c r="J422">
        <v>0</v>
      </c>
      <c r="K422">
        <v>0</v>
      </c>
      <c r="L422" t="b">
        <f t="shared" si="6"/>
        <v>1</v>
      </c>
    </row>
    <row r="423" spans="1:12" x14ac:dyDescent="0.25">
      <c r="A423" t="s">
        <v>7</v>
      </c>
      <c r="B423">
        <v>62</v>
      </c>
      <c r="C423" t="s">
        <v>84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 t="b">
        <f t="shared" si="6"/>
        <v>1</v>
      </c>
    </row>
    <row r="424" spans="1:12" x14ac:dyDescent="0.25">
      <c r="A424" t="s">
        <v>7</v>
      </c>
      <c r="B424">
        <v>62</v>
      </c>
      <c r="C424" t="s">
        <v>3</v>
      </c>
      <c r="D424">
        <v>4</v>
      </c>
      <c r="E424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b">
        <f t="shared" si="6"/>
        <v>1</v>
      </c>
    </row>
    <row r="425" spans="1:12" x14ac:dyDescent="0.25">
      <c r="A425" t="s">
        <v>7</v>
      </c>
      <c r="B425">
        <v>62</v>
      </c>
      <c r="C425" t="s">
        <v>6</v>
      </c>
      <c r="D425">
        <v>3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2</v>
      </c>
      <c r="L425" t="b">
        <f t="shared" si="6"/>
        <v>1</v>
      </c>
    </row>
    <row r="426" spans="1:12" x14ac:dyDescent="0.25">
      <c r="A426" t="s">
        <v>7</v>
      </c>
      <c r="B426">
        <v>62</v>
      </c>
      <c r="C426" t="s">
        <v>1</v>
      </c>
      <c r="D426">
        <v>10</v>
      </c>
      <c r="E426">
        <v>0</v>
      </c>
      <c r="F426">
        <v>1</v>
      </c>
      <c r="G426">
        <v>1</v>
      </c>
      <c r="H426">
        <v>0</v>
      </c>
      <c r="I426">
        <v>6</v>
      </c>
      <c r="J426">
        <v>0</v>
      </c>
      <c r="K426">
        <v>2</v>
      </c>
      <c r="L426" t="b">
        <f t="shared" si="6"/>
        <v>1</v>
      </c>
    </row>
    <row r="427" spans="1:12" x14ac:dyDescent="0.25">
      <c r="A427" t="s">
        <v>7</v>
      </c>
      <c r="B427">
        <v>62</v>
      </c>
      <c r="C427" t="s">
        <v>10</v>
      </c>
      <c r="D427">
        <v>2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 t="b">
        <f t="shared" si="6"/>
        <v>1</v>
      </c>
    </row>
    <row r="428" spans="1:12" x14ac:dyDescent="0.25">
      <c r="A428" t="s">
        <v>7</v>
      </c>
      <c r="B428">
        <v>62</v>
      </c>
      <c r="C428" t="s">
        <v>4</v>
      </c>
      <c r="D428">
        <v>4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3</v>
      </c>
      <c r="K428">
        <v>0</v>
      </c>
      <c r="L428" t="b">
        <f t="shared" si="6"/>
        <v>1</v>
      </c>
    </row>
    <row r="429" spans="1:12" x14ac:dyDescent="0.25">
      <c r="A429" t="s">
        <v>7</v>
      </c>
      <c r="B429">
        <v>62</v>
      </c>
      <c r="C429" t="s">
        <v>9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 t="b">
        <f t="shared" si="6"/>
        <v>1</v>
      </c>
    </row>
    <row r="430" spans="1:12" x14ac:dyDescent="0.25">
      <c r="A430" t="s">
        <v>7</v>
      </c>
      <c r="B430">
        <v>63</v>
      </c>
      <c r="C430" t="s">
        <v>2</v>
      </c>
      <c r="D430">
        <v>7</v>
      </c>
      <c r="E430">
        <v>0</v>
      </c>
      <c r="F430">
        <v>0</v>
      </c>
      <c r="G430">
        <v>3</v>
      </c>
      <c r="H430">
        <v>0</v>
      </c>
      <c r="I430">
        <v>4</v>
      </c>
      <c r="J430">
        <v>0</v>
      </c>
      <c r="K430">
        <v>0</v>
      </c>
      <c r="L430" t="b">
        <f t="shared" si="6"/>
        <v>1</v>
      </c>
    </row>
    <row r="431" spans="1:12" x14ac:dyDescent="0.25">
      <c r="A431" t="s">
        <v>7</v>
      </c>
      <c r="B431">
        <v>63</v>
      </c>
      <c r="C431" t="s">
        <v>84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 t="b">
        <f t="shared" si="6"/>
        <v>1</v>
      </c>
    </row>
    <row r="432" spans="1:12" x14ac:dyDescent="0.25">
      <c r="A432" t="s">
        <v>7</v>
      </c>
      <c r="B432">
        <v>63</v>
      </c>
      <c r="C432" t="s">
        <v>3</v>
      </c>
      <c r="D432">
        <v>2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 t="b">
        <f t="shared" si="6"/>
        <v>1</v>
      </c>
    </row>
    <row r="433" spans="1:12" x14ac:dyDescent="0.25">
      <c r="A433" t="s">
        <v>7</v>
      </c>
      <c r="B433">
        <v>63</v>
      </c>
      <c r="C433" t="s">
        <v>6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 t="b">
        <f t="shared" si="6"/>
        <v>1</v>
      </c>
    </row>
    <row r="434" spans="1:12" x14ac:dyDescent="0.25">
      <c r="A434" t="s">
        <v>7</v>
      </c>
      <c r="B434">
        <v>63</v>
      </c>
      <c r="C434" t="s">
        <v>1</v>
      </c>
      <c r="D434">
        <v>10</v>
      </c>
      <c r="E434">
        <v>0</v>
      </c>
      <c r="F434">
        <v>1</v>
      </c>
      <c r="G434">
        <v>5</v>
      </c>
      <c r="H434">
        <v>1</v>
      </c>
      <c r="I434">
        <v>3</v>
      </c>
      <c r="J434">
        <v>0</v>
      </c>
      <c r="K434">
        <v>0</v>
      </c>
      <c r="L434" t="b">
        <f t="shared" si="6"/>
        <v>1</v>
      </c>
    </row>
    <row r="435" spans="1:12" x14ac:dyDescent="0.25">
      <c r="A435" t="s">
        <v>7</v>
      </c>
      <c r="B435">
        <v>63</v>
      </c>
      <c r="C435" t="s">
        <v>10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 t="b">
        <f t="shared" si="6"/>
        <v>1</v>
      </c>
    </row>
    <row r="436" spans="1:12" x14ac:dyDescent="0.25">
      <c r="A436" t="s">
        <v>7</v>
      </c>
      <c r="B436">
        <v>63</v>
      </c>
      <c r="C436" t="s">
        <v>4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 t="b">
        <f t="shared" si="6"/>
        <v>1</v>
      </c>
    </row>
    <row r="437" spans="1:12" x14ac:dyDescent="0.25">
      <c r="A437" t="s">
        <v>7</v>
      </c>
      <c r="B437">
        <v>64</v>
      </c>
      <c r="C437" t="s">
        <v>2</v>
      </c>
      <c r="D437">
        <v>8</v>
      </c>
      <c r="E437">
        <v>0</v>
      </c>
      <c r="F437">
        <v>0</v>
      </c>
      <c r="G437">
        <v>3</v>
      </c>
      <c r="H437">
        <v>0</v>
      </c>
      <c r="I437">
        <v>5</v>
      </c>
      <c r="J437">
        <v>0</v>
      </c>
      <c r="K437">
        <v>0</v>
      </c>
      <c r="L437" t="b">
        <f t="shared" si="6"/>
        <v>1</v>
      </c>
    </row>
    <row r="438" spans="1:12" x14ac:dyDescent="0.25">
      <c r="A438" t="s">
        <v>7</v>
      </c>
      <c r="B438">
        <v>64</v>
      </c>
      <c r="C438" t="s">
        <v>84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 t="b">
        <f t="shared" si="6"/>
        <v>1</v>
      </c>
    </row>
    <row r="439" spans="1:12" x14ac:dyDescent="0.25">
      <c r="A439" t="s">
        <v>7</v>
      </c>
      <c r="B439">
        <v>64</v>
      </c>
      <c r="C439" t="s">
        <v>3</v>
      </c>
      <c r="D439">
        <v>2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 t="b">
        <f t="shared" si="6"/>
        <v>1</v>
      </c>
    </row>
    <row r="440" spans="1:12" x14ac:dyDescent="0.25">
      <c r="A440" t="s">
        <v>7</v>
      </c>
      <c r="B440">
        <v>64</v>
      </c>
      <c r="C440" t="s">
        <v>6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 t="b">
        <f t="shared" si="6"/>
        <v>1</v>
      </c>
    </row>
    <row r="441" spans="1:12" x14ac:dyDescent="0.25">
      <c r="A441" t="s">
        <v>7</v>
      </c>
      <c r="B441">
        <v>64</v>
      </c>
      <c r="C441" t="s">
        <v>1</v>
      </c>
      <c r="D441">
        <v>14</v>
      </c>
      <c r="E441">
        <v>0</v>
      </c>
      <c r="F441">
        <v>5</v>
      </c>
      <c r="G441">
        <v>4</v>
      </c>
      <c r="H441">
        <v>0</v>
      </c>
      <c r="I441">
        <v>4</v>
      </c>
      <c r="J441">
        <v>0</v>
      </c>
      <c r="K441">
        <v>1</v>
      </c>
      <c r="L441" t="b">
        <f t="shared" si="6"/>
        <v>1</v>
      </c>
    </row>
    <row r="442" spans="1:12" x14ac:dyDescent="0.25">
      <c r="A442" t="s">
        <v>7</v>
      </c>
      <c r="B442">
        <v>64</v>
      </c>
      <c r="C442" t="s">
        <v>10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 t="b">
        <f t="shared" si="6"/>
        <v>1</v>
      </c>
    </row>
    <row r="443" spans="1:12" x14ac:dyDescent="0.25">
      <c r="A443" t="s">
        <v>7</v>
      </c>
      <c r="B443">
        <v>64</v>
      </c>
      <c r="C443" t="s">
        <v>9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 t="b">
        <f t="shared" si="6"/>
        <v>1</v>
      </c>
    </row>
    <row r="444" spans="1:12" x14ac:dyDescent="0.25">
      <c r="A444" t="s">
        <v>7</v>
      </c>
      <c r="B444">
        <v>65</v>
      </c>
      <c r="C444" t="s">
        <v>2</v>
      </c>
      <c r="D444">
        <v>10</v>
      </c>
      <c r="E444">
        <v>0</v>
      </c>
      <c r="F444">
        <v>0</v>
      </c>
      <c r="G444">
        <v>2</v>
      </c>
      <c r="H444">
        <v>0</v>
      </c>
      <c r="I444">
        <v>8</v>
      </c>
      <c r="J444">
        <v>0</v>
      </c>
      <c r="K444">
        <v>0</v>
      </c>
      <c r="L444" t="b">
        <f t="shared" si="6"/>
        <v>1</v>
      </c>
    </row>
    <row r="445" spans="1:12" x14ac:dyDescent="0.25">
      <c r="A445" t="s">
        <v>7</v>
      </c>
      <c r="B445">
        <v>65</v>
      </c>
      <c r="C445" t="s">
        <v>84</v>
      </c>
      <c r="D445">
        <v>3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 t="b">
        <f t="shared" si="6"/>
        <v>1</v>
      </c>
    </row>
    <row r="446" spans="1:12" x14ac:dyDescent="0.25">
      <c r="A446" t="s">
        <v>7</v>
      </c>
      <c r="B446">
        <v>65</v>
      </c>
      <c r="C446" t="s">
        <v>3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b">
        <f t="shared" si="6"/>
        <v>1</v>
      </c>
    </row>
    <row r="447" spans="1:12" x14ac:dyDescent="0.25">
      <c r="A447" t="s">
        <v>7</v>
      </c>
      <c r="B447">
        <v>65</v>
      </c>
      <c r="C447" t="s">
        <v>5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b">
        <f t="shared" si="6"/>
        <v>1</v>
      </c>
    </row>
    <row r="448" spans="1:12" x14ac:dyDescent="0.25">
      <c r="A448" t="s">
        <v>7</v>
      </c>
      <c r="B448">
        <v>65</v>
      </c>
      <c r="C448" t="s">
        <v>6</v>
      </c>
      <c r="D448">
        <v>4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2</v>
      </c>
      <c r="L448" t="b">
        <f t="shared" si="6"/>
        <v>1</v>
      </c>
    </row>
    <row r="449" spans="1:12" x14ac:dyDescent="0.25">
      <c r="A449" t="s">
        <v>7</v>
      </c>
      <c r="B449">
        <v>65</v>
      </c>
      <c r="C449" t="s">
        <v>1</v>
      </c>
      <c r="D449">
        <v>14</v>
      </c>
      <c r="E449">
        <v>1</v>
      </c>
      <c r="F449">
        <v>1</v>
      </c>
      <c r="G449">
        <v>4</v>
      </c>
      <c r="H449">
        <v>0</v>
      </c>
      <c r="I449">
        <v>8</v>
      </c>
      <c r="J449">
        <v>0</v>
      </c>
      <c r="K449">
        <v>0</v>
      </c>
      <c r="L449" t="b">
        <f t="shared" si="6"/>
        <v>1</v>
      </c>
    </row>
    <row r="450" spans="1:12" x14ac:dyDescent="0.25">
      <c r="A450" t="s">
        <v>7</v>
      </c>
      <c r="B450">
        <v>65</v>
      </c>
      <c r="C450" t="s">
        <v>10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 t="b">
        <f t="shared" si="6"/>
        <v>1</v>
      </c>
    </row>
    <row r="451" spans="1:12" x14ac:dyDescent="0.25">
      <c r="A451" t="s">
        <v>7</v>
      </c>
      <c r="B451">
        <v>65</v>
      </c>
      <c r="C451" t="s">
        <v>11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 t="b">
        <f t="shared" si="6"/>
        <v>1</v>
      </c>
    </row>
    <row r="452" spans="1:12" x14ac:dyDescent="0.25">
      <c r="A452" t="s">
        <v>7</v>
      </c>
      <c r="B452">
        <v>65</v>
      </c>
      <c r="C452" t="s">
        <v>4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 t="b">
        <f t="shared" ref="L452:L515" si="7">SUM(E452:K452)=D452</f>
        <v>1</v>
      </c>
    </row>
    <row r="453" spans="1:12" x14ac:dyDescent="0.25">
      <c r="A453" t="s">
        <v>7</v>
      </c>
      <c r="B453">
        <v>65</v>
      </c>
      <c r="C453" t="s">
        <v>9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 t="b">
        <f t="shared" si="7"/>
        <v>1</v>
      </c>
    </row>
    <row r="454" spans="1:12" x14ac:dyDescent="0.25">
      <c r="A454" t="s">
        <v>7</v>
      </c>
      <c r="B454">
        <v>66</v>
      </c>
      <c r="C454" t="s">
        <v>2</v>
      </c>
      <c r="D454">
        <v>10</v>
      </c>
      <c r="E454">
        <v>0</v>
      </c>
      <c r="F454">
        <v>0</v>
      </c>
      <c r="G454">
        <v>5</v>
      </c>
      <c r="H454">
        <v>0</v>
      </c>
      <c r="I454">
        <v>5</v>
      </c>
      <c r="J454">
        <v>0</v>
      </c>
      <c r="K454">
        <v>0</v>
      </c>
      <c r="L454" t="b">
        <f t="shared" si="7"/>
        <v>1</v>
      </c>
    </row>
    <row r="455" spans="1:12" x14ac:dyDescent="0.25">
      <c r="A455" t="s">
        <v>7</v>
      </c>
      <c r="B455">
        <v>66</v>
      </c>
      <c r="C455" t="s">
        <v>3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 t="b">
        <f t="shared" si="7"/>
        <v>1</v>
      </c>
    </row>
    <row r="456" spans="1:12" x14ac:dyDescent="0.25">
      <c r="A456" t="s">
        <v>7</v>
      </c>
      <c r="B456">
        <v>66</v>
      </c>
      <c r="C456" t="s">
        <v>6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 t="b">
        <f t="shared" si="7"/>
        <v>1</v>
      </c>
    </row>
    <row r="457" spans="1:12" x14ac:dyDescent="0.25">
      <c r="A457" t="s">
        <v>7</v>
      </c>
      <c r="B457">
        <v>66</v>
      </c>
      <c r="C457" t="s">
        <v>1</v>
      </c>
      <c r="D457">
        <v>12</v>
      </c>
      <c r="E457">
        <v>0</v>
      </c>
      <c r="F457">
        <v>1</v>
      </c>
      <c r="G457">
        <v>5</v>
      </c>
      <c r="H457">
        <v>0</v>
      </c>
      <c r="I457">
        <v>5</v>
      </c>
      <c r="J457">
        <v>0</v>
      </c>
      <c r="K457">
        <v>1</v>
      </c>
      <c r="L457" t="b">
        <f t="shared" si="7"/>
        <v>1</v>
      </c>
    </row>
    <row r="458" spans="1:12" x14ac:dyDescent="0.25">
      <c r="A458" t="s">
        <v>7</v>
      </c>
      <c r="B458">
        <v>66</v>
      </c>
      <c r="C458" t="s">
        <v>10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 t="b">
        <f t="shared" si="7"/>
        <v>1</v>
      </c>
    </row>
    <row r="459" spans="1:12" x14ac:dyDescent="0.25">
      <c r="A459" t="s">
        <v>7</v>
      </c>
      <c r="B459">
        <v>66</v>
      </c>
      <c r="C459" t="s">
        <v>11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 t="b">
        <f t="shared" si="7"/>
        <v>1</v>
      </c>
    </row>
    <row r="460" spans="1:12" x14ac:dyDescent="0.25">
      <c r="A460" t="s">
        <v>7</v>
      </c>
      <c r="B460">
        <v>66</v>
      </c>
      <c r="C460" t="s">
        <v>9</v>
      </c>
      <c r="D460">
        <v>3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 t="b">
        <f t="shared" si="7"/>
        <v>1</v>
      </c>
    </row>
    <row r="461" spans="1:12" x14ac:dyDescent="0.25">
      <c r="A461" t="s">
        <v>7</v>
      </c>
      <c r="B461">
        <v>67</v>
      </c>
      <c r="C461" t="s">
        <v>2</v>
      </c>
      <c r="D461">
        <v>5</v>
      </c>
      <c r="E461">
        <v>0</v>
      </c>
      <c r="F461">
        <v>0</v>
      </c>
      <c r="G461">
        <v>1</v>
      </c>
      <c r="H461">
        <v>0</v>
      </c>
      <c r="I461">
        <v>4</v>
      </c>
      <c r="J461">
        <v>0</v>
      </c>
      <c r="K461">
        <v>0</v>
      </c>
      <c r="L461" t="b">
        <f t="shared" si="7"/>
        <v>1</v>
      </c>
    </row>
    <row r="462" spans="1:12" x14ac:dyDescent="0.25">
      <c r="A462" t="s">
        <v>7</v>
      </c>
      <c r="B462">
        <v>67</v>
      </c>
      <c r="C462" t="s">
        <v>3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 t="b">
        <f t="shared" si="7"/>
        <v>1</v>
      </c>
    </row>
    <row r="463" spans="1:12" x14ac:dyDescent="0.25">
      <c r="A463" t="s">
        <v>7</v>
      </c>
      <c r="B463">
        <v>67</v>
      </c>
      <c r="C463" t="s">
        <v>1</v>
      </c>
      <c r="D463">
        <v>8</v>
      </c>
      <c r="E463">
        <v>0</v>
      </c>
      <c r="F463">
        <v>2</v>
      </c>
      <c r="G463">
        <v>2</v>
      </c>
      <c r="H463">
        <v>0</v>
      </c>
      <c r="I463">
        <v>4</v>
      </c>
      <c r="J463">
        <v>0</v>
      </c>
      <c r="K463">
        <v>0</v>
      </c>
      <c r="L463" t="b">
        <f t="shared" si="7"/>
        <v>1</v>
      </c>
    </row>
    <row r="464" spans="1:12" x14ac:dyDescent="0.25">
      <c r="A464" t="s">
        <v>7</v>
      </c>
      <c r="B464">
        <v>67</v>
      </c>
      <c r="C464" t="s">
        <v>11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 t="b">
        <f t="shared" si="7"/>
        <v>1</v>
      </c>
    </row>
    <row r="465" spans="1:12" x14ac:dyDescent="0.25">
      <c r="A465" t="s">
        <v>7</v>
      </c>
      <c r="B465">
        <v>68</v>
      </c>
      <c r="C465" t="s">
        <v>2</v>
      </c>
      <c r="D465">
        <v>21</v>
      </c>
      <c r="E465">
        <v>0</v>
      </c>
      <c r="F465">
        <v>1</v>
      </c>
      <c r="G465">
        <v>12</v>
      </c>
      <c r="H465">
        <v>0</v>
      </c>
      <c r="I465">
        <v>8</v>
      </c>
      <c r="J465">
        <v>0</v>
      </c>
      <c r="K465">
        <v>0</v>
      </c>
      <c r="L465" t="b">
        <f t="shared" si="7"/>
        <v>1</v>
      </c>
    </row>
    <row r="466" spans="1:12" x14ac:dyDescent="0.25">
      <c r="A466" t="s">
        <v>7</v>
      </c>
      <c r="B466">
        <v>68</v>
      </c>
      <c r="C466" t="s">
        <v>84</v>
      </c>
      <c r="D466">
        <v>3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2</v>
      </c>
      <c r="L466" t="b">
        <f t="shared" si="7"/>
        <v>1</v>
      </c>
    </row>
    <row r="467" spans="1:12" x14ac:dyDescent="0.25">
      <c r="A467" t="s">
        <v>7</v>
      </c>
      <c r="B467">
        <v>68</v>
      </c>
      <c r="C467" t="s">
        <v>3</v>
      </c>
      <c r="D467">
        <v>11</v>
      </c>
      <c r="E467">
        <v>4</v>
      </c>
      <c r="F467">
        <v>3</v>
      </c>
      <c r="G467">
        <v>3</v>
      </c>
      <c r="H467">
        <v>0</v>
      </c>
      <c r="I467">
        <v>0</v>
      </c>
      <c r="J467">
        <v>0</v>
      </c>
      <c r="K467">
        <v>1</v>
      </c>
      <c r="L467" t="b">
        <f t="shared" si="7"/>
        <v>1</v>
      </c>
    </row>
    <row r="468" spans="1:12" x14ac:dyDescent="0.25">
      <c r="A468" t="s">
        <v>7</v>
      </c>
      <c r="B468">
        <v>68</v>
      </c>
      <c r="C468" t="s">
        <v>5</v>
      </c>
      <c r="D468">
        <v>3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1</v>
      </c>
      <c r="L468" t="b">
        <f t="shared" si="7"/>
        <v>1</v>
      </c>
    </row>
    <row r="469" spans="1:12" x14ac:dyDescent="0.25">
      <c r="A469" t="s">
        <v>7</v>
      </c>
      <c r="B469">
        <v>68</v>
      </c>
      <c r="C469" t="s">
        <v>6</v>
      </c>
      <c r="D469">
        <v>7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6</v>
      </c>
      <c r="L469" t="b">
        <f t="shared" si="7"/>
        <v>1</v>
      </c>
    </row>
    <row r="470" spans="1:12" x14ac:dyDescent="0.25">
      <c r="A470" t="s">
        <v>7</v>
      </c>
      <c r="B470">
        <v>68</v>
      </c>
      <c r="C470" t="s">
        <v>1</v>
      </c>
      <c r="D470">
        <v>41</v>
      </c>
      <c r="E470">
        <v>0</v>
      </c>
      <c r="F470">
        <v>4</v>
      </c>
      <c r="G470">
        <v>22</v>
      </c>
      <c r="H470">
        <v>0</v>
      </c>
      <c r="I470">
        <v>8</v>
      </c>
      <c r="J470">
        <v>0</v>
      </c>
      <c r="K470">
        <v>7</v>
      </c>
      <c r="L470" t="b">
        <f t="shared" si="7"/>
        <v>1</v>
      </c>
    </row>
    <row r="471" spans="1:12" x14ac:dyDescent="0.25">
      <c r="A471" t="s">
        <v>7</v>
      </c>
      <c r="B471">
        <v>68</v>
      </c>
      <c r="C471" t="s">
        <v>10</v>
      </c>
      <c r="D471">
        <v>3</v>
      </c>
      <c r="E471">
        <v>0</v>
      </c>
      <c r="F471">
        <v>0</v>
      </c>
      <c r="G471">
        <v>1</v>
      </c>
      <c r="H471">
        <v>0</v>
      </c>
      <c r="I471">
        <v>2</v>
      </c>
      <c r="J471">
        <v>0</v>
      </c>
      <c r="K471">
        <v>0</v>
      </c>
      <c r="L471" t="b">
        <f t="shared" si="7"/>
        <v>1</v>
      </c>
    </row>
    <row r="472" spans="1:12" x14ac:dyDescent="0.25">
      <c r="A472" t="s">
        <v>7</v>
      </c>
      <c r="B472">
        <v>68</v>
      </c>
      <c r="C472" t="s">
        <v>11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 t="b">
        <f t="shared" si="7"/>
        <v>1</v>
      </c>
    </row>
    <row r="473" spans="1:12" x14ac:dyDescent="0.25">
      <c r="A473" t="s">
        <v>7</v>
      </c>
      <c r="B473">
        <v>68</v>
      </c>
      <c r="C473" t="s">
        <v>4</v>
      </c>
      <c r="D473">
        <v>7</v>
      </c>
      <c r="E473">
        <v>0</v>
      </c>
      <c r="F473">
        <v>3</v>
      </c>
      <c r="G473">
        <v>0</v>
      </c>
      <c r="H473">
        <v>0</v>
      </c>
      <c r="I473">
        <v>0</v>
      </c>
      <c r="J473">
        <v>3</v>
      </c>
      <c r="K473">
        <v>1</v>
      </c>
      <c r="L473" t="b">
        <f t="shared" si="7"/>
        <v>1</v>
      </c>
    </row>
    <row r="474" spans="1:12" x14ac:dyDescent="0.25">
      <c r="A474" t="s">
        <v>7</v>
      </c>
      <c r="B474">
        <v>68</v>
      </c>
      <c r="C474" t="s">
        <v>9</v>
      </c>
      <c r="D474">
        <v>7</v>
      </c>
      <c r="E474">
        <v>0</v>
      </c>
      <c r="F474">
        <v>2</v>
      </c>
      <c r="G474">
        <v>1</v>
      </c>
      <c r="H474">
        <v>0</v>
      </c>
      <c r="I474">
        <v>1</v>
      </c>
      <c r="J474">
        <v>0</v>
      </c>
      <c r="K474">
        <v>3</v>
      </c>
      <c r="L474" t="b">
        <f t="shared" si="7"/>
        <v>1</v>
      </c>
    </row>
    <row r="475" spans="1:12" x14ac:dyDescent="0.25">
      <c r="A475" t="s">
        <v>7</v>
      </c>
      <c r="B475">
        <v>69</v>
      </c>
      <c r="C475" t="s">
        <v>2</v>
      </c>
      <c r="D475">
        <v>22</v>
      </c>
      <c r="E475">
        <v>0</v>
      </c>
      <c r="F475">
        <v>0</v>
      </c>
      <c r="G475">
        <v>8</v>
      </c>
      <c r="H475">
        <v>0</v>
      </c>
      <c r="I475">
        <v>14</v>
      </c>
      <c r="J475">
        <v>0</v>
      </c>
      <c r="K475">
        <v>0</v>
      </c>
      <c r="L475" t="b">
        <f t="shared" si="7"/>
        <v>1</v>
      </c>
    </row>
    <row r="476" spans="1:12" x14ac:dyDescent="0.25">
      <c r="A476" t="s">
        <v>7</v>
      </c>
      <c r="B476">
        <v>69</v>
      </c>
      <c r="C476" t="s">
        <v>84</v>
      </c>
      <c r="D476">
        <v>2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 t="b">
        <f t="shared" si="7"/>
        <v>1</v>
      </c>
    </row>
    <row r="477" spans="1:12" x14ac:dyDescent="0.25">
      <c r="A477" t="s">
        <v>7</v>
      </c>
      <c r="B477">
        <v>69</v>
      </c>
      <c r="C477" t="s">
        <v>3</v>
      </c>
      <c r="D477">
        <v>4</v>
      </c>
      <c r="E477">
        <v>2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 t="b">
        <f t="shared" si="7"/>
        <v>1</v>
      </c>
    </row>
    <row r="478" spans="1:12" x14ac:dyDescent="0.25">
      <c r="A478" t="s">
        <v>7</v>
      </c>
      <c r="B478">
        <v>69</v>
      </c>
      <c r="C478" t="s">
        <v>5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 t="b">
        <f t="shared" si="7"/>
        <v>1</v>
      </c>
    </row>
    <row r="479" spans="1:12" x14ac:dyDescent="0.25">
      <c r="A479" t="s">
        <v>7</v>
      </c>
      <c r="B479">
        <v>69</v>
      </c>
      <c r="C479" t="s">
        <v>6</v>
      </c>
      <c r="D479">
        <v>3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2</v>
      </c>
      <c r="L479" t="b">
        <f t="shared" si="7"/>
        <v>1</v>
      </c>
    </row>
    <row r="480" spans="1:12" x14ac:dyDescent="0.25">
      <c r="A480" t="s">
        <v>7</v>
      </c>
      <c r="B480">
        <v>69</v>
      </c>
      <c r="C480" t="s">
        <v>1</v>
      </c>
      <c r="D480">
        <v>29</v>
      </c>
      <c r="E480">
        <v>0</v>
      </c>
      <c r="F480">
        <v>2</v>
      </c>
      <c r="G480">
        <v>10</v>
      </c>
      <c r="H480">
        <v>0</v>
      </c>
      <c r="I480">
        <v>14</v>
      </c>
      <c r="J480">
        <v>0</v>
      </c>
      <c r="K480">
        <v>3</v>
      </c>
      <c r="L480" t="b">
        <f t="shared" si="7"/>
        <v>1</v>
      </c>
    </row>
    <row r="481" spans="1:12" x14ac:dyDescent="0.25">
      <c r="A481" t="s">
        <v>7</v>
      </c>
      <c r="B481">
        <v>69</v>
      </c>
      <c r="C481" t="s">
        <v>10</v>
      </c>
      <c r="D481">
        <v>3</v>
      </c>
      <c r="E481">
        <v>0</v>
      </c>
      <c r="F481">
        <v>0</v>
      </c>
      <c r="G481">
        <v>2</v>
      </c>
      <c r="H481">
        <v>0</v>
      </c>
      <c r="I481">
        <v>1</v>
      </c>
      <c r="J481">
        <v>0</v>
      </c>
      <c r="K481">
        <v>0</v>
      </c>
      <c r="L481" t="b">
        <f t="shared" si="7"/>
        <v>1</v>
      </c>
    </row>
    <row r="482" spans="1:12" x14ac:dyDescent="0.25">
      <c r="A482" t="s">
        <v>7</v>
      </c>
      <c r="B482">
        <v>69</v>
      </c>
      <c r="C482" t="s">
        <v>4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1</v>
      </c>
      <c r="L482" t="b">
        <f t="shared" si="7"/>
        <v>1</v>
      </c>
    </row>
    <row r="483" spans="1:12" x14ac:dyDescent="0.25">
      <c r="A483" t="s">
        <v>7</v>
      </c>
      <c r="B483">
        <v>69</v>
      </c>
      <c r="C483" t="s">
        <v>9</v>
      </c>
      <c r="D483">
        <v>2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 t="b">
        <f t="shared" si="7"/>
        <v>1</v>
      </c>
    </row>
    <row r="484" spans="1:12" x14ac:dyDescent="0.25">
      <c r="A484" t="s">
        <v>7</v>
      </c>
      <c r="B484">
        <v>70</v>
      </c>
      <c r="C484" t="s">
        <v>2</v>
      </c>
      <c r="D484">
        <v>6</v>
      </c>
      <c r="E484">
        <v>0</v>
      </c>
      <c r="F484">
        <v>1</v>
      </c>
      <c r="G484">
        <v>0</v>
      </c>
      <c r="H484">
        <v>0</v>
      </c>
      <c r="I484">
        <v>5</v>
      </c>
      <c r="J484">
        <v>0</v>
      </c>
      <c r="K484">
        <v>0</v>
      </c>
      <c r="L484" t="b">
        <f t="shared" si="7"/>
        <v>1</v>
      </c>
    </row>
    <row r="485" spans="1:12" x14ac:dyDescent="0.25">
      <c r="A485" t="s">
        <v>7</v>
      </c>
      <c r="B485">
        <v>70</v>
      </c>
      <c r="C485" t="s">
        <v>3</v>
      </c>
      <c r="D485">
        <v>3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 t="b">
        <f t="shared" si="7"/>
        <v>1</v>
      </c>
    </row>
    <row r="486" spans="1:12" x14ac:dyDescent="0.25">
      <c r="A486" t="s">
        <v>7</v>
      </c>
      <c r="B486">
        <v>70</v>
      </c>
      <c r="C486" t="s">
        <v>6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 t="b">
        <f t="shared" si="7"/>
        <v>1</v>
      </c>
    </row>
    <row r="487" spans="1:12" x14ac:dyDescent="0.25">
      <c r="A487" t="s">
        <v>7</v>
      </c>
      <c r="B487">
        <v>70</v>
      </c>
      <c r="C487" t="s">
        <v>1</v>
      </c>
      <c r="D487">
        <v>7</v>
      </c>
      <c r="E487">
        <v>0</v>
      </c>
      <c r="F487">
        <v>1</v>
      </c>
      <c r="G487">
        <v>0</v>
      </c>
      <c r="H487">
        <v>0</v>
      </c>
      <c r="I487">
        <v>5</v>
      </c>
      <c r="J487">
        <v>0</v>
      </c>
      <c r="K487">
        <v>1</v>
      </c>
      <c r="L487" t="b">
        <f t="shared" si="7"/>
        <v>1</v>
      </c>
    </row>
    <row r="488" spans="1:12" x14ac:dyDescent="0.25">
      <c r="A488" t="s">
        <v>7</v>
      </c>
      <c r="B488">
        <v>70</v>
      </c>
      <c r="C488" t="s">
        <v>4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 t="b">
        <f t="shared" si="7"/>
        <v>1</v>
      </c>
    </row>
    <row r="489" spans="1:12" x14ac:dyDescent="0.25">
      <c r="A489" t="s">
        <v>7</v>
      </c>
      <c r="B489">
        <v>70</v>
      </c>
      <c r="C489" t="s">
        <v>9</v>
      </c>
      <c r="D489">
        <v>2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 t="b">
        <f t="shared" si="7"/>
        <v>1</v>
      </c>
    </row>
    <row r="490" spans="1:12" x14ac:dyDescent="0.25">
      <c r="A490" t="s">
        <v>7</v>
      </c>
      <c r="B490">
        <v>71</v>
      </c>
      <c r="C490" t="s">
        <v>2</v>
      </c>
      <c r="D490">
        <v>16</v>
      </c>
      <c r="E490">
        <v>0</v>
      </c>
      <c r="F490">
        <v>0</v>
      </c>
      <c r="G490">
        <v>7</v>
      </c>
      <c r="H490">
        <v>0</v>
      </c>
      <c r="I490">
        <v>9</v>
      </c>
      <c r="J490">
        <v>0</v>
      </c>
      <c r="K490">
        <v>0</v>
      </c>
      <c r="L490" t="b">
        <f t="shared" si="7"/>
        <v>1</v>
      </c>
    </row>
    <row r="491" spans="1:12" x14ac:dyDescent="0.25">
      <c r="A491" t="s">
        <v>7</v>
      </c>
      <c r="B491">
        <v>71</v>
      </c>
      <c r="C491" t="s">
        <v>84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 t="b">
        <f t="shared" si="7"/>
        <v>1</v>
      </c>
    </row>
    <row r="492" spans="1:12" x14ac:dyDescent="0.25">
      <c r="A492" t="s">
        <v>7</v>
      </c>
      <c r="B492">
        <v>71</v>
      </c>
      <c r="C492" t="s">
        <v>3</v>
      </c>
      <c r="D492">
        <v>5</v>
      </c>
      <c r="E492">
        <v>2</v>
      </c>
      <c r="F492">
        <v>1</v>
      </c>
      <c r="G492">
        <v>2</v>
      </c>
      <c r="H492">
        <v>0</v>
      </c>
      <c r="I492">
        <v>0</v>
      </c>
      <c r="J492">
        <v>0</v>
      </c>
      <c r="K492">
        <v>0</v>
      </c>
      <c r="L492" t="b">
        <f t="shared" si="7"/>
        <v>1</v>
      </c>
    </row>
    <row r="493" spans="1:12" x14ac:dyDescent="0.25">
      <c r="A493" t="s">
        <v>7</v>
      </c>
      <c r="B493">
        <v>71</v>
      </c>
      <c r="C493" t="s">
        <v>5</v>
      </c>
      <c r="D493">
        <v>1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 t="b">
        <f t="shared" si="7"/>
        <v>1</v>
      </c>
    </row>
    <row r="494" spans="1:12" x14ac:dyDescent="0.25">
      <c r="A494" t="s">
        <v>7</v>
      </c>
      <c r="B494">
        <v>71</v>
      </c>
      <c r="C494" t="s">
        <v>6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</v>
      </c>
      <c r="L494" t="b">
        <f t="shared" si="7"/>
        <v>1</v>
      </c>
    </row>
    <row r="495" spans="1:12" x14ac:dyDescent="0.25">
      <c r="A495" t="s">
        <v>7</v>
      </c>
      <c r="B495">
        <v>71</v>
      </c>
      <c r="C495" t="s">
        <v>1</v>
      </c>
      <c r="D495">
        <v>28</v>
      </c>
      <c r="E495">
        <v>0</v>
      </c>
      <c r="F495">
        <v>6</v>
      </c>
      <c r="G495">
        <v>11</v>
      </c>
      <c r="H495">
        <v>0</v>
      </c>
      <c r="I495">
        <v>9</v>
      </c>
      <c r="J495">
        <v>0</v>
      </c>
      <c r="K495">
        <v>2</v>
      </c>
      <c r="L495" t="b">
        <f t="shared" si="7"/>
        <v>1</v>
      </c>
    </row>
    <row r="496" spans="1:12" x14ac:dyDescent="0.25">
      <c r="A496" t="s">
        <v>7</v>
      </c>
      <c r="B496">
        <v>71</v>
      </c>
      <c r="C496" t="s">
        <v>10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 t="b">
        <f t="shared" si="7"/>
        <v>1</v>
      </c>
    </row>
    <row r="497" spans="1:12" x14ac:dyDescent="0.25">
      <c r="A497" t="s">
        <v>7</v>
      </c>
      <c r="B497">
        <v>71</v>
      </c>
      <c r="C497" t="s">
        <v>4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1</v>
      </c>
      <c r="L497" t="b">
        <f t="shared" si="7"/>
        <v>1</v>
      </c>
    </row>
    <row r="498" spans="1:12" x14ac:dyDescent="0.25">
      <c r="A498" t="s">
        <v>7</v>
      </c>
      <c r="B498">
        <v>72</v>
      </c>
      <c r="C498" t="s">
        <v>2</v>
      </c>
      <c r="D498">
        <v>11</v>
      </c>
      <c r="E498">
        <v>0</v>
      </c>
      <c r="F498">
        <v>0</v>
      </c>
      <c r="G498">
        <v>4</v>
      </c>
      <c r="H498">
        <v>0</v>
      </c>
      <c r="I498">
        <v>7</v>
      </c>
      <c r="J498">
        <v>0</v>
      </c>
      <c r="K498">
        <v>0</v>
      </c>
      <c r="L498" t="b">
        <f t="shared" si="7"/>
        <v>1</v>
      </c>
    </row>
    <row r="499" spans="1:12" x14ac:dyDescent="0.25">
      <c r="A499" t="s">
        <v>7</v>
      </c>
      <c r="B499">
        <v>72</v>
      </c>
      <c r="C499" t="s">
        <v>84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 t="b">
        <f t="shared" si="7"/>
        <v>1</v>
      </c>
    </row>
    <row r="500" spans="1:12" x14ac:dyDescent="0.25">
      <c r="A500" t="s">
        <v>7</v>
      </c>
      <c r="B500">
        <v>72</v>
      </c>
      <c r="C500" t="s">
        <v>3</v>
      </c>
      <c r="D500">
        <v>4</v>
      </c>
      <c r="E500">
        <v>3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 t="b">
        <f t="shared" si="7"/>
        <v>1</v>
      </c>
    </row>
    <row r="501" spans="1:12" x14ac:dyDescent="0.25">
      <c r="A501" t="s">
        <v>7</v>
      </c>
      <c r="B501">
        <v>72</v>
      </c>
      <c r="C501" t="s">
        <v>6</v>
      </c>
      <c r="D501">
        <v>3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2</v>
      </c>
      <c r="L501" t="b">
        <f t="shared" si="7"/>
        <v>1</v>
      </c>
    </row>
    <row r="502" spans="1:12" x14ac:dyDescent="0.25">
      <c r="A502" t="s">
        <v>7</v>
      </c>
      <c r="B502">
        <v>72</v>
      </c>
      <c r="C502" t="s">
        <v>1</v>
      </c>
      <c r="D502">
        <v>17</v>
      </c>
      <c r="E502">
        <v>0</v>
      </c>
      <c r="F502">
        <v>4</v>
      </c>
      <c r="G502">
        <v>6</v>
      </c>
      <c r="H502">
        <v>0</v>
      </c>
      <c r="I502">
        <v>7</v>
      </c>
      <c r="J502">
        <v>0</v>
      </c>
      <c r="K502">
        <v>0</v>
      </c>
      <c r="L502" t="b">
        <f t="shared" si="7"/>
        <v>1</v>
      </c>
    </row>
    <row r="503" spans="1:12" x14ac:dyDescent="0.25">
      <c r="A503" t="s">
        <v>7</v>
      </c>
      <c r="B503">
        <v>72</v>
      </c>
      <c r="C503" t="s">
        <v>11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 t="b">
        <f t="shared" si="7"/>
        <v>1</v>
      </c>
    </row>
    <row r="504" spans="1:12" x14ac:dyDescent="0.25">
      <c r="A504" t="s">
        <v>7</v>
      </c>
      <c r="B504">
        <v>72</v>
      </c>
      <c r="C504" t="s">
        <v>4</v>
      </c>
      <c r="D504">
        <v>3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1</v>
      </c>
      <c r="L504" t="b">
        <f t="shared" si="7"/>
        <v>1</v>
      </c>
    </row>
    <row r="505" spans="1:12" x14ac:dyDescent="0.25">
      <c r="A505" t="s">
        <v>7</v>
      </c>
      <c r="B505">
        <v>72</v>
      </c>
      <c r="C505" t="s">
        <v>9</v>
      </c>
      <c r="D505">
        <v>2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1</v>
      </c>
      <c r="L505" t="b">
        <f t="shared" si="7"/>
        <v>1</v>
      </c>
    </row>
    <row r="506" spans="1:12" x14ac:dyDescent="0.25">
      <c r="A506" t="s">
        <v>7</v>
      </c>
      <c r="B506">
        <v>73</v>
      </c>
      <c r="C506" t="s">
        <v>2</v>
      </c>
      <c r="D506">
        <v>17</v>
      </c>
      <c r="E506">
        <v>0</v>
      </c>
      <c r="F506">
        <v>0</v>
      </c>
      <c r="G506">
        <v>2</v>
      </c>
      <c r="H506">
        <v>0</v>
      </c>
      <c r="I506">
        <v>15</v>
      </c>
      <c r="J506">
        <v>0</v>
      </c>
      <c r="K506">
        <v>0</v>
      </c>
      <c r="L506" t="b">
        <f t="shared" si="7"/>
        <v>1</v>
      </c>
    </row>
    <row r="507" spans="1:12" x14ac:dyDescent="0.25">
      <c r="A507" t="s">
        <v>7</v>
      </c>
      <c r="B507">
        <v>73</v>
      </c>
      <c r="C507" t="s">
        <v>84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 t="b">
        <f t="shared" si="7"/>
        <v>1</v>
      </c>
    </row>
    <row r="508" spans="1:12" x14ac:dyDescent="0.25">
      <c r="A508" t="s">
        <v>7</v>
      </c>
      <c r="B508">
        <v>73</v>
      </c>
      <c r="C508" t="s">
        <v>3</v>
      </c>
      <c r="D508">
        <v>3</v>
      </c>
      <c r="E508">
        <v>0</v>
      </c>
      <c r="F508">
        <v>1</v>
      </c>
      <c r="G508">
        <v>2</v>
      </c>
      <c r="H508">
        <v>0</v>
      </c>
      <c r="I508">
        <v>0</v>
      </c>
      <c r="J508">
        <v>0</v>
      </c>
      <c r="K508">
        <v>0</v>
      </c>
      <c r="L508" t="b">
        <f t="shared" si="7"/>
        <v>1</v>
      </c>
    </row>
    <row r="509" spans="1:12" x14ac:dyDescent="0.25">
      <c r="A509" t="s">
        <v>7</v>
      </c>
      <c r="B509">
        <v>73</v>
      </c>
      <c r="C509" t="s">
        <v>1</v>
      </c>
      <c r="D509">
        <v>24</v>
      </c>
      <c r="E509">
        <v>0</v>
      </c>
      <c r="F509">
        <v>3</v>
      </c>
      <c r="G509">
        <v>7</v>
      </c>
      <c r="H509">
        <v>0</v>
      </c>
      <c r="I509">
        <v>14</v>
      </c>
      <c r="J509">
        <v>0</v>
      </c>
      <c r="K509">
        <v>0</v>
      </c>
      <c r="L509" t="b">
        <f t="shared" si="7"/>
        <v>1</v>
      </c>
    </row>
    <row r="510" spans="1:12" x14ac:dyDescent="0.25">
      <c r="A510" t="s">
        <v>7</v>
      </c>
      <c r="B510">
        <v>73</v>
      </c>
      <c r="C510" t="s">
        <v>10</v>
      </c>
      <c r="D510">
        <v>2</v>
      </c>
      <c r="E510">
        <v>0</v>
      </c>
      <c r="F510">
        <v>0</v>
      </c>
      <c r="G510">
        <v>1</v>
      </c>
      <c r="H510">
        <v>0</v>
      </c>
      <c r="I510">
        <v>1</v>
      </c>
      <c r="J510">
        <v>0</v>
      </c>
      <c r="K510">
        <v>0</v>
      </c>
      <c r="L510" t="b">
        <f t="shared" si="7"/>
        <v>1</v>
      </c>
    </row>
    <row r="511" spans="1:12" x14ac:dyDescent="0.25">
      <c r="A511" t="s">
        <v>7</v>
      </c>
      <c r="B511">
        <v>74</v>
      </c>
      <c r="C511" t="s">
        <v>2</v>
      </c>
      <c r="D511">
        <v>16</v>
      </c>
      <c r="E511">
        <v>0</v>
      </c>
      <c r="F511">
        <v>1</v>
      </c>
      <c r="G511">
        <v>13</v>
      </c>
      <c r="H511">
        <v>0</v>
      </c>
      <c r="I511">
        <v>2</v>
      </c>
      <c r="J511">
        <v>0</v>
      </c>
      <c r="K511">
        <v>0</v>
      </c>
      <c r="L511" t="b">
        <f t="shared" si="7"/>
        <v>1</v>
      </c>
    </row>
    <row r="512" spans="1:12" x14ac:dyDescent="0.25">
      <c r="A512" t="s">
        <v>7</v>
      </c>
      <c r="B512">
        <v>74</v>
      </c>
      <c r="C512" t="s">
        <v>84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 t="b">
        <f t="shared" si="7"/>
        <v>1</v>
      </c>
    </row>
    <row r="513" spans="1:12" x14ac:dyDescent="0.25">
      <c r="A513" t="s">
        <v>7</v>
      </c>
      <c r="B513">
        <v>74</v>
      </c>
      <c r="C513" t="s">
        <v>3</v>
      </c>
      <c r="D513">
        <v>2</v>
      </c>
      <c r="E513">
        <v>0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 t="b">
        <f t="shared" si="7"/>
        <v>1</v>
      </c>
    </row>
    <row r="514" spans="1:12" x14ac:dyDescent="0.25">
      <c r="A514" t="s">
        <v>7</v>
      </c>
      <c r="B514">
        <v>74</v>
      </c>
      <c r="C514" t="s">
        <v>6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 t="b">
        <f t="shared" si="7"/>
        <v>1</v>
      </c>
    </row>
    <row r="515" spans="1:12" x14ac:dyDescent="0.25">
      <c r="A515" t="s">
        <v>7</v>
      </c>
      <c r="B515">
        <v>74</v>
      </c>
      <c r="C515" t="s">
        <v>1</v>
      </c>
      <c r="D515">
        <v>20</v>
      </c>
      <c r="E515">
        <v>0</v>
      </c>
      <c r="F515">
        <v>5</v>
      </c>
      <c r="G515">
        <v>12</v>
      </c>
      <c r="H515">
        <v>0</v>
      </c>
      <c r="I515">
        <v>2</v>
      </c>
      <c r="J515">
        <v>0</v>
      </c>
      <c r="K515">
        <v>1</v>
      </c>
      <c r="L515" t="b">
        <f t="shared" si="7"/>
        <v>1</v>
      </c>
    </row>
    <row r="516" spans="1:12" x14ac:dyDescent="0.25">
      <c r="A516" t="s">
        <v>7</v>
      </c>
      <c r="B516">
        <v>74</v>
      </c>
      <c r="C516" t="s">
        <v>10</v>
      </c>
      <c r="D516">
        <v>2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 t="b">
        <f t="shared" ref="L516:L579" si="8">SUM(E516:K516)=D516</f>
        <v>1</v>
      </c>
    </row>
    <row r="517" spans="1:12" x14ac:dyDescent="0.25">
      <c r="A517" t="s">
        <v>7</v>
      </c>
      <c r="B517">
        <v>74</v>
      </c>
      <c r="C517" t="s">
        <v>9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 t="b">
        <f t="shared" si="8"/>
        <v>1</v>
      </c>
    </row>
    <row r="518" spans="1:12" x14ac:dyDescent="0.25">
      <c r="A518" t="s">
        <v>7</v>
      </c>
      <c r="B518">
        <v>75</v>
      </c>
      <c r="C518" t="s">
        <v>2</v>
      </c>
      <c r="D518">
        <v>7</v>
      </c>
      <c r="E518">
        <v>0</v>
      </c>
      <c r="F518">
        <v>0</v>
      </c>
      <c r="G518">
        <v>1</v>
      </c>
      <c r="H518">
        <v>0</v>
      </c>
      <c r="I518">
        <v>6</v>
      </c>
      <c r="J518">
        <v>0</v>
      </c>
      <c r="K518">
        <v>0</v>
      </c>
      <c r="L518" t="b">
        <f t="shared" si="8"/>
        <v>1</v>
      </c>
    </row>
    <row r="519" spans="1:12" x14ac:dyDescent="0.25">
      <c r="A519" t="s">
        <v>7</v>
      </c>
      <c r="B519">
        <v>75</v>
      </c>
      <c r="C519" t="s">
        <v>3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 t="b">
        <f t="shared" si="8"/>
        <v>1</v>
      </c>
    </row>
    <row r="520" spans="1:12" x14ac:dyDescent="0.25">
      <c r="A520" t="s">
        <v>7</v>
      </c>
      <c r="B520">
        <v>75</v>
      </c>
      <c r="C520" t="s">
        <v>5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 t="b">
        <f t="shared" si="8"/>
        <v>1</v>
      </c>
    </row>
    <row r="521" spans="1:12" x14ac:dyDescent="0.25">
      <c r="A521" t="s">
        <v>7</v>
      </c>
      <c r="B521">
        <v>75</v>
      </c>
      <c r="C521" t="s">
        <v>6</v>
      </c>
      <c r="D521">
        <v>3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2</v>
      </c>
      <c r="L521" t="b">
        <f t="shared" si="8"/>
        <v>1</v>
      </c>
    </row>
    <row r="522" spans="1:12" x14ac:dyDescent="0.25">
      <c r="A522" t="s">
        <v>7</v>
      </c>
      <c r="B522">
        <v>75</v>
      </c>
      <c r="C522" t="s">
        <v>1</v>
      </c>
      <c r="D522">
        <v>9</v>
      </c>
      <c r="E522">
        <v>0</v>
      </c>
      <c r="F522">
        <v>2</v>
      </c>
      <c r="G522">
        <v>1</v>
      </c>
      <c r="H522">
        <v>0</v>
      </c>
      <c r="I522">
        <v>6</v>
      </c>
      <c r="J522">
        <v>0</v>
      </c>
      <c r="K522">
        <v>0</v>
      </c>
      <c r="L522" t="b">
        <f t="shared" si="8"/>
        <v>1</v>
      </c>
    </row>
    <row r="523" spans="1:12" x14ac:dyDescent="0.25">
      <c r="A523" t="s">
        <v>7</v>
      </c>
      <c r="B523">
        <v>75</v>
      </c>
      <c r="C523" t="s">
        <v>10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 t="b">
        <f t="shared" si="8"/>
        <v>1</v>
      </c>
    </row>
    <row r="524" spans="1:12" x14ac:dyDescent="0.25">
      <c r="A524" t="s">
        <v>7</v>
      </c>
      <c r="B524">
        <v>75</v>
      </c>
      <c r="C524" t="s">
        <v>4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 t="b">
        <f t="shared" si="8"/>
        <v>1</v>
      </c>
    </row>
    <row r="525" spans="1:12" x14ac:dyDescent="0.25">
      <c r="A525" t="s">
        <v>7</v>
      </c>
      <c r="B525">
        <v>75</v>
      </c>
      <c r="C525" t="s">
        <v>9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 t="b">
        <f t="shared" si="8"/>
        <v>1</v>
      </c>
    </row>
    <row r="526" spans="1:12" x14ac:dyDescent="0.25">
      <c r="A526" t="s">
        <v>7</v>
      </c>
      <c r="B526">
        <v>76</v>
      </c>
      <c r="C526" t="s">
        <v>2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3</v>
      </c>
      <c r="J526">
        <v>0</v>
      </c>
      <c r="K526">
        <v>0</v>
      </c>
      <c r="L526" t="b">
        <f t="shared" si="8"/>
        <v>1</v>
      </c>
    </row>
    <row r="527" spans="1:12" x14ac:dyDescent="0.25">
      <c r="A527" t="s">
        <v>7</v>
      </c>
      <c r="B527">
        <v>76</v>
      </c>
      <c r="C527" t="s">
        <v>84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 t="b">
        <f t="shared" si="8"/>
        <v>1</v>
      </c>
    </row>
    <row r="528" spans="1:12" x14ac:dyDescent="0.25">
      <c r="A528" t="s">
        <v>7</v>
      </c>
      <c r="B528">
        <v>76</v>
      </c>
      <c r="C528" t="s">
        <v>3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 t="b">
        <f t="shared" si="8"/>
        <v>1</v>
      </c>
    </row>
    <row r="529" spans="1:12" x14ac:dyDescent="0.25">
      <c r="A529" t="s">
        <v>7</v>
      </c>
      <c r="B529">
        <v>76</v>
      </c>
      <c r="C529" t="s">
        <v>6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 t="b">
        <f t="shared" si="8"/>
        <v>1</v>
      </c>
    </row>
    <row r="530" spans="1:12" x14ac:dyDescent="0.25">
      <c r="A530" t="s">
        <v>7</v>
      </c>
      <c r="B530">
        <v>76</v>
      </c>
      <c r="C530" t="s">
        <v>1</v>
      </c>
      <c r="D530">
        <v>6</v>
      </c>
      <c r="E530">
        <v>0</v>
      </c>
      <c r="F530">
        <v>0</v>
      </c>
      <c r="G530">
        <v>3</v>
      </c>
      <c r="H530">
        <v>0</v>
      </c>
      <c r="I530">
        <v>3</v>
      </c>
      <c r="J530">
        <v>0</v>
      </c>
      <c r="K530">
        <v>0</v>
      </c>
      <c r="L530" t="b">
        <f t="shared" si="8"/>
        <v>1</v>
      </c>
    </row>
    <row r="531" spans="1:12" x14ac:dyDescent="0.25">
      <c r="A531" t="s">
        <v>7</v>
      </c>
      <c r="B531">
        <v>76</v>
      </c>
      <c r="C531" t="s">
        <v>10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 t="b">
        <f t="shared" si="8"/>
        <v>1</v>
      </c>
    </row>
    <row r="532" spans="1:12" x14ac:dyDescent="0.25">
      <c r="A532" t="s">
        <v>7</v>
      </c>
      <c r="B532">
        <v>76</v>
      </c>
      <c r="C532" t="s">
        <v>4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 t="b">
        <f t="shared" si="8"/>
        <v>1</v>
      </c>
    </row>
    <row r="533" spans="1:12" x14ac:dyDescent="0.25">
      <c r="A533" t="s">
        <v>7</v>
      </c>
      <c r="B533">
        <v>77</v>
      </c>
      <c r="C533" t="s">
        <v>2</v>
      </c>
      <c r="D533">
        <v>8</v>
      </c>
      <c r="E533">
        <v>0</v>
      </c>
      <c r="F533">
        <v>0</v>
      </c>
      <c r="G533">
        <v>3</v>
      </c>
      <c r="H533">
        <v>0</v>
      </c>
      <c r="I533">
        <v>5</v>
      </c>
      <c r="J533">
        <v>0</v>
      </c>
      <c r="K533">
        <v>0</v>
      </c>
      <c r="L533" t="b">
        <f t="shared" si="8"/>
        <v>1</v>
      </c>
    </row>
    <row r="534" spans="1:12" x14ac:dyDescent="0.25">
      <c r="A534" t="s">
        <v>7</v>
      </c>
      <c r="B534">
        <v>77</v>
      </c>
      <c r="C534" t="s">
        <v>3</v>
      </c>
      <c r="D534">
        <v>2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 t="b">
        <f t="shared" si="8"/>
        <v>1</v>
      </c>
    </row>
    <row r="535" spans="1:12" x14ac:dyDescent="0.25">
      <c r="A535" t="s">
        <v>7</v>
      </c>
      <c r="B535">
        <v>77</v>
      </c>
      <c r="C535" t="s">
        <v>6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 t="b">
        <f t="shared" si="8"/>
        <v>1</v>
      </c>
    </row>
    <row r="536" spans="1:12" x14ac:dyDescent="0.25">
      <c r="A536" t="s">
        <v>7</v>
      </c>
      <c r="B536">
        <v>77</v>
      </c>
      <c r="C536" t="s">
        <v>1</v>
      </c>
      <c r="D536">
        <v>14</v>
      </c>
      <c r="E536">
        <v>0</v>
      </c>
      <c r="F536">
        <v>2</v>
      </c>
      <c r="G536">
        <v>4</v>
      </c>
      <c r="H536">
        <v>0</v>
      </c>
      <c r="I536">
        <v>5</v>
      </c>
      <c r="J536">
        <v>0</v>
      </c>
      <c r="K536">
        <v>3</v>
      </c>
      <c r="L536" t="b">
        <f t="shared" si="8"/>
        <v>1</v>
      </c>
    </row>
    <row r="537" spans="1:12" x14ac:dyDescent="0.25">
      <c r="A537" t="s">
        <v>7</v>
      </c>
      <c r="B537">
        <v>77</v>
      </c>
      <c r="C537" t="s">
        <v>10</v>
      </c>
      <c r="D537">
        <v>2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 t="b">
        <f t="shared" si="8"/>
        <v>1</v>
      </c>
    </row>
    <row r="538" spans="1:12" x14ac:dyDescent="0.25">
      <c r="A538" t="s">
        <v>7</v>
      </c>
      <c r="B538">
        <v>77</v>
      </c>
      <c r="C538" t="s">
        <v>11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 t="b">
        <f t="shared" si="8"/>
        <v>1</v>
      </c>
    </row>
    <row r="539" spans="1:12" x14ac:dyDescent="0.25">
      <c r="A539" t="s">
        <v>7</v>
      </c>
      <c r="B539">
        <v>77</v>
      </c>
      <c r="C539" t="s">
        <v>4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 t="b">
        <f t="shared" si="8"/>
        <v>1</v>
      </c>
    </row>
    <row r="540" spans="1:12" x14ac:dyDescent="0.25">
      <c r="A540" t="s">
        <v>7</v>
      </c>
      <c r="B540">
        <v>77</v>
      </c>
      <c r="C540" t="s">
        <v>9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 t="b">
        <f t="shared" si="8"/>
        <v>1</v>
      </c>
    </row>
    <row r="541" spans="1:12" x14ac:dyDescent="0.25">
      <c r="A541" t="s">
        <v>7</v>
      </c>
      <c r="B541">
        <v>78</v>
      </c>
      <c r="C541" t="s">
        <v>2</v>
      </c>
      <c r="D541">
        <v>53</v>
      </c>
      <c r="E541">
        <v>0</v>
      </c>
      <c r="F541">
        <v>2</v>
      </c>
      <c r="G541">
        <v>17</v>
      </c>
      <c r="H541">
        <v>0</v>
      </c>
      <c r="I541">
        <v>34</v>
      </c>
      <c r="J541">
        <v>0</v>
      </c>
      <c r="K541">
        <v>0</v>
      </c>
      <c r="L541" t="b">
        <f t="shared" si="8"/>
        <v>1</v>
      </c>
    </row>
    <row r="542" spans="1:12" x14ac:dyDescent="0.25">
      <c r="A542" t="s">
        <v>7</v>
      </c>
      <c r="B542">
        <v>78</v>
      </c>
      <c r="C542" t="s">
        <v>84</v>
      </c>
      <c r="D542">
        <v>5</v>
      </c>
      <c r="E542">
        <v>0</v>
      </c>
      <c r="F542">
        <v>4</v>
      </c>
      <c r="G542">
        <v>0</v>
      </c>
      <c r="H542">
        <v>0</v>
      </c>
      <c r="I542">
        <v>1</v>
      </c>
      <c r="J542">
        <v>0</v>
      </c>
      <c r="K542">
        <v>0</v>
      </c>
      <c r="L542" t="b">
        <f t="shared" si="8"/>
        <v>1</v>
      </c>
    </row>
    <row r="543" spans="1:12" x14ac:dyDescent="0.25">
      <c r="A543" t="s">
        <v>7</v>
      </c>
      <c r="B543">
        <v>78</v>
      </c>
      <c r="C543" t="s">
        <v>3</v>
      </c>
      <c r="D543">
        <v>9</v>
      </c>
      <c r="E543">
        <v>2</v>
      </c>
      <c r="F543">
        <v>4</v>
      </c>
      <c r="G543">
        <v>2</v>
      </c>
      <c r="H543">
        <v>0</v>
      </c>
      <c r="I543">
        <v>0</v>
      </c>
      <c r="J543">
        <v>0</v>
      </c>
      <c r="K543">
        <v>1</v>
      </c>
      <c r="L543" t="b">
        <f t="shared" si="8"/>
        <v>1</v>
      </c>
    </row>
    <row r="544" spans="1:12" x14ac:dyDescent="0.25">
      <c r="A544" t="s">
        <v>7</v>
      </c>
      <c r="B544">
        <v>78</v>
      </c>
      <c r="C544" t="s">
        <v>6</v>
      </c>
      <c r="D544">
        <v>9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8</v>
      </c>
      <c r="L544" t="b">
        <f t="shared" si="8"/>
        <v>1</v>
      </c>
    </row>
    <row r="545" spans="1:12" x14ac:dyDescent="0.25">
      <c r="A545" t="s">
        <v>7</v>
      </c>
      <c r="B545">
        <v>78</v>
      </c>
      <c r="C545" t="s">
        <v>1</v>
      </c>
      <c r="D545">
        <v>65</v>
      </c>
      <c r="E545">
        <v>0</v>
      </c>
      <c r="F545">
        <v>7</v>
      </c>
      <c r="G545">
        <v>20</v>
      </c>
      <c r="H545">
        <v>0</v>
      </c>
      <c r="I545">
        <v>34</v>
      </c>
      <c r="J545">
        <v>0</v>
      </c>
      <c r="K545">
        <v>4</v>
      </c>
      <c r="L545" t="b">
        <f t="shared" si="8"/>
        <v>1</v>
      </c>
    </row>
    <row r="546" spans="1:12" x14ac:dyDescent="0.25">
      <c r="A546" t="s">
        <v>7</v>
      </c>
      <c r="B546">
        <v>78</v>
      </c>
      <c r="C546" t="s">
        <v>10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0</v>
      </c>
      <c r="K546">
        <v>0</v>
      </c>
      <c r="L546" t="b">
        <f t="shared" si="8"/>
        <v>1</v>
      </c>
    </row>
    <row r="547" spans="1:12" x14ac:dyDescent="0.25">
      <c r="A547" t="s">
        <v>7</v>
      </c>
      <c r="B547">
        <v>78</v>
      </c>
      <c r="C547" t="s">
        <v>4</v>
      </c>
      <c r="D547">
        <v>4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 t="b">
        <f t="shared" si="8"/>
        <v>1</v>
      </c>
    </row>
    <row r="548" spans="1:12" x14ac:dyDescent="0.25">
      <c r="A548" t="s">
        <v>7</v>
      </c>
      <c r="B548">
        <v>78</v>
      </c>
      <c r="C548" t="s">
        <v>9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 t="b">
        <f t="shared" si="8"/>
        <v>1</v>
      </c>
    </row>
    <row r="549" spans="1:12" x14ac:dyDescent="0.25">
      <c r="A549" t="s">
        <v>7</v>
      </c>
      <c r="B549">
        <v>79</v>
      </c>
      <c r="C549" t="s">
        <v>2</v>
      </c>
      <c r="D549">
        <v>7</v>
      </c>
      <c r="E549">
        <v>0</v>
      </c>
      <c r="F549">
        <v>0</v>
      </c>
      <c r="G549">
        <v>4</v>
      </c>
      <c r="H549">
        <v>0</v>
      </c>
      <c r="I549">
        <v>3</v>
      </c>
      <c r="J549">
        <v>0</v>
      </c>
      <c r="K549">
        <v>0</v>
      </c>
      <c r="L549" t="b">
        <f t="shared" si="8"/>
        <v>1</v>
      </c>
    </row>
    <row r="550" spans="1:12" x14ac:dyDescent="0.25">
      <c r="A550" t="s">
        <v>7</v>
      </c>
      <c r="B550">
        <v>79</v>
      </c>
      <c r="C550" t="s">
        <v>84</v>
      </c>
      <c r="D550">
        <v>2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 t="b">
        <f t="shared" si="8"/>
        <v>1</v>
      </c>
    </row>
    <row r="551" spans="1:12" x14ac:dyDescent="0.25">
      <c r="A551" t="s">
        <v>7</v>
      </c>
      <c r="B551">
        <v>79</v>
      </c>
      <c r="C551" t="s">
        <v>3</v>
      </c>
      <c r="D551">
        <v>6</v>
      </c>
      <c r="E551">
        <v>3</v>
      </c>
      <c r="F551">
        <v>2</v>
      </c>
      <c r="G551">
        <v>1</v>
      </c>
      <c r="H551">
        <v>0</v>
      </c>
      <c r="I551">
        <v>0</v>
      </c>
      <c r="J551">
        <v>0</v>
      </c>
      <c r="K551">
        <v>0</v>
      </c>
      <c r="L551" t="b">
        <f t="shared" si="8"/>
        <v>1</v>
      </c>
    </row>
    <row r="552" spans="1:12" x14ac:dyDescent="0.25">
      <c r="A552" t="s">
        <v>7</v>
      </c>
      <c r="B552">
        <v>79</v>
      </c>
      <c r="C552" t="s">
        <v>5</v>
      </c>
      <c r="D552">
        <v>2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 t="b">
        <f t="shared" si="8"/>
        <v>1</v>
      </c>
    </row>
    <row r="553" spans="1:12" x14ac:dyDescent="0.25">
      <c r="A553" t="s">
        <v>7</v>
      </c>
      <c r="B553">
        <v>79</v>
      </c>
      <c r="C553" t="s">
        <v>6</v>
      </c>
      <c r="D553">
        <v>4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3</v>
      </c>
      <c r="L553" t="b">
        <f t="shared" si="8"/>
        <v>1</v>
      </c>
    </row>
    <row r="554" spans="1:12" x14ac:dyDescent="0.25">
      <c r="A554" t="s">
        <v>7</v>
      </c>
      <c r="B554">
        <v>79</v>
      </c>
      <c r="C554" t="s">
        <v>1</v>
      </c>
      <c r="D554">
        <v>14</v>
      </c>
      <c r="E554">
        <v>0</v>
      </c>
      <c r="F554">
        <v>5</v>
      </c>
      <c r="G554">
        <v>5</v>
      </c>
      <c r="H554">
        <v>0</v>
      </c>
      <c r="I554">
        <v>3</v>
      </c>
      <c r="J554">
        <v>0</v>
      </c>
      <c r="K554">
        <v>1</v>
      </c>
      <c r="L554" t="b">
        <f t="shared" si="8"/>
        <v>1</v>
      </c>
    </row>
    <row r="555" spans="1:12" x14ac:dyDescent="0.25">
      <c r="A555" t="s">
        <v>7</v>
      </c>
      <c r="B555">
        <v>79</v>
      </c>
      <c r="C555" t="s">
        <v>10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 t="b">
        <f t="shared" si="8"/>
        <v>1</v>
      </c>
    </row>
    <row r="556" spans="1:12" x14ac:dyDescent="0.25">
      <c r="A556" t="s">
        <v>7</v>
      </c>
      <c r="B556">
        <v>79</v>
      </c>
      <c r="C556" t="s">
        <v>4</v>
      </c>
      <c r="D556">
        <v>5</v>
      </c>
      <c r="E556">
        <v>0</v>
      </c>
      <c r="F556">
        <v>2</v>
      </c>
      <c r="G556">
        <v>1</v>
      </c>
      <c r="H556">
        <v>0</v>
      </c>
      <c r="I556">
        <v>0</v>
      </c>
      <c r="J556">
        <v>2</v>
      </c>
      <c r="K556">
        <v>0</v>
      </c>
      <c r="L556" t="b">
        <f t="shared" si="8"/>
        <v>1</v>
      </c>
    </row>
    <row r="557" spans="1:12" x14ac:dyDescent="0.25">
      <c r="A557" t="s">
        <v>7</v>
      </c>
      <c r="B557">
        <v>79</v>
      </c>
      <c r="C557" t="s">
        <v>9</v>
      </c>
      <c r="D557">
        <v>4</v>
      </c>
      <c r="E557">
        <v>0</v>
      </c>
      <c r="F557">
        <v>2</v>
      </c>
      <c r="G557">
        <v>0</v>
      </c>
      <c r="H557">
        <v>0</v>
      </c>
      <c r="I557">
        <v>1</v>
      </c>
      <c r="J557">
        <v>0</v>
      </c>
      <c r="K557">
        <v>1</v>
      </c>
      <c r="L557" t="b">
        <f t="shared" si="8"/>
        <v>1</v>
      </c>
    </row>
    <row r="558" spans="1:12" x14ac:dyDescent="0.25">
      <c r="A558" t="s">
        <v>7</v>
      </c>
      <c r="B558">
        <v>80</v>
      </c>
      <c r="C558" t="s">
        <v>2</v>
      </c>
      <c r="D558">
        <v>14</v>
      </c>
      <c r="E558">
        <v>0</v>
      </c>
      <c r="F558">
        <v>0</v>
      </c>
      <c r="G558">
        <v>6</v>
      </c>
      <c r="H558">
        <v>0</v>
      </c>
      <c r="I558">
        <v>8</v>
      </c>
      <c r="J558">
        <v>0</v>
      </c>
      <c r="K558">
        <v>0</v>
      </c>
      <c r="L558" t="b">
        <f t="shared" si="8"/>
        <v>1</v>
      </c>
    </row>
    <row r="559" spans="1:12" x14ac:dyDescent="0.25">
      <c r="A559" t="s">
        <v>7</v>
      </c>
      <c r="B559">
        <v>80</v>
      </c>
      <c r="C559" t="s">
        <v>3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 t="b">
        <f t="shared" si="8"/>
        <v>1</v>
      </c>
    </row>
    <row r="560" spans="1:12" x14ac:dyDescent="0.25">
      <c r="A560" t="s">
        <v>7</v>
      </c>
      <c r="B560">
        <v>80</v>
      </c>
      <c r="C560" t="s">
        <v>6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 t="b">
        <f t="shared" si="8"/>
        <v>1</v>
      </c>
    </row>
    <row r="561" spans="1:12" x14ac:dyDescent="0.25">
      <c r="A561" t="s">
        <v>7</v>
      </c>
      <c r="B561">
        <v>80</v>
      </c>
      <c r="C561" t="s">
        <v>1</v>
      </c>
      <c r="D561">
        <v>16</v>
      </c>
      <c r="E561">
        <v>0</v>
      </c>
      <c r="F561">
        <v>0</v>
      </c>
      <c r="G561">
        <v>6</v>
      </c>
      <c r="H561">
        <v>0</v>
      </c>
      <c r="I561">
        <v>8</v>
      </c>
      <c r="J561">
        <v>0</v>
      </c>
      <c r="K561">
        <v>2</v>
      </c>
      <c r="L561" t="b">
        <f t="shared" si="8"/>
        <v>1</v>
      </c>
    </row>
    <row r="562" spans="1:12" x14ac:dyDescent="0.25">
      <c r="A562" t="s">
        <v>7</v>
      </c>
      <c r="B562">
        <v>80</v>
      </c>
      <c r="C562" t="s">
        <v>10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 t="b">
        <f t="shared" si="8"/>
        <v>1</v>
      </c>
    </row>
    <row r="563" spans="1:12" x14ac:dyDescent="0.25">
      <c r="A563" t="s">
        <v>7</v>
      </c>
      <c r="B563">
        <v>80</v>
      </c>
      <c r="C563" t="s">
        <v>4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 t="b">
        <f t="shared" si="8"/>
        <v>1</v>
      </c>
    </row>
    <row r="564" spans="1:12" x14ac:dyDescent="0.25">
      <c r="A564" t="s">
        <v>7</v>
      </c>
      <c r="B564">
        <v>80</v>
      </c>
      <c r="C564" t="s">
        <v>9</v>
      </c>
      <c r="D564">
        <v>3</v>
      </c>
      <c r="E564">
        <v>0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1</v>
      </c>
      <c r="L564" t="b">
        <f t="shared" si="8"/>
        <v>1</v>
      </c>
    </row>
    <row r="565" spans="1:12" x14ac:dyDescent="0.25">
      <c r="A565" t="s">
        <v>7</v>
      </c>
      <c r="B565">
        <v>81</v>
      </c>
      <c r="C565" t="s">
        <v>2</v>
      </c>
      <c r="D565">
        <v>11</v>
      </c>
      <c r="E565">
        <v>0</v>
      </c>
      <c r="F565">
        <v>0</v>
      </c>
      <c r="G565">
        <v>2</v>
      </c>
      <c r="H565">
        <v>0</v>
      </c>
      <c r="I565">
        <v>9</v>
      </c>
      <c r="J565">
        <v>0</v>
      </c>
      <c r="K565">
        <v>0</v>
      </c>
      <c r="L565" t="b">
        <f t="shared" si="8"/>
        <v>1</v>
      </c>
    </row>
    <row r="566" spans="1:12" x14ac:dyDescent="0.25">
      <c r="A566" t="s">
        <v>7</v>
      </c>
      <c r="B566">
        <v>81</v>
      </c>
      <c r="C566" t="s">
        <v>84</v>
      </c>
      <c r="D566">
        <v>2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 t="b">
        <f t="shared" si="8"/>
        <v>1</v>
      </c>
    </row>
    <row r="567" spans="1:12" x14ac:dyDescent="0.25">
      <c r="A567" t="s">
        <v>7</v>
      </c>
      <c r="B567">
        <v>81</v>
      </c>
      <c r="C567" t="s">
        <v>3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 t="b">
        <f t="shared" si="8"/>
        <v>1</v>
      </c>
    </row>
    <row r="568" spans="1:12" x14ac:dyDescent="0.25">
      <c r="A568" t="s">
        <v>7</v>
      </c>
      <c r="B568">
        <v>81</v>
      </c>
      <c r="C568" t="s">
        <v>6</v>
      </c>
      <c r="D568">
        <v>2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 t="b">
        <f t="shared" si="8"/>
        <v>1</v>
      </c>
    </row>
    <row r="569" spans="1:12" x14ac:dyDescent="0.25">
      <c r="A569" t="s">
        <v>7</v>
      </c>
      <c r="B569">
        <v>81</v>
      </c>
      <c r="C569" t="s">
        <v>1</v>
      </c>
      <c r="D569">
        <v>15</v>
      </c>
      <c r="E569">
        <v>0</v>
      </c>
      <c r="F569">
        <v>1</v>
      </c>
      <c r="G569">
        <v>3</v>
      </c>
      <c r="H569">
        <v>0</v>
      </c>
      <c r="I569">
        <v>9</v>
      </c>
      <c r="J569">
        <v>0</v>
      </c>
      <c r="K569">
        <v>2</v>
      </c>
      <c r="L569" t="b">
        <f t="shared" si="8"/>
        <v>1</v>
      </c>
    </row>
    <row r="570" spans="1:12" x14ac:dyDescent="0.25">
      <c r="A570" t="s">
        <v>7</v>
      </c>
      <c r="B570">
        <v>81</v>
      </c>
      <c r="C570" t="s">
        <v>10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 t="b">
        <f t="shared" si="8"/>
        <v>1</v>
      </c>
    </row>
    <row r="571" spans="1:12" x14ac:dyDescent="0.25">
      <c r="A571" t="s">
        <v>7</v>
      </c>
      <c r="B571">
        <v>81</v>
      </c>
      <c r="C571" t="s">
        <v>9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 t="b">
        <f t="shared" si="8"/>
        <v>1</v>
      </c>
    </row>
    <row r="572" spans="1:12" x14ac:dyDescent="0.25">
      <c r="A572" t="s">
        <v>7</v>
      </c>
      <c r="B572">
        <v>82</v>
      </c>
      <c r="C572" t="s">
        <v>2</v>
      </c>
      <c r="D572">
        <v>3</v>
      </c>
      <c r="E572">
        <v>0</v>
      </c>
      <c r="F572">
        <v>0</v>
      </c>
      <c r="G572">
        <v>2</v>
      </c>
      <c r="H572">
        <v>0</v>
      </c>
      <c r="I572">
        <v>1</v>
      </c>
      <c r="J572">
        <v>0</v>
      </c>
      <c r="K572">
        <v>0</v>
      </c>
      <c r="L572" t="b">
        <f t="shared" si="8"/>
        <v>1</v>
      </c>
    </row>
    <row r="573" spans="1:12" x14ac:dyDescent="0.25">
      <c r="A573" t="s">
        <v>7</v>
      </c>
      <c r="B573">
        <v>82</v>
      </c>
      <c r="C573" t="s">
        <v>3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 t="b">
        <f t="shared" si="8"/>
        <v>1</v>
      </c>
    </row>
    <row r="574" spans="1:12" x14ac:dyDescent="0.25">
      <c r="A574" t="s">
        <v>7</v>
      </c>
      <c r="B574">
        <v>82</v>
      </c>
      <c r="C574" t="s">
        <v>6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 t="b">
        <f t="shared" si="8"/>
        <v>1</v>
      </c>
    </row>
    <row r="575" spans="1:12" x14ac:dyDescent="0.25">
      <c r="A575" t="s">
        <v>7</v>
      </c>
      <c r="B575">
        <v>82</v>
      </c>
      <c r="C575" t="s">
        <v>1</v>
      </c>
      <c r="D575">
        <v>6</v>
      </c>
      <c r="E575">
        <v>0</v>
      </c>
      <c r="F575">
        <v>2</v>
      </c>
      <c r="G575">
        <v>3</v>
      </c>
      <c r="H575">
        <v>0</v>
      </c>
      <c r="I575">
        <v>1</v>
      </c>
      <c r="J575">
        <v>0</v>
      </c>
      <c r="K575">
        <v>0</v>
      </c>
      <c r="L575" t="b">
        <f t="shared" si="8"/>
        <v>1</v>
      </c>
    </row>
    <row r="576" spans="1:12" x14ac:dyDescent="0.25">
      <c r="A576" t="s">
        <v>7</v>
      </c>
      <c r="B576">
        <v>83</v>
      </c>
      <c r="C576" t="s">
        <v>2</v>
      </c>
      <c r="D576">
        <v>9</v>
      </c>
      <c r="E576">
        <v>0</v>
      </c>
      <c r="F576">
        <v>0</v>
      </c>
      <c r="G576">
        <v>2</v>
      </c>
      <c r="H576">
        <v>0</v>
      </c>
      <c r="I576">
        <v>7</v>
      </c>
      <c r="J576">
        <v>0</v>
      </c>
      <c r="K576">
        <v>0</v>
      </c>
      <c r="L576" t="b">
        <f t="shared" si="8"/>
        <v>1</v>
      </c>
    </row>
    <row r="577" spans="1:12" x14ac:dyDescent="0.25">
      <c r="A577" t="s">
        <v>7</v>
      </c>
      <c r="B577">
        <v>83</v>
      </c>
      <c r="C577" t="s">
        <v>84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 t="b">
        <f t="shared" si="8"/>
        <v>1</v>
      </c>
    </row>
    <row r="578" spans="1:12" x14ac:dyDescent="0.25">
      <c r="A578" t="s">
        <v>7</v>
      </c>
      <c r="B578">
        <v>83</v>
      </c>
      <c r="C578" t="s">
        <v>1</v>
      </c>
      <c r="D578">
        <v>14</v>
      </c>
      <c r="E578">
        <v>0</v>
      </c>
      <c r="F578">
        <v>3</v>
      </c>
      <c r="G578">
        <v>3</v>
      </c>
      <c r="H578">
        <v>1</v>
      </c>
      <c r="I578">
        <v>7</v>
      </c>
      <c r="J578">
        <v>0</v>
      </c>
      <c r="K578">
        <v>0</v>
      </c>
      <c r="L578" t="b">
        <f t="shared" si="8"/>
        <v>1</v>
      </c>
    </row>
    <row r="579" spans="1:12" x14ac:dyDescent="0.25">
      <c r="A579" t="s">
        <v>7</v>
      </c>
      <c r="B579">
        <v>83</v>
      </c>
      <c r="C579" t="s">
        <v>10</v>
      </c>
      <c r="D579">
        <v>2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 t="b">
        <f t="shared" si="8"/>
        <v>1</v>
      </c>
    </row>
    <row r="580" spans="1:12" x14ac:dyDescent="0.25">
      <c r="A580" t="s">
        <v>7</v>
      </c>
      <c r="B580">
        <v>84</v>
      </c>
      <c r="C580" t="s">
        <v>2</v>
      </c>
      <c r="D580">
        <v>7</v>
      </c>
      <c r="E580">
        <v>0</v>
      </c>
      <c r="F580">
        <v>0</v>
      </c>
      <c r="G580">
        <v>1</v>
      </c>
      <c r="H580">
        <v>0</v>
      </c>
      <c r="I580">
        <v>6</v>
      </c>
      <c r="J580">
        <v>0</v>
      </c>
      <c r="K580">
        <v>0</v>
      </c>
      <c r="L580" t="b">
        <f t="shared" ref="L580:L643" si="9">SUM(E580:K580)=D580</f>
        <v>1</v>
      </c>
    </row>
    <row r="581" spans="1:12" x14ac:dyDescent="0.25">
      <c r="A581" t="s">
        <v>7</v>
      </c>
      <c r="B581">
        <v>84</v>
      </c>
      <c r="C581" t="s">
        <v>84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 t="b">
        <f t="shared" si="9"/>
        <v>1</v>
      </c>
    </row>
    <row r="582" spans="1:12" x14ac:dyDescent="0.25">
      <c r="A582" t="s">
        <v>7</v>
      </c>
      <c r="B582">
        <v>84</v>
      </c>
      <c r="C582" t="s">
        <v>3</v>
      </c>
      <c r="D582">
        <v>4</v>
      </c>
      <c r="E582">
        <v>3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 t="b">
        <f t="shared" si="9"/>
        <v>1</v>
      </c>
    </row>
    <row r="583" spans="1:12" x14ac:dyDescent="0.25">
      <c r="A583" t="s">
        <v>7</v>
      </c>
      <c r="B583">
        <v>84</v>
      </c>
      <c r="C583" t="s">
        <v>5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b">
        <f t="shared" si="9"/>
        <v>1</v>
      </c>
    </row>
    <row r="584" spans="1:12" x14ac:dyDescent="0.25">
      <c r="A584" t="s">
        <v>7</v>
      </c>
      <c r="B584">
        <v>84</v>
      </c>
      <c r="C584" t="s">
        <v>6</v>
      </c>
      <c r="D584">
        <v>4</v>
      </c>
      <c r="E584">
        <v>0</v>
      </c>
      <c r="F584">
        <v>2</v>
      </c>
      <c r="G584">
        <v>0</v>
      </c>
      <c r="H584">
        <v>0</v>
      </c>
      <c r="I584">
        <v>1</v>
      </c>
      <c r="J584">
        <v>0</v>
      </c>
      <c r="K584">
        <v>1</v>
      </c>
      <c r="L584" t="b">
        <f t="shared" si="9"/>
        <v>1</v>
      </c>
    </row>
    <row r="585" spans="1:12" x14ac:dyDescent="0.25">
      <c r="A585" t="s">
        <v>7</v>
      </c>
      <c r="B585">
        <v>84</v>
      </c>
      <c r="C585" t="s">
        <v>1</v>
      </c>
      <c r="D585">
        <v>10</v>
      </c>
      <c r="E585">
        <v>0</v>
      </c>
      <c r="F585">
        <v>0</v>
      </c>
      <c r="G585">
        <v>4</v>
      </c>
      <c r="H585">
        <v>0</v>
      </c>
      <c r="I585">
        <v>6</v>
      </c>
      <c r="J585">
        <v>0</v>
      </c>
      <c r="K585">
        <v>0</v>
      </c>
      <c r="L585" t="b">
        <f t="shared" si="9"/>
        <v>1</v>
      </c>
    </row>
    <row r="586" spans="1:12" x14ac:dyDescent="0.25">
      <c r="A586" t="s">
        <v>7</v>
      </c>
      <c r="B586">
        <v>84</v>
      </c>
      <c r="C586" t="s">
        <v>10</v>
      </c>
      <c r="D586">
        <v>2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 t="b">
        <f t="shared" si="9"/>
        <v>1</v>
      </c>
    </row>
    <row r="587" spans="1:12" x14ac:dyDescent="0.25">
      <c r="A587" t="s">
        <v>7</v>
      </c>
      <c r="B587">
        <v>84</v>
      </c>
      <c r="C587" t="s">
        <v>4</v>
      </c>
      <c r="D587">
        <v>3</v>
      </c>
      <c r="E587">
        <v>0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  <c r="L587" t="b">
        <f t="shared" si="9"/>
        <v>1</v>
      </c>
    </row>
    <row r="588" spans="1:12" x14ac:dyDescent="0.25">
      <c r="A588" t="s">
        <v>7</v>
      </c>
      <c r="B588">
        <v>84</v>
      </c>
      <c r="C588" t="s">
        <v>9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 t="b">
        <f t="shared" si="9"/>
        <v>1</v>
      </c>
    </row>
    <row r="589" spans="1:12" x14ac:dyDescent="0.25">
      <c r="A589" t="s">
        <v>7</v>
      </c>
      <c r="B589">
        <v>85</v>
      </c>
      <c r="C589" t="s">
        <v>2</v>
      </c>
      <c r="D589">
        <v>6</v>
      </c>
      <c r="E589">
        <v>0</v>
      </c>
      <c r="F589">
        <v>0</v>
      </c>
      <c r="G589">
        <v>1</v>
      </c>
      <c r="H589">
        <v>0</v>
      </c>
      <c r="I589">
        <v>5</v>
      </c>
      <c r="J589">
        <v>0</v>
      </c>
      <c r="K589">
        <v>0</v>
      </c>
      <c r="L589" t="b">
        <f t="shared" si="9"/>
        <v>1</v>
      </c>
    </row>
    <row r="590" spans="1:12" x14ac:dyDescent="0.25">
      <c r="A590" t="s">
        <v>7</v>
      </c>
      <c r="B590">
        <v>85</v>
      </c>
      <c r="C590" t="s">
        <v>84</v>
      </c>
      <c r="D590">
        <v>3</v>
      </c>
      <c r="E590">
        <v>0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1</v>
      </c>
      <c r="L590" t="b">
        <f t="shared" si="9"/>
        <v>1</v>
      </c>
    </row>
    <row r="591" spans="1:12" x14ac:dyDescent="0.25">
      <c r="A591" t="s">
        <v>7</v>
      </c>
      <c r="B591">
        <v>85</v>
      </c>
      <c r="C591" t="s">
        <v>3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b">
        <f t="shared" si="9"/>
        <v>1</v>
      </c>
    </row>
    <row r="592" spans="1:12" x14ac:dyDescent="0.25">
      <c r="A592" t="s">
        <v>7</v>
      </c>
      <c r="B592">
        <v>85</v>
      </c>
      <c r="C592" t="s">
        <v>1</v>
      </c>
      <c r="D592">
        <v>8</v>
      </c>
      <c r="E592">
        <v>0</v>
      </c>
      <c r="F592">
        <v>1</v>
      </c>
      <c r="G592">
        <v>1</v>
      </c>
      <c r="H592">
        <v>0</v>
      </c>
      <c r="I592">
        <v>5</v>
      </c>
      <c r="J592">
        <v>0</v>
      </c>
      <c r="K592">
        <v>1</v>
      </c>
      <c r="L592" t="b">
        <f t="shared" si="9"/>
        <v>1</v>
      </c>
    </row>
    <row r="593" spans="1:12" x14ac:dyDescent="0.25">
      <c r="A593" t="s">
        <v>7</v>
      </c>
      <c r="B593">
        <v>85</v>
      </c>
      <c r="C593" t="s">
        <v>10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 t="b">
        <f t="shared" si="9"/>
        <v>1</v>
      </c>
    </row>
    <row r="594" spans="1:12" x14ac:dyDescent="0.25">
      <c r="A594" t="s">
        <v>7</v>
      </c>
      <c r="B594">
        <v>85</v>
      </c>
      <c r="C594" t="s">
        <v>4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 t="b">
        <f t="shared" si="9"/>
        <v>1</v>
      </c>
    </row>
    <row r="595" spans="1:12" x14ac:dyDescent="0.25">
      <c r="A595" t="s">
        <v>7</v>
      </c>
      <c r="B595">
        <v>86</v>
      </c>
      <c r="C595" t="s">
        <v>2</v>
      </c>
      <c r="D595">
        <v>8</v>
      </c>
      <c r="E595">
        <v>0</v>
      </c>
      <c r="F595">
        <v>0</v>
      </c>
      <c r="G595">
        <v>6</v>
      </c>
      <c r="H595">
        <v>0</v>
      </c>
      <c r="I595">
        <v>2</v>
      </c>
      <c r="J595">
        <v>0</v>
      </c>
      <c r="K595">
        <v>0</v>
      </c>
      <c r="L595" t="b">
        <f t="shared" si="9"/>
        <v>1</v>
      </c>
    </row>
    <row r="596" spans="1:12" x14ac:dyDescent="0.25">
      <c r="A596" t="s">
        <v>7</v>
      </c>
      <c r="B596">
        <v>86</v>
      </c>
      <c r="C596" t="s">
        <v>3</v>
      </c>
      <c r="D596">
        <v>3</v>
      </c>
      <c r="E596">
        <v>0</v>
      </c>
      <c r="F596">
        <v>1</v>
      </c>
      <c r="G596">
        <v>2</v>
      </c>
      <c r="H596">
        <v>0</v>
      </c>
      <c r="I596">
        <v>0</v>
      </c>
      <c r="J596">
        <v>0</v>
      </c>
      <c r="K596">
        <v>0</v>
      </c>
      <c r="L596" t="b">
        <f t="shared" si="9"/>
        <v>1</v>
      </c>
    </row>
    <row r="597" spans="1:12" x14ac:dyDescent="0.25">
      <c r="A597" t="s">
        <v>7</v>
      </c>
      <c r="B597">
        <v>86</v>
      </c>
      <c r="C597" t="s">
        <v>6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 t="b">
        <f t="shared" si="9"/>
        <v>1</v>
      </c>
    </row>
    <row r="598" spans="1:12" x14ac:dyDescent="0.25">
      <c r="A598" t="s">
        <v>7</v>
      </c>
      <c r="B598">
        <v>86</v>
      </c>
      <c r="C598" t="s">
        <v>1</v>
      </c>
      <c r="D598">
        <v>16</v>
      </c>
      <c r="E598">
        <v>0</v>
      </c>
      <c r="F598">
        <v>1</v>
      </c>
      <c r="G598">
        <v>11</v>
      </c>
      <c r="H598">
        <v>0</v>
      </c>
      <c r="I598">
        <v>2</v>
      </c>
      <c r="J598">
        <v>0</v>
      </c>
      <c r="K598">
        <v>2</v>
      </c>
      <c r="L598" t="b">
        <f t="shared" si="9"/>
        <v>1</v>
      </c>
    </row>
    <row r="599" spans="1:12" x14ac:dyDescent="0.25">
      <c r="A599" t="s">
        <v>7</v>
      </c>
      <c r="B599">
        <v>86</v>
      </c>
      <c r="C599" t="s">
        <v>10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 t="b">
        <f t="shared" si="9"/>
        <v>1</v>
      </c>
    </row>
    <row r="600" spans="1:12" x14ac:dyDescent="0.25">
      <c r="A600" t="s">
        <v>7</v>
      </c>
      <c r="B600">
        <v>86</v>
      </c>
      <c r="C600" t="s">
        <v>4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 t="b">
        <f t="shared" si="9"/>
        <v>1</v>
      </c>
    </row>
    <row r="601" spans="1:12" x14ac:dyDescent="0.25">
      <c r="A601" t="s">
        <v>7</v>
      </c>
      <c r="B601">
        <v>86</v>
      </c>
      <c r="C601" t="s">
        <v>9</v>
      </c>
      <c r="D601">
        <v>2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 t="b">
        <f t="shared" si="9"/>
        <v>1</v>
      </c>
    </row>
    <row r="602" spans="1:12" x14ac:dyDescent="0.25">
      <c r="A602" t="s">
        <v>7</v>
      </c>
      <c r="B602">
        <v>87</v>
      </c>
      <c r="C602" t="s">
        <v>2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 t="b">
        <f t="shared" si="9"/>
        <v>1</v>
      </c>
    </row>
    <row r="603" spans="1:12" x14ac:dyDescent="0.25">
      <c r="A603" t="s">
        <v>7</v>
      </c>
      <c r="B603">
        <v>87</v>
      </c>
      <c r="C603" t="s">
        <v>3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 t="b">
        <f t="shared" si="9"/>
        <v>1</v>
      </c>
    </row>
    <row r="604" spans="1:12" x14ac:dyDescent="0.25">
      <c r="A604" t="s">
        <v>7</v>
      </c>
      <c r="B604">
        <v>87</v>
      </c>
      <c r="C604" t="s">
        <v>6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 t="b">
        <f t="shared" si="9"/>
        <v>1</v>
      </c>
    </row>
    <row r="605" spans="1:12" x14ac:dyDescent="0.25">
      <c r="A605" t="s">
        <v>7</v>
      </c>
      <c r="B605">
        <v>87</v>
      </c>
      <c r="C605" t="s">
        <v>1</v>
      </c>
      <c r="D605">
        <v>5</v>
      </c>
      <c r="E605">
        <v>0</v>
      </c>
      <c r="F605">
        <v>2</v>
      </c>
      <c r="G605">
        <v>1</v>
      </c>
      <c r="H605">
        <v>0</v>
      </c>
      <c r="I605">
        <v>2</v>
      </c>
      <c r="J605">
        <v>0</v>
      </c>
      <c r="K605">
        <v>0</v>
      </c>
      <c r="L605" t="b">
        <f t="shared" si="9"/>
        <v>1</v>
      </c>
    </row>
    <row r="606" spans="1:12" x14ac:dyDescent="0.25">
      <c r="A606" t="s">
        <v>7</v>
      </c>
      <c r="B606">
        <v>87</v>
      </c>
      <c r="C606" t="s">
        <v>10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 t="b">
        <f t="shared" si="9"/>
        <v>1</v>
      </c>
    </row>
    <row r="607" spans="1:12" x14ac:dyDescent="0.25">
      <c r="A607" t="s">
        <v>7</v>
      </c>
      <c r="B607">
        <v>88</v>
      </c>
      <c r="C607" t="s">
        <v>2</v>
      </c>
      <c r="D607">
        <v>12</v>
      </c>
      <c r="E607">
        <v>0</v>
      </c>
      <c r="F607">
        <v>0</v>
      </c>
      <c r="G607">
        <v>1</v>
      </c>
      <c r="H607">
        <v>0</v>
      </c>
      <c r="I607">
        <v>11</v>
      </c>
      <c r="J607">
        <v>0</v>
      </c>
      <c r="K607">
        <v>0</v>
      </c>
      <c r="L607" t="b">
        <f t="shared" si="9"/>
        <v>1</v>
      </c>
    </row>
    <row r="608" spans="1:12" x14ac:dyDescent="0.25">
      <c r="A608" t="s">
        <v>7</v>
      </c>
      <c r="B608">
        <v>88</v>
      </c>
      <c r="C608" t="s">
        <v>84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 t="b">
        <f t="shared" si="9"/>
        <v>1</v>
      </c>
    </row>
    <row r="609" spans="1:12" x14ac:dyDescent="0.25">
      <c r="A609" t="s">
        <v>7</v>
      </c>
      <c r="B609">
        <v>88</v>
      </c>
      <c r="C609" t="s">
        <v>3</v>
      </c>
      <c r="D609">
        <v>4</v>
      </c>
      <c r="E609">
        <v>0</v>
      </c>
      <c r="F609">
        <v>1</v>
      </c>
      <c r="G609">
        <v>3</v>
      </c>
      <c r="H609">
        <v>0</v>
      </c>
      <c r="I609">
        <v>0</v>
      </c>
      <c r="J609">
        <v>0</v>
      </c>
      <c r="K609">
        <v>0</v>
      </c>
      <c r="L609" t="b">
        <f t="shared" si="9"/>
        <v>1</v>
      </c>
    </row>
    <row r="610" spans="1:12" x14ac:dyDescent="0.25">
      <c r="A610" t="s">
        <v>7</v>
      </c>
      <c r="B610">
        <v>88</v>
      </c>
      <c r="C610" t="s">
        <v>6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 t="b">
        <f t="shared" si="9"/>
        <v>1</v>
      </c>
    </row>
    <row r="611" spans="1:12" x14ac:dyDescent="0.25">
      <c r="A611" t="s">
        <v>7</v>
      </c>
      <c r="B611">
        <v>88</v>
      </c>
      <c r="C611" t="s">
        <v>1</v>
      </c>
      <c r="D611">
        <v>18</v>
      </c>
      <c r="E611">
        <v>0</v>
      </c>
      <c r="F611">
        <v>1</v>
      </c>
      <c r="G611">
        <v>6</v>
      </c>
      <c r="H611">
        <v>0</v>
      </c>
      <c r="I611">
        <v>11</v>
      </c>
      <c r="J611">
        <v>0</v>
      </c>
      <c r="K611">
        <v>0</v>
      </c>
      <c r="L611" t="b">
        <f t="shared" si="9"/>
        <v>1</v>
      </c>
    </row>
    <row r="612" spans="1:12" x14ac:dyDescent="0.25">
      <c r="A612" t="s">
        <v>7</v>
      </c>
      <c r="B612">
        <v>88</v>
      </c>
      <c r="C612" t="s">
        <v>9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 t="b">
        <f t="shared" si="9"/>
        <v>1</v>
      </c>
    </row>
    <row r="613" spans="1:12" x14ac:dyDescent="0.25">
      <c r="A613" t="s">
        <v>7</v>
      </c>
      <c r="B613">
        <v>89</v>
      </c>
      <c r="C613" t="s">
        <v>2</v>
      </c>
      <c r="D613">
        <v>34</v>
      </c>
      <c r="E613">
        <v>0</v>
      </c>
      <c r="F613">
        <v>2</v>
      </c>
      <c r="G613">
        <v>15</v>
      </c>
      <c r="H613">
        <v>0</v>
      </c>
      <c r="I613">
        <v>17</v>
      </c>
      <c r="J613">
        <v>0</v>
      </c>
      <c r="K613">
        <v>0</v>
      </c>
      <c r="L613" t="b">
        <f t="shared" si="9"/>
        <v>1</v>
      </c>
    </row>
    <row r="614" spans="1:12" x14ac:dyDescent="0.25">
      <c r="A614" t="s">
        <v>7</v>
      </c>
      <c r="B614">
        <v>89</v>
      </c>
      <c r="C614" t="s">
        <v>5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 t="b">
        <f t="shared" si="9"/>
        <v>1</v>
      </c>
    </row>
    <row r="615" spans="1:12" x14ac:dyDescent="0.25">
      <c r="A615" t="s">
        <v>7</v>
      </c>
      <c r="B615">
        <v>89</v>
      </c>
      <c r="C615" t="s">
        <v>6</v>
      </c>
      <c r="D615">
        <v>3</v>
      </c>
      <c r="E615">
        <v>0</v>
      </c>
      <c r="F615">
        <v>0</v>
      </c>
      <c r="G615">
        <v>1</v>
      </c>
      <c r="H615">
        <v>0</v>
      </c>
      <c r="I615">
        <v>2</v>
      </c>
      <c r="J615">
        <v>0</v>
      </c>
      <c r="K615">
        <v>0</v>
      </c>
      <c r="L615" t="b">
        <f t="shared" si="9"/>
        <v>1</v>
      </c>
    </row>
    <row r="616" spans="1:12" x14ac:dyDescent="0.25">
      <c r="A616" t="s">
        <v>7</v>
      </c>
      <c r="B616">
        <v>89</v>
      </c>
      <c r="C616" t="s">
        <v>1</v>
      </c>
      <c r="D616">
        <v>39</v>
      </c>
      <c r="E616">
        <v>0</v>
      </c>
      <c r="F616">
        <v>5</v>
      </c>
      <c r="G616">
        <v>17</v>
      </c>
      <c r="H616">
        <v>1</v>
      </c>
      <c r="I616">
        <v>15</v>
      </c>
      <c r="J616">
        <v>0</v>
      </c>
      <c r="K616">
        <v>1</v>
      </c>
      <c r="L616" t="b">
        <f t="shared" si="9"/>
        <v>1</v>
      </c>
    </row>
    <row r="617" spans="1:12" x14ac:dyDescent="0.25">
      <c r="A617" t="s">
        <v>7</v>
      </c>
      <c r="B617">
        <v>89</v>
      </c>
      <c r="C617" t="s">
        <v>10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 t="b">
        <f t="shared" si="9"/>
        <v>1</v>
      </c>
    </row>
    <row r="618" spans="1:12" x14ac:dyDescent="0.25">
      <c r="A618" t="s">
        <v>7</v>
      </c>
      <c r="B618">
        <v>89</v>
      </c>
      <c r="C618" t="s">
        <v>11</v>
      </c>
      <c r="D618">
        <v>2</v>
      </c>
      <c r="E618">
        <v>0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0</v>
      </c>
      <c r="L618" t="b">
        <f t="shared" si="9"/>
        <v>1</v>
      </c>
    </row>
    <row r="619" spans="1:12" x14ac:dyDescent="0.25">
      <c r="A619" t="s">
        <v>7</v>
      </c>
      <c r="B619">
        <v>89</v>
      </c>
      <c r="C619" t="s">
        <v>9</v>
      </c>
      <c r="D619">
        <v>3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 t="b">
        <f t="shared" si="9"/>
        <v>1</v>
      </c>
    </row>
    <row r="620" spans="1:12" x14ac:dyDescent="0.25">
      <c r="A620" t="s">
        <v>7</v>
      </c>
      <c r="B620">
        <v>90</v>
      </c>
      <c r="C620" t="s">
        <v>2</v>
      </c>
      <c r="D620">
        <v>12</v>
      </c>
      <c r="E620">
        <v>0</v>
      </c>
      <c r="F620">
        <v>0</v>
      </c>
      <c r="G620">
        <v>3</v>
      </c>
      <c r="H620">
        <v>0</v>
      </c>
      <c r="I620">
        <v>9</v>
      </c>
      <c r="J620">
        <v>0</v>
      </c>
      <c r="K620">
        <v>0</v>
      </c>
      <c r="L620" t="b">
        <f t="shared" si="9"/>
        <v>1</v>
      </c>
    </row>
    <row r="621" spans="1:12" x14ac:dyDescent="0.25">
      <c r="A621" t="s">
        <v>7</v>
      </c>
      <c r="B621">
        <v>90</v>
      </c>
      <c r="C621" t="s">
        <v>3</v>
      </c>
      <c r="D621">
        <v>2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 t="b">
        <f t="shared" si="9"/>
        <v>1</v>
      </c>
    </row>
    <row r="622" spans="1:12" x14ac:dyDescent="0.25">
      <c r="A622" t="s">
        <v>7</v>
      </c>
      <c r="B622">
        <v>90</v>
      </c>
      <c r="C622" t="s">
        <v>5</v>
      </c>
      <c r="D622">
        <v>2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b">
        <f t="shared" si="9"/>
        <v>1</v>
      </c>
    </row>
    <row r="623" spans="1:12" x14ac:dyDescent="0.25">
      <c r="A623" t="s">
        <v>7</v>
      </c>
      <c r="B623">
        <v>90</v>
      </c>
      <c r="C623" t="s">
        <v>6</v>
      </c>
      <c r="D623">
        <v>2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 t="b">
        <f t="shared" si="9"/>
        <v>1</v>
      </c>
    </row>
    <row r="624" spans="1:12" x14ac:dyDescent="0.25">
      <c r="A624" t="s">
        <v>7</v>
      </c>
      <c r="B624">
        <v>90</v>
      </c>
      <c r="C624" t="s">
        <v>1</v>
      </c>
      <c r="D624">
        <v>18</v>
      </c>
      <c r="E624">
        <v>0</v>
      </c>
      <c r="F624">
        <v>2</v>
      </c>
      <c r="G624">
        <v>5</v>
      </c>
      <c r="H624">
        <v>0</v>
      </c>
      <c r="I624">
        <v>9</v>
      </c>
      <c r="J624">
        <v>0</v>
      </c>
      <c r="K624">
        <v>2</v>
      </c>
      <c r="L624" t="b">
        <f t="shared" si="9"/>
        <v>1</v>
      </c>
    </row>
    <row r="625" spans="1:12" x14ac:dyDescent="0.25">
      <c r="A625" t="s">
        <v>7</v>
      </c>
      <c r="B625">
        <v>90</v>
      </c>
      <c r="C625" t="s">
        <v>10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 t="b">
        <f t="shared" si="9"/>
        <v>1</v>
      </c>
    </row>
    <row r="626" spans="1:12" x14ac:dyDescent="0.25">
      <c r="A626" t="s">
        <v>7</v>
      </c>
      <c r="B626">
        <v>90</v>
      </c>
      <c r="C626" t="s">
        <v>4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 t="b">
        <f t="shared" si="9"/>
        <v>1</v>
      </c>
    </row>
    <row r="627" spans="1:12" x14ac:dyDescent="0.25">
      <c r="A627" t="s">
        <v>7</v>
      </c>
      <c r="B627">
        <v>90</v>
      </c>
      <c r="C627" t="s">
        <v>9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 t="b">
        <f t="shared" si="9"/>
        <v>1</v>
      </c>
    </row>
    <row r="628" spans="1:12" x14ac:dyDescent="0.25">
      <c r="A628" t="s">
        <v>7</v>
      </c>
      <c r="B628">
        <v>91</v>
      </c>
      <c r="C628" t="s">
        <v>2</v>
      </c>
      <c r="D628">
        <v>11</v>
      </c>
      <c r="E628">
        <v>0</v>
      </c>
      <c r="F628">
        <v>0</v>
      </c>
      <c r="G628">
        <v>1</v>
      </c>
      <c r="H628">
        <v>0</v>
      </c>
      <c r="I628">
        <v>10</v>
      </c>
      <c r="J628">
        <v>0</v>
      </c>
      <c r="K628">
        <v>0</v>
      </c>
      <c r="L628" t="b">
        <f t="shared" si="9"/>
        <v>1</v>
      </c>
    </row>
    <row r="629" spans="1:12" x14ac:dyDescent="0.25">
      <c r="A629" t="s">
        <v>7</v>
      </c>
      <c r="B629">
        <v>91</v>
      </c>
      <c r="C629" t="s">
        <v>6</v>
      </c>
      <c r="D629">
        <v>3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1</v>
      </c>
      <c r="L629" t="b">
        <f t="shared" si="9"/>
        <v>1</v>
      </c>
    </row>
    <row r="630" spans="1:12" x14ac:dyDescent="0.25">
      <c r="A630" t="s">
        <v>7</v>
      </c>
      <c r="B630">
        <v>91</v>
      </c>
      <c r="C630" t="s">
        <v>1</v>
      </c>
      <c r="D630">
        <v>15</v>
      </c>
      <c r="E630">
        <v>0</v>
      </c>
      <c r="F630">
        <v>2</v>
      </c>
      <c r="G630">
        <v>2</v>
      </c>
      <c r="H630">
        <v>0</v>
      </c>
      <c r="I630">
        <v>10</v>
      </c>
      <c r="J630">
        <v>0</v>
      </c>
      <c r="K630">
        <v>1</v>
      </c>
      <c r="L630" t="b">
        <f t="shared" si="9"/>
        <v>1</v>
      </c>
    </row>
    <row r="631" spans="1:12" x14ac:dyDescent="0.25">
      <c r="A631" t="s">
        <v>7</v>
      </c>
      <c r="B631">
        <v>92</v>
      </c>
      <c r="C631" t="s">
        <v>2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6</v>
      </c>
      <c r="J631">
        <v>0</v>
      </c>
      <c r="K631">
        <v>0</v>
      </c>
      <c r="L631" t="b">
        <f t="shared" si="9"/>
        <v>1</v>
      </c>
    </row>
    <row r="632" spans="1:12" x14ac:dyDescent="0.25">
      <c r="A632" t="s">
        <v>7</v>
      </c>
      <c r="B632">
        <v>92</v>
      </c>
      <c r="C632" t="s">
        <v>3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 t="b">
        <f t="shared" si="9"/>
        <v>1</v>
      </c>
    </row>
    <row r="633" spans="1:12" x14ac:dyDescent="0.25">
      <c r="A633" t="s">
        <v>7</v>
      </c>
      <c r="B633">
        <v>92</v>
      </c>
      <c r="C633" t="s">
        <v>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b">
        <f t="shared" si="9"/>
        <v>1</v>
      </c>
    </row>
    <row r="634" spans="1:12" x14ac:dyDescent="0.25">
      <c r="A634" t="s">
        <v>7</v>
      </c>
      <c r="B634">
        <v>92</v>
      </c>
      <c r="C634" t="s">
        <v>6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 t="b">
        <f t="shared" si="9"/>
        <v>1</v>
      </c>
    </row>
    <row r="635" spans="1:12" x14ac:dyDescent="0.25">
      <c r="A635" t="s">
        <v>7</v>
      </c>
      <c r="B635">
        <v>92</v>
      </c>
      <c r="C635" t="s">
        <v>1</v>
      </c>
      <c r="D635">
        <v>13</v>
      </c>
      <c r="E635">
        <v>0</v>
      </c>
      <c r="F635">
        <v>2</v>
      </c>
      <c r="G635">
        <v>6</v>
      </c>
      <c r="H635">
        <v>0</v>
      </c>
      <c r="I635">
        <v>5</v>
      </c>
      <c r="J635">
        <v>0</v>
      </c>
      <c r="K635">
        <v>0</v>
      </c>
      <c r="L635" t="b">
        <f t="shared" si="9"/>
        <v>1</v>
      </c>
    </row>
    <row r="636" spans="1:12" x14ac:dyDescent="0.25">
      <c r="A636" t="s">
        <v>7</v>
      </c>
      <c r="B636">
        <v>93</v>
      </c>
      <c r="C636" t="s">
        <v>2</v>
      </c>
      <c r="D636">
        <v>2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 t="b">
        <f t="shared" si="9"/>
        <v>1</v>
      </c>
    </row>
    <row r="637" spans="1:12" x14ac:dyDescent="0.25">
      <c r="A637" t="s">
        <v>7</v>
      </c>
      <c r="B637">
        <v>93</v>
      </c>
      <c r="C637" t="s">
        <v>84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 t="b">
        <f t="shared" si="9"/>
        <v>1</v>
      </c>
    </row>
    <row r="638" spans="1:12" x14ac:dyDescent="0.25">
      <c r="A638" t="s">
        <v>7</v>
      </c>
      <c r="B638">
        <v>93</v>
      </c>
      <c r="C638" t="s">
        <v>3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b">
        <f t="shared" si="9"/>
        <v>1</v>
      </c>
    </row>
    <row r="639" spans="1:12" x14ac:dyDescent="0.25">
      <c r="A639" t="s">
        <v>7</v>
      </c>
      <c r="B639">
        <v>93</v>
      </c>
      <c r="C639" t="s">
        <v>6</v>
      </c>
      <c r="D639">
        <v>3</v>
      </c>
      <c r="E639">
        <v>0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1</v>
      </c>
      <c r="L639" t="b">
        <f t="shared" si="9"/>
        <v>1</v>
      </c>
    </row>
    <row r="640" spans="1:12" x14ac:dyDescent="0.25">
      <c r="A640" t="s">
        <v>7</v>
      </c>
      <c r="B640">
        <v>93</v>
      </c>
      <c r="C640" t="s">
        <v>1</v>
      </c>
      <c r="D640">
        <v>5</v>
      </c>
      <c r="E640">
        <v>0</v>
      </c>
      <c r="F640">
        <v>2</v>
      </c>
      <c r="G640">
        <v>1</v>
      </c>
      <c r="H640">
        <v>0</v>
      </c>
      <c r="I640">
        <v>1</v>
      </c>
      <c r="J640">
        <v>0</v>
      </c>
      <c r="K640">
        <v>1</v>
      </c>
      <c r="L640" t="b">
        <f t="shared" si="9"/>
        <v>1</v>
      </c>
    </row>
    <row r="641" spans="1:12" x14ac:dyDescent="0.25">
      <c r="A641" t="s">
        <v>7</v>
      </c>
      <c r="B641">
        <v>93</v>
      </c>
      <c r="C641" t="s">
        <v>4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 t="b">
        <f t="shared" si="9"/>
        <v>1</v>
      </c>
    </row>
    <row r="642" spans="1:12" x14ac:dyDescent="0.25">
      <c r="A642" t="s">
        <v>7</v>
      </c>
      <c r="B642">
        <v>94</v>
      </c>
      <c r="C642" t="s">
        <v>2</v>
      </c>
      <c r="D642">
        <v>12</v>
      </c>
      <c r="E642">
        <v>0</v>
      </c>
      <c r="F642">
        <v>0</v>
      </c>
      <c r="G642">
        <v>3</v>
      </c>
      <c r="H642">
        <v>0</v>
      </c>
      <c r="I642">
        <v>9</v>
      </c>
      <c r="J642">
        <v>0</v>
      </c>
      <c r="K642">
        <v>0</v>
      </c>
      <c r="L642" t="b">
        <f t="shared" si="9"/>
        <v>1</v>
      </c>
    </row>
    <row r="643" spans="1:12" x14ac:dyDescent="0.25">
      <c r="A643" t="s">
        <v>7</v>
      </c>
      <c r="B643">
        <v>94</v>
      </c>
      <c r="C643" t="s">
        <v>84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 t="b">
        <f t="shared" si="9"/>
        <v>1</v>
      </c>
    </row>
    <row r="644" spans="1:12" x14ac:dyDescent="0.25">
      <c r="A644" t="s">
        <v>7</v>
      </c>
      <c r="B644">
        <v>94</v>
      </c>
      <c r="C644" t="s">
        <v>6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 t="b">
        <f t="shared" ref="L644:L707" si="10">SUM(E644:K644)=D644</f>
        <v>1</v>
      </c>
    </row>
    <row r="645" spans="1:12" x14ac:dyDescent="0.25">
      <c r="A645" t="s">
        <v>7</v>
      </c>
      <c r="B645">
        <v>94</v>
      </c>
      <c r="C645" t="s">
        <v>1</v>
      </c>
      <c r="D645">
        <v>13</v>
      </c>
      <c r="E645">
        <v>0</v>
      </c>
      <c r="F645">
        <v>1</v>
      </c>
      <c r="G645">
        <v>2</v>
      </c>
      <c r="H645">
        <v>0</v>
      </c>
      <c r="I645">
        <v>9</v>
      </c>
      <c r="J645">
        <v>0</v>
      </c>
      <c r="K645">
        <v>1</v>
      </c>
      <c r="L645" t="b">
        <f t="shared" si="10"/>
        <v>1</v>
      </c>
    </row>
    <row r="646" spans="1:12" x14ac:dyDescent="0.25">
      <c r="A646" t="s">
        <v>7</v>
      </c>
      <c r="B646">
        <v>94</v>
      </c>
      <c r="C646" t="s">
        <v>10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 t="b">
        <f t="shared" si="10"/>
        <v>1</v>
      </c>
    </row>
    <row r="647" spans="1:12" x14ac:dyDescent="0.25">
      <c r="A647" t="s">
        <v>7</v>
      </c>
      <c r="B647">
        <v>94</v>
      </c>
      <c r="C647" t="s">
        <v>11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 t="b">
        <f t="shared" si="10"/>
        <v>1</v>
      </c>
    </row>
    <row r="648" spans="1:12" x14ac:dyDescent="0.25">
      <c r="A648" t="s">
        <v>7</v>
      </c>
      <c r="B648">
        <v>95</v>
      </c>
      <c r="C648" t="s">
        <v>2</v>
      </c>
      <c r="D648">
        <v>10</v>
      </c>
      <c r="E648">
        <v>0</v>
      </c>
      <c r="F648">
        <v>0</v>
      </c>
      <c r="G648">
        <v>2</v>
      </c>
      <c r="H648">
        <v>0</v>
      </c>
      <c r="I648">
        <v>8</v>
      </c>
      <c r="J648">
        <v>0</v>
      </c>
      <c r="K648">
        <v>0</v>
      </c>
      <c r="L648" t="b">
        <f t="shared" si="10"/>
        <v>1</v>
      </c>
    </row>
    <row r="649" spans="1:12" x14ac:dyDescent="0.25">
      <c r="A649" t="s">
        <v>7</v>
      </c>
      <c r="B649">
        <v>95</v>
      </c>
      <c r="C649" t="s">
        <v>6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 t="b">
        <f t="shared" si="10"/>
        <v>1</v>
      </c>
    </row>
    <row r="650" spans="1:12" x14ac:dyDescent="0.25">
      <c r="A650" t="s">
        <v>7</v>
      </c>
      <c r="B650">
        <v>95</v>
      </c>
      <c r="C650" t="s">
        <v>1</v>
      </c>
      <c r="D650">
        <v>13</v>
      </c>
      <c r="E650">
        <v>0</v>
      </c>
      <c r="F650">
        <v>0</v>
      </c>
      <c r="G650">
        <v>2</v>
      </c>
      <c r="H650">
        <v>0</v>
      </c>
      <c r="I650">
        <v>8</v>
      </c>
      <c r="J650">
        <v>0</v>
      </c>
      <c r="K650">
        <v>3</v>
      </c>
      <c r="L650" t="b">
        <f t="shared" si="10"/>
        <v>1</v>
      </c>
    </row>
    <row r="651" spans="1:12" x14ac:dyDescent="0.25">
      <c r="A651" t="s">
        <v>7</v>
      </c>
      <c r="B651">
        <v>95</v>
      </c>
      <c r="C651" t="s">
        <v>9</v>
      </c>
      <c r="D651">
        <v>3</v>
      </c>
      <c r="E651">
        <v>0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1</v>
      </c>
      <c r="L651" t="b">
        <f t="shared" si="10"/>
        <v>1</v>
      </c>
    </row>
    <row r="652" spans="1:12" x14ac:dyDescent="0.25">
      <c r="A652" t="s">
        <v>7</v>
      </c>
      <c r="B652">
        <v>96</v>
      </c>
      <c r="C652" t="s">
        <v>2</v>
      </c>
      <c r="D652">
        <v>12</v>
      </c>
      <c r="E652">
        <v>0</v>
      </c>
      <c r="F652">
        <v>4</v>
      </c>
      <c r="G652">
        <v>7</v>
      </c>
      <c r="H652">
        <v>0</v>
      </c>
      <c r="I652">
        <v>1</v>
      </c>
      <c r="J652">
        <v>0</v>
      </c>
      <c r="K652">
        <v>0</v>
      </c>
      <c r="L652" t="b">
        <f t="shared" si="10"/>
        <v>1</v>
      </c>
    </row>
    <row r="653" spans="1:12" x14ac:dyDescent="0.25">
      <c r="A653" t="s">
        <v>7</v>
      </c>
      <c r="B653">
        <v>96</v>
      </c>
      <c r="C653" t="s">
        <v>84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 t="b">
        <f t="shared" si="10"/>
        <v>1</v>
      </c>
    </row>
    <row r="654" spans="1:12" x14ac:dyDescent="0.25">
      <c r="A654" t="s">
        <v>7</v>
      </c>
      <c r="B654">
        <v>96</v>
      </c>
      <c r="C654" t="s">
        <v>3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b">
        <f t="shared" si="10"/>
        <v>1</v>
      </c>
    </row>
    <row r="655" spans="1:12" x14ac:dyDescent="0.25">
      <c r="A655" t="s">
        <v>7</v>
      </c>
      <c r="B655">
        <v>96</v>
      </c>
      <c r="C655" t="s">
        <v>6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 t="b">
        <f t="shared" si="10"/>
        <v>1</v>
      </c>
    </row>
    <row r="656" spans="1:12" x14ac:dyDescent="0.25">
      <c r="A656" t="s">
        <v>7</v>
      </c>
      <c r="B656">
        <v>96</v>
      </c>
      <c r="C656" t="s">
        <v>1</v>
      </c>
      <c r="D656">
        <v>14</v>
      </c>
      <c r="E656">
        <v>0</v>
      </c>
      <c r="F656">
        <v>4</v>
      </c>
      <c r="G656">
        <v>7</v>
      </c>
      <c r="H656">
        <v>0</v>
      </c>
      <c r="I656">
        <v>1</v>
      </c>
      <c r="J656">
        <v>0</v>
      </c>
      <c r="K656">
        <v>2</v>
      </c>
      <c r="L656" t="b">
        <f t="shared" si="10"/>
        <v>1</v>
      </c>
    </row>
    <row r="657" spans="1:12" x14ac:dyDescent="0.25">
      <c r="A657" t="s">
        <v>7</v>
      </c>
      <c r="B657">
        <v>96</v>
      </c>
      <c r="C657" t="s">
        <v>10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 t="b">
        <f t="shared" si="10"/>
        <v>1</v>
      </c>
    </row>
    <row r="658" spans="1:12" x14ac:dyDescent="0.25">
      <c r="A658" t="s">
        <v>7</v>
      </c>
      <c r="B658">
        <v>96</v>
      </c>
      <c r="C658" t="s">
        <v>4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 t="b">
        <f t="shared" si="10"/>
        <v>1</v>
      </c>
    </row>
    <row r="659" spans="1:12" x14ac:dyDescent="0.25">
      <c r="A659" t="s">
        <v>7</v>
      </c>
      <c r="B659">
        <v>96</v>
      </c>
      <c r="C659" t="s">
        <v>9</v>
      </c>
      <c r="D659">
        <v>2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1</v>
      </c>
      <c r="L659" t="b">
        <f t="shared" si="10"/>
        <v>1</v>
      </c>
    </row>
    <row r="660" spans="1:12" x14ac:dyDescent="0.25">
      <c r="A660" t="s">
        <v>7</v>
      </c>
      <c r="B660">
        <v>97</v>
      </c>
      <c r="C660" t="s">
        <v>2</v>
      </c>
      <c r="D660">
        <v>7</v>
      </c>
      <c r="E660">
        <v>0</v>
      </c>
      <c r="F660">
        <v>0</v>
      </c>
      <c r="G660">
        <v>3</v>
      </c>
      <c r="H660">
        <v>0</v>
      </c>
      <c r="I660">
        <v>4</v>
      </c>
      <c r="J660">
        <v>0</v>
      </c>
      <c r="K660">
        <v>0</v>
      </c>
      <c r="L660" t="b">
        <f t="shared" si="10"/>
        <v>1</v>
      </c>
    </row>
    <row r="661" spans="1:12" x14ac:dyDescent="0.25">
      <c r="A661" t="s">
        <v>7</v>
      </c>
      <c r="B661">
        <v>97</v>
      </c>
      <c r="C661" t="s">
        <v>84</v>
      </c>
      <c r="D661">
        <v>2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1</v>
      </c>
      <c r="L661" t="b">
        <f t="shared" si="10"/>
        <v>1</v>
      </c>
    </row>
    <row r="662" spans="1:12" x14ac:dyDescent="0.25">
      <c r="A662" t="s">
        <v>7</v>
      </c>
      <c r="B662">
        <v>97</v>
      </c>
      <c r="C662" t="s">
        <v>3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 t="b">
        <f t="shared" si="10"/>
        <v>1</v>
      </c>
    </row>
    <row r="663" spans="1:12" x14ac:dyDescent="0.25">
      <c r="A663" t="s">
        <v>7</v>
      </c>
      <c r="B663">
        <v>97</v>
      </c>
      <c r="C663" t="s">
        <v>6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 t="b">
        <f t="shared" si="10"/>
        <v>1</v>
      </c>
    </row>
    <row r="664" spans="1:12" x14ac:dyDescent="0.25">
      <c r="A664" t="s">
        <v>7</v>
      </c>
      <c r="B664">
        <v>97</v>
      </c>
      <c r="C664" t="s">
        <v>1</v>
      </c>
      <c r="D664">
        <v>12</v>
      </c>
      <c r="E664">
        <v>0</v>
      </c>
      <c r="F664">
        <v>3</v>
      </c>
      <c r="G664">
        <v>4</v>
      </c>
      <c r="H664">
        <v>0</v>
      </c>
      <c r="I664">
        <v>3</v>
      </c>
      <c r="J664">
        <v>0</v>
      </c>
      <c r="K664">
        <v>2</v>
      </c>
      <c r="L664" t="b">
        <f t="shared" si="10"/>
        <v>1</v>
      </c>
    </row>
    <row r="665" spans="1:12" x14ac:dyDescent="0.25">
      <c r="A665" t="s">
        <v>7</v>
      </c>
      <c r="B665">
        <v>98</v>
      </c>
      <c r="C665" t="s">
        <v>2</v>
      </c>
      <c r="D665">
        <v>6</v>
      </c>
      <c r="E665">
        <v>0</v>
      </c>
      <c r="F665">
        <v>0</v>
      </c>
      <c r="G665">
        <v>2</v>
      </c>
      <c r="H665">
        <v>0</v>
      </c>
      <c r="I665">
        <v>4</v>
      </c>
      <c r="J665">
        <v>0</v>
      </c>
      <c r="K665">
        <v>0</v>
      </c>
      <c r="L665" t="b">
        <f t="shared" si="10"/>
        <v>1</v>
      </c>
    </row>
    <row r="666" spans="1:12" x14ac:dyDescent="0.25">
      <c r="A666" t="s">
        <v>7</v>
      </c>
      <c r="B666">
        <v>98</v>
      </c>
      <c r="C666" t="s">
        <v>84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 t="b">
        <f t="shared" si="10"/>
        <v>1</v>
      </c>
    </row>
    <row r="667" spans="1:12" x14ac:dyDescent="0.25">
      <c r="A667" t="s">
        <v>7</v>
      </c>
      <c r="B667">
        <v>98</v>
      </c>
      <c r="C667" t="s">
        <v>3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b">
        <f t="shared" si="10"/>
        <v>1</v>
      </c>
    </row>
    <row r="668" spans="1:12" x14ac:dyDescent="0.25">
      <c r="A668" t="s">
        <v>7</v>
      </c>
      <c r="B668">
        <v>98</v>
      </c>
      <c r="C668" t="s">
        <v>5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 t="b">
        <f t="shared" si="10"/>
        <v>1</v>
      </c>
    </row>
    <row r="669" spans="1:12" x14ac:dyDescent="0.25">
      <c r="A669" t="s">
        <v>7</v>
      </c>
      <c r="B669">
        <v>98</v>
      </c>
      <c r="C669" t="s">
        <v>6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 t="b">
        <f t="shared" si="10"/>
        <v>1</v>
      </c>
    </row>
    <row r="670" spans="1:12" x14ac:dyDescent="0.25">
      <c r="A670" t="s">
        <v>7</v>
      </c>
      <c r="B670">
        <v>98</v>
      </c>
      <c r="C670" t="s">
        <v>1</v>
      </c>
      <c r="D670">
        <v>7</v>
      </c>
      <c r="E670">
        <v>0</v>
      </c>
      <c r="F670">
        <v>1</v>
      </c>
      <c r="G670">
        <v>2</v>
      </c>
      <c r="H670">
        <v>0</v>
      </c>
      <c r="I670">
        <v>4</v>
      </c>
      <c r="J670">
        <v>0</v>
      </c>
      <c r="K670">
        <v>0</v>
      </c>
      <c r="L670" t="b">
        <f t="shared" si="10"/>
        <v>1</v>
      </c>
    </row>
    <row r="671" spans="1:12" x14ac:dyDescent="0.25">
      <c r="A671" t="s">
        <v>7</v>
      </c>
      <c r="B671">
        <v>98</v>
      </c>
      <c r="C671" t="s">
        <v>10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 t="b">
        <f t="shared" si="10"/>
        <v>1</v>
      </c>
    </row>
    <row r="672" spans="1:12" x14ac:dyDescent="0.25">
      <c r="A672" t="s">
        <v>7</v>
      </c>
      <c r="B672">
        <v>98</v>
      </c>
      <c r="C672" t="s">
        <v>4</v>
      </c>
      <c r="D672">
        <v>2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 t="b">
        <f t="shared" si="10"/>
        <v>1</v>
      </c>
    </row>
    <row r="673" spans="1:12" x14ac:dyDescent="0.25">
      <c r="A673" t="s">
        <v>7</v>
      </c>
      <c r="B673">
        <v>98</v>
      </c>
      <c r="C673" t="s">
        <v>9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 t="b">
        <f t="shared" si="10"/>
        <v>1</v>
      </c>
    </row>
    <row r="674" spans="1:12" x14ac:dyDescent="0.25">
      <c r="A674" t="s">
        <v>7</v>
      </c>
      <c r="B674">
        <v>99</v>
      </c>
      <c r="C674" t="s">
        <v>2</v>
      </c>
      <c r="D674">
        <v>6</v>
      </c>
      <c r="E674">
        <v>0</v>
      </c>
      <c r="F674">
        <v>0</v>
      </c>
      <c r="G674">
        <v>4</v>
      </c>
      <c r="H674">
        <v>0</v>
      </c>
      <c r="I674">
        <v>2</v>
      </c>
      <c r="J674">
        <v>0</v>
      </c>
      <c r="K674">
        <v>0</v>
      </c>
      <c r="L674" t="b">
        <f t="shared" si="10"/>
        <v>1</v>
      </c>
    </row>
    <row r="675" spans="1:12" x14ac:dyDescent="0.25">
      <c r="A675" t="s">
        <v>7</v>
      </c>
      <c r="B675">
        <v>99</v>
      </c>
      <c r="C675" t="s">
        <v>84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 t="b">
        <f t="shared" si="10"/>
        <v>1</v>
      </c>
    </row>
    <row r="676" spans="1:12" x14ac:dyDescent="0.25">
      <c r="A676" t="s">
        <v>7</v>
      </c>
      <c r="B676">
        <v>99</v>
      </c>
      <c r="C676" t="s">
        <v>3</v>
      </c>
      <c r="D676">
        <v>2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b">
        <f t="shared" si="10"/>
        <v>1</v>
      </c>
    </row>
    <row r="677" spans="1:12" x14ac:dyDescent="0.25">
      <c r="A677" t="s">
        <v>7</v>
      </c>
      <c r="B677">
        <v>99</v>
      </c>
      <c r="C677" t="s">
        <v>5</v>
      </c>
      <c r="D677">
        <v>2</v>
      </c>
      <c r="E677">
        <v>0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 t="b">
        <f t="shared" si="10"/>
        <v>1</v>
      </c>
    </row>
    <row r="678" spans="1:12" x14ac:dyDescent="0.25">
      <c r="A678" t="s">
        <v>7</v>
      </c>
      <c r="B678">
        <v>99</v>
      </c>
      <c r="C678" t="s">
        <v>6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 t="b">
        <f t="shared" si="10"/>
        <v>1</v>
      </c>
    </row>
    <row r="679" spans="1:12" x14ac:dyDescent="0.25">
      <c r="A679" t="s">
        <v>7</v>
      </c>
      <c r="B679">
        <v>99</v>
      </c>
      <c r="C679" t="s">
        <v>1</v>
      </c>
      <c r="D679">
        <v>11</v>
      </c>
      <c r="E679">
        <v>0</v>
      </c>
      <c r="F679">
        <v>1</v>
      </c>
      <c r="G679">
        <v>6</v>
      </c>
      <c r="H679">
        <v>0</v>
      </c>
      <c r="I679">
        <v>2</v>
      </c>
      <c r="J679">
        <v>0</v>
      </c>
      <c r="K679">
        <v>2</v>
      </c>
      <c r="L679" t="b">
        <f t="shared" si="10"/>
        <v>1</v>
      </c>
    </row>
    <row r="680" spans="1:12" x14ac:dyDescent="0.25">
      <c r="A680" t="s">
        <v>7</v>
      </c>
      <c r="B680">
        <v>99</v>
      </c>
      <c r="C680" t="s">
        <v>10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 t="b">
        <f t="shared" si="10"/>
        <v>1</v>
      </c>
    </row>
    <row r="681" spans="1:12" x14ac:dyDescent="0.25">
      <c r="A681" t="s">
        <v>7</v>
      </c>
      <c r="B681">
        <v>99</v>
      </c>
      <c r="C681" t="s">
        <v>4</v>
      </c>
      <c r="D681">
        <v>2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</v>
      </c>
      <c r="L681" t="b">
        <f t="shared" si="10"/>
        <v>1</v>
      </c>
    </row>
    <row r="682" spans="1:12" x14ac:dyDescent="0.25">
      <c r="A682" t="s">
        <v>7</v>
      </c>
      <c r="B682">
        <v>99</v>
      </c>
      <c r="C682" t="s">
        <v>9</v>
      </c>
      <c r="D682">
        <v>3</v>
      </c>
      <c r="E682">
        <v>0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 t="b">
        <f t="shared" si="10"/>
        <v>1</v>
      </c>
    </row>
    <row r="683" spans="1:12" x14ac:dyDescent="0.25">
      <c r="A683" t="s">
        <v>7</v>
      </c>
      <c r="B683">
        <v>100</v>
      </c>
      <c r="C683" t="s">
        <v>2</v>
      </c>
      <c r="D683">
        <v>4</v>
      </c>
      <c r="E683">
        <v>0</v>
      </c>
      <c r="F683">
        <v>0</v>
      </c>
      <c r="G683">
        <v>3</v>
      </c>
      <c r="H683">
        <v>0</v>
      </c>
      <c r="I683">
        <v>1</v>
      </c>
      <c r="J683">
        <v>0</v>
      </c>
      <c r="K683">
        <v>0</v>
      </c>
      <c r="L683" t="b">
        <f t="shared" si="10"/>
        <v>1</v>
      </c>
    </row>
    <row r="684" spans="1:12" x14ac:dyDescent="0.25">
      <c r="A684" t="s">
        <v>7</v>
      </c>
      <c r="B684">
        <v>100</v>
      </c>
      <c r="C684" t="s">
        <v>3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 t="b">
        <f t="shared" si="10"/>
        <v>1</v>
      </c>
    </row>
    <row r="685" spans="1:12" x14ac:dyDescent="0.25">
      <c r="A685" t="s">
        <v>7</v>
      </c>
      <c r="B685">
        <v>100</v>
      </c>
      <c r="C685" t="s">
        <v>6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 t="b">
        <f t="shared" si="10"/>
        <v>1</v>
      </c>
    </row>
    <row r="686" spans="1:12" x14ac:dyDescent="0.25">
      <c r="A686" t="s">
        <v>7</v>
      </c>
      <c r="B686">
        <v>100</v>
      </c>
      <c r="C686" t="s">
        <v>1</v>
      </c>
      <c r="D686">
        <v>6</v>
      </c>
      <c r="E686">
        <v>0</v>
      </c>
      <c r="F686">
        <v>1</v>
      </c>
      <c r="G686">
        <v>3</v>
      </c>
      <c r="H686">
        <v>0</v>
      </c>
      <c r="I686">
        <v>1</v>
      </c>
      <c r="J686">
        <v>0</v>
      </c>
      <c r="K686">
        <v>1</v>
      </c>
      <c r="L686" t="b">
        <f t="shared" si="10"/>
        <v>1</v>
      </c>
    </row>
    <row r="687" spans="1:12" x14ac:dyDescent="0.25">
      <c r="A687" t="s">
        <v>7</v>
      </c>
      <c r="B687">
        <v>100</v>
      </c>
      <c r="C687" t="s">
        <v>10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 t="b">
        <f t="shared" si="10"/>
        <v>1</v>
      </c>
    </row>
    <row r="688" spans="1:12" x14ac:dyDescent="0.25">
      <c r="A688" t="s">
        <v>7</v>
      </c>
      <c r="B688">
        <v>100</v>
      </c>
      <c r="C688" t="s">
        <v>4</v>
      </c>
      <c r="D688">
        <v>1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 t="b">
        <f t="shared" si="10"/>
        <v>1</v>
      </c>
    </row>
    <row r="689" spans="1:12" x14ac:dyDescent="0.25">
      <c r="A689" t="s">
        <v>7</v>
      </c>
      <c r="B689">
        <v>101</v>
      </c>
      <c r="C689" t="s">
        <v>2</v>
      </c>
      <c r="D689">
        <v>4</v>
      </c>
      <c r="E689">
        <v>0</v>
      </c>
      <c r="F689">
        <v>0</v>
      </c>
      <c r="G689">
        <v>2</v>
      </c>
      <c r="H689">
        <v>0</v>
      </c>
      <c r="I689">
        <v>2</v>
      </c>
      <c r="J689">
        <v>0</v>
      </c>
      <c r="K689">
        <v>0</v>
      </c>
      <c r="L689" t="b">
        <f t="shared" si="10"/>
        <v>1</v>
      </c>
    </row>
    <row r="690" spans="1:12" x14ac:dyDescent="0.25">
      <c r="A690" t="s">
        <v>7</v>
      </c>
      <c r="B690">
        <v>101</v>
      </c>
      <c r="C690" t="s">
        <v>84</v>
      </c>
      <c r="D690">
        <v>2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 t="b">
        <f t="shared" si="10"/>
        <v>1</v>
      </c>
    </row>
    <row r="691" spans="1:12" x14ac:dyDescent="0.25">
      <c r="A691" t="s">
        <v>7</v>
      </c>
      <c r="B691">
        <v>101</v>
      </c>
      <c r="C691" t="s">
        <v>3</v>
      </c>
      <c r="D691">
        <v>5</v>
      </c>
      <c r="E691">
        <v>3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 t="b">
        <f t="shared" si="10"/>
        <v>1</v>
      </c>
    </row>
    <row r="692" spans="1:12" x14ac:dyDescent="0.25">
      <c r="A692" t="s">
        <v>7</v>
      </c>
      <c r="B692">
        <v>101</v>
      </c>
      <c r="C692" t="s">
        <v>6</v>
      </c>
      <c r="D692">
        <v>3</v>
      </c>
      <c r="E692">
        <v>0</v>
      </c>
      <c r="F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 t="b">
        <f t="shared" si="10"/>
        <v>1</v>
      </c>
    </row>
    <row r="693" spans="1:12" x14ac:dyDescent="0.25">
      <c r="A693" t="s">
        <v>7</v>
      </c>
      <c r="B693">
        <v>101</v>
      </c>
      <c r="C693" t="s">
        <v>1</v>
      </c>
      <c r="D693">
        <v>8</v>
      </c>
      <c r="E693">
        <v>0</v>
      </c>
      <c r="F693">
        <v>2</v>
      </c>
      <c r="G693">
        <v>3</v>
      </c>
      <c r="H693">
        <v>0</v>
      </c>
      <c r="I693">
        <v>2</v>
      </c>
      <c r="J693">
        <v>0</v>
      </c>
      <c r="K693">
        <v>1</v>
      </c>
      <c r="L693" t="b">
        <f t="shared" si="10"/>
        <v>1</v>
      </c>
    </row>
    <row r="694" spans="1:12" x14ac:dyDescent="0.25">
      <c r="A694" t="s">
        <v>7</v>
      </c>
      <c r="B694">
        <v>101</v>
      </c>
      <c r="C694" t="s">
        <v>10</v>
      </c>
      <c r="D694">
        <v>2</v>
      </c>
      <c r="E694">
        <v>0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 t="b">
        <f t="shared" si="10"/>
        <v>1</v>
      </c>
    </row>
    <row r="695" spans="1:12" x14ac:dyDescent="0.25">
      <c r="A695" t="s">
        <v>7</v>
      </c>
      <c r="B695">
        <v>101</v>
      </c>
      <c r="C695" t="s">
        <v>4</v>
      </c>
      <c r="D695">
        <v>3</v>
      </c>
      <c r="E695">
        <v>0</v>
      </c>
      <c r="F695">
        <v>2</v>
      </c>
      <c r="G695">
        <v>1</v>
      </c>
      <c r="H695">
        <v>0</v>
      </c>
      <c r="I695">
        <v>0</v>
      </c>
      <c r="J695">
        <v>0</v>
      </c>
      <c r="K695">
        <v>0</v>
      </c>
      <c r="L695" t="b">
        <f t="shared" si="10"/>
        <v>1</v>
      </c>
    </row>
    <row r="696" spans="1:12" x14ac:dyDescent="0.25">
      <c r="A696" t="s">
        <v>7</v>
      </c>
      <c r="B696">
        <v>102</v>
      </c>
      <c r="C696" t="s">
        <v>2</v>
      </c>
      <c r="D696">
        <v>24</v>
      </c>
      <c r="E696">
        <v>0</v>
      </c>
      <c r="F696">
        <v>1</v>
      </c>
      <c r="G696">
        <v>7</v>
      </c>
      <c r="H696">
        <v>0</v>
      </c>
      <c r="I696">
        <v>16</v>
      </c>
      <c r="J696">
        <v>0</v>
      </c>
      <c r="K696">
        <v>0</v>
      </c>
      <c r="L696" t="b">
        <f t="shared" si="10"/>
        <v>1</v>
      </c>
    </row>
    <row r="697" spans="1:12" x14ac:dyDescent="0.25">
      <c r="A697" t="s">
        <v>7</v>
      </c>
      <c r="B697">
        <v>102</v>
      </c>
      <c r="C697" t="s">
        <v>84</v>
      </c>
      <c r="D697">
        <v>2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1</v>
      </c>
      <c r="L697" t="b">
        <f t="shared" si="10"/>
        <v>1</v>
      </c>
    </row>
    <row r="698" spans="1:12" x14ac:dyDescent="0.25">
      <c r="A698" t="s">
        <v>7</v>
      </c>
      <c r="B698">
        <v>102</v>
      </c>
      <c r="C698" t="s">
        <v>3</v>
      </c>
      <c r="D698">
        <v>2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 t="b">
        <f t="shared" si="10"/>
        <v>1</v>
      </c>
    </row>
    <row r="699" spans="1:12" x14ac:dyDescent="0.25">
      <c r="A699" t="s">
        <v>7</v>
      </c>
      <c r="B699">
        <v>102</v>
      </c>
      <c r="C699" t="s">
        <v>6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 t="b">
        <f t="shared" si="10"/>
        <v>1</v>
      </c>
    </row>
    <row r="700" spans="1:12" x14ac:dyDescent="0.25">
      <c r="A700" t="s">
        <v>7</v>
      </c>
      <c r="B700">
        <v>102</v>
      </c>
      <c r="C700" t="s">
        <v>1</v>
      </c>
      <c r="D700">
        <v>27</v>
      </c>
      <c r="E700">
        <v>0</v>
      </c>
      <c r="F700">
        <v>4</v>
      </c>
      <c r="G700">
        <v>7</v>
      </c>
      <c r="H700">
        <v>0</v>
      </c>
      <c r="I700">
        <v>16</v>
      </c>
      <c r="J700">
        <v>0</v>
      </c>
      <c r="K700">
        <v>0</v>
      </c>
      <c r="L700" t="b">
        <f t="shared" si="10"/>
        <v>1</v>
      </c>
    </row>
    <row r="701" spans="1:12" x14ac:dyDescent="0.25">
      <c r="A701" t="s">
        <v>7</v>
      </c>
      <c r="B701">
        <v>102</v>
      </c>
      <c r="C701" t="s">
        <v>4</v>
      </c>
      <c r="D701">
        <v>2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 t="b">
        <f t="shared" si="10"/>
        <v>1</v>
      </c>
    </row>
    <row r="702" spans="1:12" x14ac:dyDescent="0.25">
      <c r="A702" t="s">
        <v>7</v>
      </c>
      <c r="B702">
        <v>103</v>
      </c>
      <c r="C702" t="s">
        <v>2</v>
      </c>
      <c r="D702">
        <v>18</v>
      </c>
      <c r="E702">
        <v>0</v>
      </c>
      <c r="F702">
        <v>1</v>
      </c>
      <c r="G702">
        <v>8</v>
      </c>
      <c r="H702">
        <v>0</v>
      </c>
      <c r="I702">
        <v>9</v>
      </c>
      <c r="J702">
        <v>0</v>
      </c>
      <c r="K702">
        <v>0</v>
      </c>
      <c r="L702" t="b">
        <f t="shared" si="10"/>
        <v>1</v>
      </c>
    </row>
    <row r="703" spans="1:12" x14ac:dyDescent="0.25">
      <c r="A703" t="s">
        <v>7</v>
      </c>
      <c r="B703">
        <v>103</v>
      </c>
      <c r="C703" t="s">
        <v>3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 t="b">
        <f t="shared" si="10"/>
        <v>1</v>
      </c>
    </row>
    <row r="704" spans="1:12" x14ac:dyDescent="0.25">
      <c r="A704" t="s">
        <v>7</v>
      </c>
      <c r="B704">
        <v>103</v>
      </c>
      <c r="C704" t="s">
        <v>6</v>
      </c>
      <c r="D704">
        <v>3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2</v>
      </c>
      <c r="L704" t="b">
        <f t="shared" si="10"/>
        <v>1</v>
      </c>
    </row>
    <row r="705" spans="1:12" x14ac:dyDescent="0.25">
      <c r="A705" t="s">
        <v>7</v>
      </c>
      <c r="B705">
        <v>103</v>
      </c>
      <c r="C705" t="s">
        <v>1</v>
      </c>
      <c r="D705">
        <v>21</v>
      </c>
      <c r="E705">
        <v>0</v>
      </c>
      <c r="F705">
        <v>3</v>
      </c>
      <c r="G705">
        <v>9</v>
      </c>
      <c r="H705">
        <v>0</v>
      </c>
      <c r="I705">
        <v>9</v>
      </c>
      <c r="J705">
        <v>0</v>
      </c>
      <c r="K705">
        <v>0</v>
      </c>
      <c r="L705" t="b">
        <f t="shared" si="10"/>
        <v>1</v>
      </c>
    </row>
    <row r="706" spans="1:12" x14ac:dyDescent="0.25">
      <c r="A706" t="s">
        <v>7</v>
      </c>
      <c r="B706">
        <v>104</v>
      </c>
      <c r="C706" t="s">
        <v>2</v>
      </c>
      <c r="D706">
        <v>23</v>
      </c>
      <c r="E706">
        <v>0</v>
      </c>
      <c r="F706">
        <v>3</v>
      </c>
      <c r="G706">
        <v>8</v>
      </c>
      <c r="H706">
        <v>0</v>
      </c>
      <c r="I706">
        <v>12</v>
      </c>
      <c r="J706">
        <v>0</v>
      </c>
      <c r="K706">
        <v>0</v>
      </c>
      <c r="L706" t="b">
        <f t="shared" si="10"/>
        <v>1</v>
      </c>
    </row>
    <row r="707" spans="1:12" x14ac:dyDescent="0.25">
      <c r="A707" t="s">
        <v>7</v>
      </c>
      <c r="B707">
        <v>104</v>
      </c>
      <c r="C707" t="s">
        <v>84</v>
      </c>
      <c r="D707">
        <v>3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2</v>
      </c>
      <c r="L707" t="b">
        <f t="shared" si="10"/>
        <v>1</v>
      </c>
    </row>
    <row r="708" spans="1:12" x14ac:dyDescent="0.25">
      <c r="A708" t="s">
        <v>7</v>
      </c>
      <c r="B708">
        <v>104</v>
      </c>
      <c r="C708" t="s">
        <v>3</v>
      </c>
      <c r="D708">
        <v>4</v>
      </c>
      <c r="E708">
        <v>1</v>
      </c>
      <c r="F708">
        <v>2</v>
      </c>
      <c r="G708">
        <v>1</v>
      </c>
      <c r="H708">
        <v>0</v>
      </c>
      <c r="I708">
        <v>0</v>
      </c>
      <c r="J708">
        <v>0</v>
      </c>
      <c r="K708">
        <v>0</v>
      </c>
      <c r="L708" t="b">
        <f t="shared" ref="L708:L771" si="11">SUM(E708:K708)=D708</f>
        <v>1</v>
      </c>
    </row>
    <row r="709" spans="1:12" x14ac:dyDescent="0.25">
      <c r="A709" t="s">
        <v>7</v>
      </c>
      <c r="B709">
        <v>104</v>
      </c>
      <c r="C709" t="s">
        <v>5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 t="b">
        <f t="shared" si="11"/>
        <v>1</v>
      </c>
    </row>
    <row r="710" spans="1:12" x14ac:dyDescent="0.25">
      <c r="A710" t="s">
        <v>7</v>
      </c>
      <c r="B710">
        <v>104</v>
      </c>
      <c r="C710" t="s">
        <v>6</v>
      </c>
      <c r="D710">
        <v>3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2</v>
      </c>
      <c r="L710" t="b">
        <f t="shared" si="11"/>
        <v>1</v>
      </c>
    </row>
    <row r="711" spans="1:12" x14ac:dyDescent="0.25">
      <c r="A711" t="s">
        <v>7</v>
      </c>
      <c r="B711">
        <v>104</v>
      </c>
      <c r="C711" t="s">
        <v>1</v>
      </c>
      <c r="D711">
        <v>30</v>
      </c>
      <c r="E711">
        <v>0</v>
      </c>
      <c r="F711">
        <v>5</v>
      </c>
      <c r="G711">
        <v>10</v>
      </c>
      <c r="H711">
        <v>1</v>
      </c>
      <c r="I711">
        <v>12</v>
      </c>
      <c r="J711">
        <v>0</v>
      </c>
      <c r="K711">
        <v>2</v>
      </c>
      <c r="L711" t="b">
        <f t="shared" si="11"/>
        <v>1</v>
      </c>
    </row>
    <row r="712" spans="1:12" x14ac:dyDescent="0.25">
      <c r="A712" t="s">
        <v>7</v>
      </c>
      <c r="B712">
        <v>104</v>
      </c>
      <c r="C712" t="s">
        <v>10</v>
      </c>
      <c r="D712">
        <v>2</v>
      </c>
      <c r="E712">
        <v>0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0</v>
      </c>
      <c r="L712" t="b">
        <f t="shared" si="11"/>
        <v>1</v>
      </c>
    </row>
    <row r="713" spans="1:12" x14ac:dyDescent="0.25">
      <c r="A713" t="s">
        <v>7</v>
      </c>
      <c r="B713">
        <v>104</v>
      </c>
      <c r="C713" t="s">
        <v>4</v>
      </c>
      <c r="D713">
        <v>2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 t="b">
        <f t="shared" si="11"/>
        <v>1</v>
      </c>
    </row>
    <row r="714" spans="1:12" x14ac:dyDescent="0.25">
      <c r="A714" t="s">
        <v>7</v>
      </c>
      <c r="B714">
        <v>105</v>
      </c>
      <c r="C714" t="s">
        <v>2</v>
      </c>
      <c r="D714">
        <v>30</v>
      </c>
      <c r="E714">
        <v>0</v>
      </c>
      <c r="F714">
        <v>0</v>
      </c>
      <c r="G714">
        <v>4</v>
      </c>
      <c r="H714">
        <v>0</v>
      </c>
      <c r="I714">
        <v>26</v>
      </c>
      <c r="J714">
        <v>0</v>
      </c>
      <c r="K714">
        <v>0</v>
      </c>
      <c r="L714" t="b">
        <f t="shared" si="11"/>
        <v>1</v>
      </c>
    </row>
    <row r="715" spans="1:12" x14ac:dyDescent="0.25">
      <c r="A715" t="s">
        <v>7</v>
      </c>
      <c r="B715">
        <v>105</v>
      </c>
      <c r="C715" t="s">
        <v>84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 t="b">
        <f t="shared" si="11"/>
        <v>1</v>
      </c>
    </row>
    <row r="716" spans="1:12" x14ac:dyDescent="0.25">
      <c r="A716" t="s">
        <v>7</v>
      </c>
      <c r="B716">
        <v>105</v>
      </c>
      <c r="C716" t="s">
        <v>1</v>
      </c>
      <c r="D716">
        <v>32</v>
      </c>
      <c r="E716">
        <v>0</v>
      </c>
      <c r="F716">
        <v>3</v>
      </c>
      <c r="G716">
        <v>5</v>
      </c>
      <c r="H716">
        <v>0</v>
      </c>
      <c r="I716">
        <v>24</v>
      </c>
      <c r="J716">
        <v>0</v>
      </c>
      <c r="K716">
        <v>0</v>
      </c>
      <c r="L716" t="b">
        <f t="shared" si="11"/>
        <v>1</v>
      </c>
    </row>
    <row r="717" spans="1:12" x14ac:dyDescent="0.25">
      <c r="A717" t="s">
        <v>7</v>
      </c>
      <c r="B717">
        <v>105</v>
      </c>
      <c r="C717" t="s">
        <v>10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0</v>
      </c>
      <c r="L717" t="b">
        <f t="shared" si="11"/>
        <v>1</v>
      </c>
    </row>
    <row r="718" spans="1:12" x14ac:dyDescent="0.25">
      <c r="A718" t="s">
        <v>7</v>
      </c>
      <c r="B718">
        <v>106</v>
      </c>
      <c r="C718" t="s">
        <v>2</v>
      </c>
      <c r="D718">
        <v>35</v>
      </c>
      <c r="E718">
        <v>0</v>
      </c>
      <c r="F718">
        <v>1</v>
      </c>
      <c r="G718">
        <v>9</v>
      </c>
      <c r="H718">
        <v>0</v>
      </c>
      <c r="I718">
        <v>25</v>
      </c>
      <c r="J718">
        <v>0</v>
      </c>
      <c r="K718">
        <v>0</v>
      </c>
      <c r="L718" t="b">
        <f t="shared" si="11"/>
        <v>1</v>
      </c>
    </row>
    <row r="719" spans="1:12" x14ac:dyDescent="0.25">
      <c r="A719" t="s">
        <v>7</v>
      </c>
      <c r="B719">
        <v>106</v>
      </c>
      <c r="C719" t="s">
        <v>84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 t="b">
        <f t="shared" si="11"/>
        <v>1</v>
      </c>
    </row>
    <row r="720" spans="1:12" x14ac:dyDescent="0.25">
      <c r="A720" t="s">
        <v>7</v>
      </c>
      <c r="B720">
        <v>106</v>
      </c>
      <c r="C720" t="s">
        <v>3</v>
      </c>
      <c r="D720">
        <v>3</v>
      </c>
      <c r="E720">
        <v>0</v>
      </c>
      <c r="F720">
        <v>2</v>
      </c>
      <c r="G720">
        <v>1</v>
      </c>
      <c r="H720">
        <v>0</v>
      </c>
      <c r="I720">
        <v>0</v>
      </c>
      <c r="J720">
        <v>0</v>
      </c>
      <c r="K720">
        <v>0</v>
      </c>
      <c r="L720" t="b">
        <f t="shared" si="11"/>
        <v>1</v>
      </c>
    </row>
    <row r="721" spans="1:12" x14ac:dyDescent="0.25">
      <c r="A721" t="s">
        <v>7</v>
      </c>
      <c r="B721">
        <v>106</v>
      </c>
      <c r="C721" t="s">
        <v>5</v>
      </c>
      <c r="D721">
        <v>3</v>
      </c>
      <c r="E721">
        <v>2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 t="b">
        <f t="shared" si="11"/>
        <v>1</v>
      </c>
    </row>
    <row r="722" spans="1:12" x14ac:dyDescent="0.25">
      <c r="A722" t="s">
        <v>7</v>
      </c>
      <c r="B722">
        <v>106</v>
      </c>
      <c r="C722" t="s">
        <v>6</v>
      </c>
      <c r="D722">
        <v>6</v>
      </c>
      <c r="E722">
        <v>0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3</v>
      </c>
      <c r="L722" t="b">
        <f t="shared" si="11"/>
        <v>1</v>
      </c>
    </row>
    <row r="723" spans="1:12" x14ac:dyDescent="0.25">
      <c r="A723" t="s">
        <v>7</v>
      </c>
      <c r="B723">
        <v>106</v>
      </c>
      <c r="C723" t="s">
        <v>1</v>
      </c>
      <c r="D723">
        <v>47</v>
      </c>
      <c r="E723">
        <v>0</v>
      </c>
      <c r="F723">
        <v>5</v>
      </c>
      <c r="G723">
        <v>12</v>
      </c>
      <c r="H723">
        <v>0</v>
      </c>
      <c r="I723">
        <v>25</v>
      </c>
      <c r="J723">
        <v>0</v>
      </c>
      <c r="K723">
        <v>5</v>
      </c>
      <c r="L723" t="b">
        <f t="shared" si="11"/>
        <v>1</v>
      </c>
    </row>
    <row r="724" spans="1:12" x14ac:dyDescent="0.25">
      <c r="A724" t="s">
        <v>7</v>
      </c>
      <c r="B724">
        <v>106</v>
      </c>
      <c r="C724" t="s">
        <v>10</v>
      </c>
      <c r="D724">
        <v>3</v>
      </c>
      <c r="E724">
        <v>0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0</v>
      </c>
      <c r="L724" t="b">
        <f t="shared" si="11"/>
        <v>1</v>
      </c>
    </row>
    <row r="725" spans="1:12" x14ac:dyDescent="0.25">
      <c r="A725" t="s">
        <v>7</v>
      </c>
      <c r="B725">
        <v>106</v>
      </c>
      <c r="C725" t="s">
        <v>4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 t="b">
        <f t="shared" si="11"/>
        <v>1</v>
      </c>
    </row>
    <row r="726" spans="1:12" x14ac:dyDescent="0.25">
      <c r="A726" t="s">
        <v>7</v>
      </c>
      <c r="B726">
        <v>106</v>
      </c>
      <c r="C726" t="s">
        <v>9</v>
      </c>
      <c r="D726">
        <v>5</v>
      </c>
      <c r="E726">
        <v>1</v>
      </c>
      <c r="F726">
        <v>2</v>
      </c>
      <c r="G726">
        <v>1</v>
      </c>
      <c r="H726">
        <v>0</v>
      </c>
      <c r="I726">
        <v>0</v>
      </c>
      <c r="J726">
        <v>0</v>
      </c>
      <c r="K726">
        <v>1</v>
      </c>
      <c r="L726" t="b">
        <f t="shared" si="11"/>
        <v>1</v>
      </c>
    </row>
    <row r="727" spans="1:12" x14ac:dyDescent="0.25">
      <c r="A727" t="s">
        <v>7</v>
      </c>
      <c r="B727">
        <v>107</v>
      </c>
      <c r="C727" t="s">
        <v>2</v>
      </c>
      <c r="D727">
        <v>31</v>
      </c>
      <c r="E727">
        <v>0</v>
      </c>
      <c r="F727">
        <v>1</v>
      </c>
      <c r="G727">
        <v>6</v>
      </c>
      <c r="H727">
        <v>0</v>
      </c>
      <c r="I727">
        <v>24</v>
      </c>
      <c r="J727">
        <v>0</v>
      </c>
      <c r="K727">
        <v>0</v>
      </c>
      <c r="L727" t="b">
        <f t="shared" si="11"/>
        <v>1</v>
      </c>
    </row>
    <row r="728" spans="1:12" x14ac:dyDescent="0.25">
      <c r="A728" t="s">
        <v>7</v>
      </c>
      <c r="B728">
        <v>107</v>
      </c>
      <c r="C728" t="s">
        <v>3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 t="b">
        <f t="shared" si="11"/>
        <v>1</v>
      </c>
    </row>
    <row r="729" spans="1:12" x14ac:dyDescent="0.25">
      <c r="A729" t="s">
        <v>7</v>
      </c>
      <c r="B729">
        <v>107</v>
      </c>
      <c r="C729" t="s">
        <v>1</v>
      </c>
      <c r="D729">
        <v>33</v>
      </c>
      <c r="E729">
        <v>0</v>
      </c>
      <c r="F729">
        <v>3</v>
      </c>
      <c r="G729">
        <v>8</v>
      </c>
      <c r="H729">
        <v>0</v>
      </c>
      <c r="I729">
        <v>22</v>
      </c>
      <c r="J729">
        <v>0</v>
      </c>
      <c r="K729">
        <v>0</v>
      </c>
      <c r="L729" t="b">
        <f t="shared" si="11"/>
        <v>1</v>
      </c>
    </row>
    <row r="730" spans="1:12" x14ac:dyDescent="0.25">
      <c r="A730" t="s">
        <v>7</v>
      </c>
      <c r="B730">
        <v>107</v>
      </c>
      <c r="C730" t="s">
        <v>10</v>
      </c>
      <c r="D730">
        <v>1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 t="b">
        <f t="shared" si="11"/>
        <v>1</v>
      </c>
    </row>
    <row r="731" spans="1:12" x14ac:dyDescent="0.25">
      <c r="A731" t="s">
        <v>7</v>
      </c>
      <c r="B731">
        <v>108</v>
      </c>
      <c r="C731" t="s">
        <v>2</v>
      </c>
      <c r="D731">
        <v>7</v>
      </c>
      <c r="E731">
        <v>0</v>
      </c>
      <c r="F731">
        <v>0</v>
      </c>
      <c r="G731">
        <v>2</v>
      </c>
      <c r="H731">
        <v>0</v>
      </c>
      <c r="I731">
        <v>5</v>
      </c>
      <c r="J731">
        <v>0</v>
      </c>
      <c r="K731">
        <v>0</v>
      </c>
      <c r="L731" t="b">
        <f t="shared" si="11"/>
        <v>1</v>
      </c>
    </row>
    <row r="732" spans="1:12" x14ac:dyDescent="0.25">
      <c r="A732" t="s">
        <v>7</v>
      </c>
      <c r="B732">
        <v>108</v>
      </c>
      <c r="C732" t="s">
        <v>84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 t="b">
        <f t="shared" si="11"/>
        <v>1</v>
      </c>
    </row>
    <row r="733" spans="1:12" x14ac:dyDescent="0.25">
      <c r="A733" t="s">
        <v>7</v>
      </c>
      <c r="B733">
        <v>108</v>
      </c>
      <c r="C733" t="s">
        <v>6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 t="b">
        <f t="shared" si="11"/>
        <v>1</v>
      </c>
    </row>
    <row r="734" spans="1:12" x14ac:dyDescent="0.25">
      <c r="A734" t="s">
        <v>7</v>
      </c>
      <c r="B734">
        <v>108</v>
      </c>
      <c r="C734" t="s">
        <v>1</v>
      </c>
      <c r="D734">
        <v>11</v>
      </c>
      <c r="E734">
        <v>0</v>
      </c>
      <c r="F734">
        <v>0</v>
      </c>
      <c r="G734">
        <v>4</v>
      </c>
      <c r="H734">
        <v>0</v>
      </c>
      <c r="I734">
        <v>5</v>
      </c>
      <c r="J734">
        <v>0</v>
      </c>
      <c r="K734">
        <v>2</v>
      </c>
      <c r="L734" t="b">
        <f t="shared" si="11"/>
        <v>1</v>
      </c>
    </row>
    <row r="735" spans="1:12" x14ac:dyDescent="0.25">
      <c r="A735" t="s">
        <v>7</v>
      </c>
      <c r="B735">
        <v>109</v>
      </c>
      <c r="C735" t="s">
        <v>2</v>
      </c>
      <c r="D735">
        <v>20</v>
      </c>
      <c r="E735">
        <v>0</v>
      </c>
      <c r="F735">
        <v>0</v>
      </c>
      <c r="G735">
        <v>7</v>
      </c>
      <c r="H735">
        <v>0</v>
      </c>
      <c r="I735">
        <v>13</v>
      </c>
      <c r="J735">
        <v>0</v>
      </c>
      <c r="K735">
        <v>0</v>
      </c>
      <c r="L735" t="b">
        <f t="shared" si="11"/>
        <v>1</v>
      </c>
    </row>
    <row r="736" spans="1:12" x14ac:dyDescent="0.25">
      <c r="A736" t="s">
        <v>7</v>
      </c>
      <c r="B736">
        <v>109</v>
      </c>
      <c r="C736" t="s">
        <v>84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 t="b">
        <f t="shared" si="11"/>
        <v>1</v>
      </c>
    </row>
    <row r="737" spans="1:12" x14ac:dyDescent="0.25">
      <c r="A737" t="s">
        <v>7</v>
      </c>
      <c r="B737">
        <v>109</v>
      </c>
      <c r="C737" t="s">
        <v>3</v>
      </c>
      <c r="D737">
        <v>2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 t="b">
        <f t="shared" si="11"/>
        <v>1</v>
      </c>
    </row>
    <row r="738" spans="1:12" x14ac:dyDescent="0.25">
      <c r="A738" t="s">
        <v>7</v>
      </c>
      <c r="B738">
        <v>109</v>
      </c>
      <c r="C738" t="s">
        <v>5</v>
      </c>
      <c r="D738">
        <v>2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 t="b">
        <f t="shared" si="11"/>
        <v>1</v>
      </c>
    </row>
    <row r="739" spans="1:12" x14ac:dyDescent="0.25">
      <c r="A739" t="s">
        <v>7</v>
      </c>
      <c r="B739">
        <v>109</v>
      </c>
      <c r="C739" t="s">
        <v>6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 t="b">
        <f t="shared" si="11"/>
        <v>1</v>
      </c>
    </row>
    <row r="740" spans="1:12" x14ac:dyDescent="0.25">
      <c r="A740" t="s">
        <v>7</v>
      </c>
      <c r="B740">
        <v>109</v>
      </c>
      <c r="C740" t="s">
        <v>1</v>
      </c>
      <c r="D740">
        <v>24</v>
      </c>
      <c r="E740">
        <v>0</v>
      </c>
      <c r="F740">
        <v>1</v>
      </c>
      <c r="G740">
        <v>9</v>
      </c>
      <c r="H740">
        <v>0</v>
      </c>
      <c r="I740">
        <v>12</v>
      </c>
      <c r="J740">
        <v>0</v>
      </c>
      <c r="K740">
        <v>2</v>
      </c>
      <c r="L740" t="b">
        <f t="shared" si="11"/>
        <v>1</v>
      </c>
    </row>
    <row r="741" spans="1:12" x14ac:dyDescent="0.25">
      <c r="A741" t="s">
        <v>7</v>
      </c>
      <c r="B741">
        <v>109</v>
      </c>
      <c r="C741" t="s">
        <v>10</v>
      </c>
      <c r="D741">
        <v>1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 t="b">
        <f t="shared" si="11"/>
        <v>1</v>
      </c>
    </row>
    <row r="742" spans="1:12" x14ac:dyDescent="0.25">
      <c r="A742" t="s">
        <v>7</v>
      </c>
      <c r="B742">
        <v>109</v>
      </c>
      <c r="C742" t="s">
        <v>4</v>
      </c>
      <c r="D742">
        <v>2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 t="b">
        <f t="shared" si="11"/>
        <v>1</v>
      </c>
    </row>
    <row r="743" spans="1:12" x14ac:dyDescent="0.25">
      <c r="A743" t="s">
        <v>7</v>
      </c>
      <c r="B743">
        <v>109</v>
      </c>
      <c r="C743" t="s">
        <v>9</v>
      </c>
      <c r="D743">
        <v>3</v>
      </c>
      <c r="E743">
        <v>0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1</v>
      </c>
      <c r="L743" t="b">
        <f t="shared" si="11"/>
        <v>1</v>
      </c>
    </row>
    <row r="744" spans="1:12" x14ac:dyDescent="0.25">
      <c r="A744" t="s">
        <v>7</v>
      </c>
      <c r="B744">
        <v>110</v>
      </c>
      <c r="C744" t="s">
        <v>2</v>
      </c>
      <c r="D744">
        <v>4</v>
      </c>
      <c r="E744">
        <v>0</v>
      </c>
      <c r="F744">
        <v>0</v>
      </c>
      <c r="G744">
        <v>1</v>
      </c>
      <c r="H744">
        <v>0</v>
      </c>
      <c r="I744">
        <v>3</v>
      </c>
      <c r="J744">
        <v>0</v>
      </c>
      <c r="K744">
        <v>0</v>
      </c>
      <c r="L744" t="b">
        <f t="shared" si="11"/>
        <v>1</v>
      </c>
    </row>
    <row r="745" spans="1:12" x14ac:dyDescent="0.25">
      <c r="A745" t="s">
        <v>7</v>
      </c>
      <c r="B745">
        <v>110</v>
      </c>
      <c r="C745" t="s">
        <v>3</v>
      </c>
      <c r="D745">
        <v>2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 t="b">
        <f t="shared" si="11"/>
        <v>1</v>
      </c>
    </row>
    <row r="746" spans="1:12" x14ac:dyDescent="0.25">
      <c r="A746" t="s">
        <v>7</v>
      </c>
      <c r="B746">
        <v>110</v>
      </c>
      <c r="C746" t="s">
        <v>6</v>
      </c>
      <c r="D746">
        <v>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 t="b">
        <f t="shared" si="11"/>
        <v>1</v>
      </c>
    </row>
    <row r="747" spans="1:12" x14ac:dyDescent="0.25">
      <c r="A747" t="s">
        <v>7</v>
      </c>
      <c r="B747">
        <v>110</v>
      </c>
      <c r="C747" t="s">
        <v>1</v>
      </c>
      <c r="D747">
        <v>8</v>
      </c>
      <c r="E747">
        <v>0</v>
      </c>
      <c r="F747">
        <v>3</v>
      </c>
      <c r="G747">
        <v>2</v>
      </c>
      <c r="H747">
        <v>0</v>
      </c>
      <c r="I747">
        <v>3</v>
      </c>
      <c r="J747">
        <v>0</v>
      </c>
      <c r="K747">
        <v>0</v>
      </c>
      <c r="L747" t="b">
        <f t="shared" si="11"/>
        <v>1</v>
      </c>
    </row>
    <row r="748" spans="1:12" x14ac:dyDescent="0.25">
      <c r="A748" t="s">
        <v>7</v>
      </c>
      <c r="B748">
        <v>110</v>
      </c>
      <c r="C748" t="s">
        <v>10</v>
      </c>
      <c r="D748">
        <v>2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  <c r="L748" t="b">
        <f t="shared" si="11"/>
        <v>1</v>
      </c>
    </row>
    <row r="749" spans="1:12" x14ac:dyDescent="0.25">
      <c r="A749" t="s">
        <v>7</v>
      </c>
      <c r="B749">
        <v>110</v>
      </c>
      <c r="C749" t="s">
        <v>4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 t="b">
        <f t="shared" si="11"/>
        <v>1</v>
      </c>
    </row>
    <row r="750" spans="1:12" x14ac:dyDescent="0.25">
      <c r="A750" t="s">
        <v>7</v>
      </c>
      <c r="B750">
        <v>111</v>
      </c>
      <c r="C750" t="s">
        <v>2</v>
      </c>
      <c r="D750">
        <v>6</v>
      </c>
      <c r="E750">
        <v>0</v>
      </c>
      <c r="F750">
        <v>0</v>
      </c>
      <c r="G750">
        <v>1</v>
      </c>
      <c r="H750">
        <v>0</v>
      </c>
      <c r="I750">
        <v>5</v>
      </c>
      <c r="J750">
        <v>0</v>
      </c>
      <c r="K750">
        <v>0</v>
      </c>
      <c r="L750" t="b">
        <f t="shared" si="11"/>
        <v>1</v>
      </c>
    </row>
    <row r="751" spans="1:12" x14ac:dyDescent="0.25">
      <c r="A751" t="s">
        <v>7</v>
      </c>
      <c r="B751">
        <v>111</v>
      </c>
      <c r="C751" t="s">
        <v>84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 t="b">
        <f t="shared" si="11"/>
        <v>1</v>
      </c>
    </row>
    <row r="752" spans="1:12" x14ac:dyDescent="0.25">
      <c r="A752" t="s">
        <v>7</v>
      </c>
      <c r="B752">
        <v>111</v>
      </c>
      <c r="C752" t="s">
        <v>6</v>
      </c>
      <c r="D752">
        <v>2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 t="b">
        <f t="shared" si="11"/>
        <v>1</v>
      </c>
    </row>
    <row r="753" spans="1:12" x14ac:dyDescent="0.25">
      <c r="A753" t="s">
        <v>7</v>
      </c>
      <c r="B753">
        <v>111</v>
      </c>
      <c r="C753" t="s">
        <v>1</v>
      </c>
      <c r="D753">
        <v>8</v>
      </c>
      <c r="E753">
        <v>0</v>
      </c>
      <c r="F753">
        <v>0</v>
      </c>
      <c r="G753">
        <v>1</v>
      </c>
      <c r="H753">
        <v>0</v>
      </c>
      <c r="I753">
        <v>5</v>
      </c>
      <c r="J753">
        <v>0</v>
      </c>
      <c r="K753">
        <v>2</v>
      </c>
      <c r="L753" t="b">
        <f t="shared" si="11"/>
        <v>1</v>
      </c>
    </row>
    <row r="754" spans="1:12" x14ac:dyDescent="0.25">
      <c r="A754" t="s">
        <v>7</v>
      </c>
      <c r="B754">
        <v>111</v>
      </c>
      <c r="C754" t="s">
        <v>9</v>
      </c>
      <c r="D754">
        <v>2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 t="b">
        <f t="shared" si="11"/>
        <v>1</v>
      </c>
    </row>
    <row r="755" spans="1:12" x14ac:dyDescent="0.25">
      <c r="A755" t="s">
        <v>7</v>
      </c>
      <c r="B755">
        <v>112</v>
      </c>
      <c r="C755" t="s">
        <v>2</v>
      </c>
      <c r="D755">
        <v>5</v>
      </c>
      <c r="E755">
        <v>0</v>
      </c>
      <c r="F755">
        <v>0</v>
      </c>
      <c r="G755">
        <v>2</v>
      </c>
      <c r="H755">
        <v>0</v>
      </c>
      <c r="I755">
        <v>3</v>
      </c>
      <c r="J755">
        <v>0</v>
      </c>
      <c r="K755">
        <v>0</v>
      </c>
      <c r="L755" t="b">
        <f t="shared" si="11"/>
        <v>1</v>
      </c>
    </row>
    <row r="756" spans="1:12" x14ac:dyDescent="0.25">
      <c r="A756" t="s">
        <v>7</v>
      </c>
      <c r="B756">
        <v>112</v>
      </c>
      <c r="C756" t="s">
        <v>6</v>
      </c>
      <c r="D756">
        <v>2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1</v>
      </c>
      <c r="L756" t="b">
        <f t="shared" si="11"/>
        <v>1</v>
      </c>
    </row>
    <row r="757" spans="1:12" x14ac:dyDescent="0.25">
      <c r="A757" t="s">
        <v>7</v>
      </c>
      <c r="B757">
        <v>112</v>
      </c>
      <c r="C757" t="s">
        <v>1</v>
      </c>
      <c r="D757">
        <v>7</v>
      </c>
      <c r="E757">
        <v>0</v>
      </c>
      <c r="F757">
        <v>0</v>
      </c>
      <c r="G757">
        <v>2</v>
      </c>
      <c r="H757">
        <v>0</v>
      </c>
      <c r="I757">
        <v>3</v>
      </c>
      <c r="J757">
        <v>0</v>
      </c>
      <c r="K757">
        <v>2</v>
      </c>
      <c r="L757" t="b">
        <f t="shared" si="11"/>
        <v>1</v>
      </c>
    </row>
    <row r="758" spans="1:12" x14ac:dyDescent="0.25">
      <c r="A758" t="s">
        <v>7</v>
      </c>
      <c r="B758">
        <v>112</v>
      </c>
      <c r="C758" t="s">
        <v>9</v>
      </c>
      <c r="D758">
        <v>3</v>
      </c>
      <c r="E758">
        <v>0</v>
      </c>
      <c r="F758">
        <v>2</v>
      </c>
      <c r="G758">
        <v>0</v>
      </c>
      <c r="H758">
        <v>0</v>
      </c>
      <c r="I758">
        <v>0</v>
      </c>
      <c r="J758">
        <v>0</v>
      </c>
      <c r="K758">
        <v>1</v>
      </c>
      <c r="L758" t="b">
        <f t="shared" si="11"/>
        <v>1</v>
      </c>
    </row>
    <row r="759" spans="1:12" x14ac:dyDescent="0.25">
      <c r="A759" t="s">
        <v>7</v>
      </c>
      <c r="B759">
        <v>113</v>
      </c>
      <c r="C759" t="s">
        <v>2</v>
      </c>
      <c r="D759">
        <v>3</v>
      </c>
      <c r="E759">
        <v>0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 t="b">
        <f t="shared" si="11"/>
        <v>1</v>
      </c>
    </row>
    <row r="760" spans="1:12" x14ac:dyDescent="0.25">
      <c r="A760" t="s">
        <v>7</v>
      </c>
      <c r="B760">
        <v>113</v>
      </c>
      <c r="C760" t="s">
        <v>84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 t="b">
        <f t="shared" si="11"/>
        <v>1</v>
      </c>
    </row>
    <row r="761" spans="1:12" x14ac:dyDescent="0.25">
      <c r="A761" t="s">
        <v>7</v>
      </c>
      <c r="B761">
        <v>113</v>
      </c>
      <c r="C761" t="s">
        <v>6</v>
      </c>
      <c r="D761">
        <v>2</v>
      </c>
      <c r="E761">
        <v>0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 t="b">
        <f t="shared" si="11"/>
        <v>1</v>
      </c>
    </row>
    <row r="762" spans="1:12" x14ac:dyDescent="0.25">
      <c r="A762" t="s">
        <v>7</v>
      </c>
      <c r="B762">
        <v>113</v>
      </c>
      <c r="C762" t="s">
        <v>1</v>
      </c>
      <c r="D762">
        <v>5</v>
      </c>
      <c r="E762">
        <v>0</v>
      </c>
      <c r="F762">
        <v>3</v>
      </c>
      <c r="G762">
        <v>1</v>
      </c>
      <c r="H762">
        <v>0</v>
      </c>
      <c r="I762">
        <v>1</v>
      </c>
      <c r="J762">
        <v>0</v>
      </c>
      <c r="K762">
        <v>0</v>
      </c>
      <c r="L762" t="b">
        <f t="shared" si="11"/>
        <v>1</v>
      </c>
    </row>
    <row r="763" spans="1:12" x14ac:dyDescent="0.25">
      <c r="A763" t="s">
        <v>7</v>
      </c>
      <c r="B763">
        <v>113</v>
      </c>
      <c r="C763" t="s">
        <v>10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 t="b">
        <f t="shared" si="11"/>
        <v>1</v>
      </c>
    </row>
    <row r="764" spans="1:12" x14ac:dyDescent="0.25">
      <c r="A764" t="s">
        <v>7</v>
      </c>
      <c r="B764">
        <v>114</v>
      </c>
      <c r="C764" t="s">
        <v>2</v>
      </c>
      <c r="D764">
        <v>8</v>
      </c>
      <c r="E764">
        <v>0</v>
      </c>
      <c r="F764">
        <v>0</v>
      </c>
      <c r="G764">
        <v>1</v>
      </c>
      <c r="H764">
        <v>0</v>
      </c>
      <c r="I764">
        <v>7</v>
      </c>
      <c r="J764">
        <v>0</v>
      </c>
      <c r="K764">
        <v>0</v>
      </c>
      <c r="L764" t="b">
        <f t="shared" si="11"/>
        <v>1</v>
      </c>
    </row>
    <row r="765" spans="1:12" x14ac:dyDescent="0.25">
      <c r="A765" t="s">
        <v>7</v>
      </c>
      <c r="B765">
        <v>114</v>
      </c>
      <c r="C765" t="s">
        <v>1</v>
      </c>
      <c r="D765">
        <v>8</v>
      </c>
      <c r="E765">
        <v>0</v>
      </c>
      <c r="F765">
        <v>0</v>
      </c>
      <c r="G765">
        <v>1</v>
      </c>
      <c r="H765">
        <v>0</v>
      </c>
      <c r="I765">
        <v>7</v>
      </c>
      <c r="J765">
        <v>0</v>
      </c>
      <c r="K765">
        <v>0</v>
      </c>
      <c r="L765" t="b">
        <f t="shared" si="11"/>
        <v>1</v>
      </c>
    </row>
    <row r="766" spans="1:12" x14ac:dyDescent="0.25">
      <c r="A766" t="s">
        <v>7</v>
      </c>
      <c r="B766">
        <v>115</v>
      </c>
      <c r="C766" t="s">
        <v>2</v>
      </c>
      <c r="D766">
        <v>11</v>
      </c>
      <c r="E766">
        <v>0</v>
      </c>
      <c r="F766">
        <v>1</v>
      </c>
      <c r="G766">
        <v>2</v>
      </c>
      <c r="H766">
        <v>0</v>
      </c>
      <c r="I766">
        <v>8</v>
      </c>
      <c r="J766">
        <v>0</v>
      </c>
      <c r="K766">
        <v>0</v>
      </c>
      <c r="L766" t="b">
        <f t="shared" si="11"/>
        <v>1</v>
      </c>
    </row>
    <row r="767" spans="1:12" x14ac:dyDescent="0.25">
      <c r="A767" t="s">
        <v>7</v>
      </c>
      <c r="B767">
        <v>115</v>
      </c>
      <c r="C767" t="s">
        <v>84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 t="b">
        <f t="shared" si="11"/>
        <v>1</v>
      </c>
    </row>
    <row r="768" spans="1:12" x14ac:dyDescent="0.25">
      <c r="A768" t="s">
        <v>7</v>
      </c>
      <c r="B768">
        <v>115</v>
      </c>
      <c r="C768" t="s">
        <v>3</v>
      </c>
      <c r="D768">
        <v>2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 t="b">
        <f t="shared" si="11"/>
        <v>1</v>
      </c>
    </row>
    <row r="769" spans="1:12" x14ac:dyDescent="0.25">
      <c r="A769" t="s">
        <v>7</v>
      </c>
      <c r="B769">
        <v>115</v>
      </c>
      <c r="C769" t="s">
        <v>1</v>
      </c>
      <c r="D769">
        <v>15</v>
      </c>
      <c r="E769">
        <v>0</v>
      </c>
      <c r="F769">
        <v>1</v>
      </c>
      <c r="G769">
        <v>4</v>
      </c>
      <c r="H769">
        <v>0</v>
      </c>
      <c r="I769">
        <v>8</v>
      </c>
      <c r="J769">
        <v>0</v>
      </c>
      <c r="K769">
        <v>2</v>
      </c>
      <c r="L769" t="b">
        <f t="shared" si="11"/>
        <v>1</v>
      </c>
    </row>
    <row r="770" spans="1:12" x14ac:dyDescent="0.25">
      <c r="A770" t="s">
        <v>7</v>
      </c>
      <c r="B770">
        <v>115</v>
      </c>
      <c r="C770" t="s">
        <v>10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 t="b">
        <f t="shared" si="11"/>
        <v>1</v>
      </c>
    </row>
    <row r="771" spans="1:12" x14ac:dyDescent="0.25">
      <c r="A771" t="s">
        <v>7</v>
      </c>
      <c r="B771">
        <v>115</v>
      </c>
      <c r="C771" t="s">
        <v>4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 t="b">
        <f t="shared" si="11"/>
        <v>1</v>
      </c>
    </row>
    <row r="772" spans="1:12" x14ac:dyDescent="0.25">
      <c r="A772" t="s">
        <v>7</v>
      </c>
      <c r="B772">
        <v>115</v>
      </c>
      <c r="C772" t="s">
        <v>9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 t="b">
        <f t="shared" ref="L772:L835" si="12">SUM(E772:K772)=D772</f>
        <v>1</v>
      </c>
    </row>
    <row r="773" spans="1:12" x14ac:dyDescent="0.25">
      <c r="A773" t="s">
        <v>7</v>
      </c>
      <c r="B773">
        <v>116</v>
      </c>
      <c r="C773" t="s">
        <v>2</v>
      </c>
      <c r="D773">
        <v>8</v>
      </c>
      <c r="E773">
        <v>0</v>
      </c>
      <c r="F773">
        <v>1</v>
      </c>
      <c r="G773">
        <v>1</v>
      </c>
      <c r="H773">
        <v>0</v>
      </c>
      <c r="I773">
        <v>6</v>
      </c>
      <c r="J773">
        <v>0</v>
      </c>
      <c r="K773">
        <v>0</v>
      </c>
      <c r="L773" t="b">
        <f t="shared" si="12"/>
        <v>1</v>
      </c>
    </row>
    <row r="774" spans="1:12" x14ac:dyDescent="0.25">
      <c r="A774" t="s">
        <v>7</v>
      </c>
      <c r="B774">
        <v>116</v>
      </c>
      <c r="C774" t="s">
        <v>3</v>
      </c>
      <c r="D774">
        <v>2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 t="b">
        <f t="shared" si="12"/>
        <v>1</v>
      </c>
    </row>
    <row r="775" spans="1:12" x14ac:dyDescent="0.25">
      <c r="A775" t="s">
        <v>7</v>
      </c>
      <c r="B775">
        <v>116</v>
      </c>
      <c r="C775" t="s">
        <v>1</v>
      </c>
      <c r="D775">
        <v>12</v>
      </c>
      <c r="E775">
        <v>0</v>
      </c>
      <c r="F775">
        <v>2</v>
      </c>
      <c r="G775">
        <v>2</v>
      </c>
      <c r="H775">
        <v>0</v>
      </c>
      <c r="I775">
        <v>6</v>
      </c>
      <c r="J775">
        <v>0</v>
      </c>
      <c r="K775">
        <v>2</v>
      </c>
      <c r="L775" t="b">
        <f t="shared" si="12"/>
        <v>1</v>
      </c>
    </row>
    <row r="776" spans="1:12" x14ac:dyDescent="0.25">
      <c r="A776" t="s">
        <v>7</v>
      </c>
      <c r="B776">
        <v>116</v>
      </c>
      <c r="C776" t="s">
        <v>10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2</v>
      </c>
      <c r="J776">
        <v>0</v>
      </c>
      <c r="K776">
        <v>0</v>
      </c>
      <c r="L776" t="b">
        <f t="shared" si="12"/>
        <v>1</v>
      </c>
    </row>
    <row r="777" spans="1:12" x14ac:dyDescent="0.25">
      <c r="A777" t="s">
        <v>7</v>
      </c>
      <c r="B777">
        <v>116</v>
      </c>
      <c r="C777" t="s">
        <v>4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 t="b">
        <f t="shared" si="12"/>
        <v>1</v>
      </c>
    </row>
    <row r="778" spans="1:12" x14ac:dyDescent="0.25">
      <c r="A778" t="s">
        <v>7</v>
      </c>
      <c r="B778">
        <v>116</v>
      </c>
      <c r="C778" t="s">
        <v>9</v>
      </c>
      <c r="D778">
        <v>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 t="b">
        <f t="shared" si="12"/>
        <v>1</v>
      </c>
    </row>
    <row r="779" spans="1:12" x14ac:dyDescent="0.25">
      <c r="A779" t="s">
        <v>7</v>
      </c>
      <c r="B779">
        <v>117</v>
      </c>
      <c r="C779" t="s">
        <v>2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 t="b">
        <f t="shared" si="12"/>
        <v>1</v>
      </c>
    </row>
    <row r="780" spans="1:12" x14ac:dyDescent="0.25">
      <c r="A780" t="s">
        <v>7</v>
      </c>
      <c r="B780">
        <v>117</v>
      </c>
      <c r="C780" t="s">
        <v>6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 t="b">
        <f t="shared" si="12"/>
        <v>1</v>
      </c>
    </row>
    <row r="781" spans="1:12" x14ac:dyDescent="0.25">
      <c r="A781" t="s">
        <v>7</v>
      </c>
      <c r="B781">
        <v>117</v>
      </c>
      <c r="C781" t="s">
        <v>1</v>
      </c>
      <c r="D781">
        <v>3</v>
      </c>
      <c r="E781">
        <v>0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1</v>
      </c>
      <c r="L781" t="b">
        <f t="shared" si="12"/>
        <v>1</v>
      </c>
    </row>
    <row r="782" spans="1:12" x14ac:dyDescent="0.25">
      <c r="A782" t="s">
        <v>7</v>
      </c>
      <c r="B782">
        <v>117</v>
      </c>
      <c r="C782" t="s">
        <v>9</v>
      </c>
      <c r="D782">
        <v>1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 t="b">
        <f t="shared" si="12"/>
        <v>1</v>
      </c>
    </row>
    <row r="783" spans="1:12" x14ac:dyDescent="0.25">
      <c r="A783" t="s">
        <v>7</v>
      </c>
      <c r="B783">
        <v>118</v>
      </c>
      <c r="C783" t="s">
        <v>2</v>
      </c>
      <c r="D783">
        <v>17</v>
      </c>
      <c r="E783">
        <v>0</v>
      </c>
      <c r="F783">
        <v>0</v>
      </c>
      <c r="G783">
        <v>6</v>
      </c>
      <c r="H783">
        <v>0</v>
      </c>
      <c r="I783">
        <v>11</v>
      </c>
      <c r="J783">
        <v>0</v>
      </c>
      <c r="K783">
        <v>0</v>
      </c>
      <c r="L783" t="b">
        <f t="shared" si="12"/>
        <v>1</v>
      </c>
    </row>
    <row r="784" spans="1:12" x14ac:dyDescent="0.25">
      <c r="A784" t="s">
        <v>7</v>
      </c>
      <c r="B784">
        <v>118</v>
      </c>
      <c r="C784" t="s">
        <v>84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 t="b">
        <f t="shared" si="12"/>
        <v>1</v>
      </c>
    </row>
    <row r="785" spans="1:12" x14ac:dyDescent="0.25">
      <c r="A785" t="s">
        <v>7</v>
      </c>
      <c r="B785">
        <v>118</v>
      </c>
      <c r="C785" t="s">
        <v>1</v>
      </c>
      <c r="D785">
        <v>18</v>
      </c>
      <c r="E785">
        <v>0</v>
      </c>
      <c r="F785">
        <v>2</v>
      </c>
      <c r="G785">
        <v>5</v>
      </c>
      <c r="H785">
        <v>0</v>
      </c>
      <c r="I785">
        <v>9</v>
      </c>
      <c r="J785">
        <v>0</v>
      </c>
      <c r="K785">
        <v>2</v>
      </c>
      <c r="L785" t="b">
        <f t="shared" si="12"/>
        <v>1</v>
      </c>
    </row>
    <row r="786" spans="1:12" x14ac:dyDescent="0.25">
      <c r="A786" t="s">
        <v>7</v>
      </c>
      <c r="B786">
        <v>118</v>
      </c>
      <c r="C786" t="s">
        <v>10</v>
      </c>
      <c r="D786">
        <v>2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 t="b">
        <f t="shared" si="12"/>
        <v>1</v>
      </c>
    </row>
    <row r="787" spans="1:12" x14ac:dyDescent="0.25">
      <c r="A787" t="s">
        <v>7</v>
      </c>
      <c r="B787">
        <v>118</v>
      </c>
      <c r="C787" t="s">
        <v>4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 t="b">
        <f t="shared" si="12"/>
        <v>1</v>
      </c>
    </row>
    <row r="788" spans="1:12" x14ac:dyDescent="0.25">
      <c r="A788" t="s">
        <v>7</v>
      </c>
      <c r="B788">
        <v>118</v>
      </c>
      <c r="C788" t="s">
        <v>9</v>
      </c>
      <c r="D788">
        <v>2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0</v>
      </c>
      <c r="L788" t="b">
        <f t="shared" si="12"/>
        <v>1</v>
      </c>
    </row>
    <row r="789" spans="1:12" x14ac:dyDescent="0.25">
      <c r="A789" t="s">
        <v>7</v>
      </c>
      <c r="B789">
        <v>119</v>
      </c>
      <c r="C789" t="s">
        <v>2</v>
      </c>
      <c r="D789">
        <v>80</v>
      </c>
      <c r="E789">
        <v>0</v>
      </c>
      <c r="F789">
        <v>1</v>
      </c>
      <c r="G789">
        <v>7</v>
      </c>
      <c r="H789">
        <v>1</v>
      </c>
      <c r="I789">
        <v>71</v>
      </c>
      <c r="J789">
        <v>0</v>
      </c>
      <c r="K789">
        <v>0</v>
      </c>
      <c r="L789" t="b">
        <f t="shared" si="12"/>
        <v>1</v>
      </c>
    </row>
    <row r="790" spans="1:12" x14ac:dyDescent="0.25">
      <c r="A790" t="s">
        <v>7</v>
      </c>
      <c r="B790">
        <v>119</v>
      </c>
      <c r="C790" t="s">
        <v>84</v>
      </c>
      <c r="D790">
        <v>6</v>
      </c>
      <c r="E790">
        <v>0</v>
      </c>
      <c r="F790">
        <v>3</v>
      </c>
      <c r="G790">
        <v>0</v>
      </c>
      <c r="H790">
        <v>0</v>
      </c>
      <c r="I790">
        <v>1</v>
      </c>
      <c r="J790">
        <v>0</v>
      </c>
      <c r="K790">
        <v>2</v>
      </c>
      <c r="L790" t="b">
        <f t="shared" si="12"/>
        <v>1</v>
      </c>
    </row>
    <row r="791" spans="1:12" x14ac:dyDescent="0.25">
      <c r="A791" t="s">
        <v>7</v>
      </c>
      <c r="B791">
        <v>119</v>
      </c>
      <c r="C791" t="s">
        <v>1</v>
      </c>
      <c r="D791">
        <v>108</v>
      </c>
      <c r="E791">
        <v>0</v>
      </c>
      <c r="F791">
        <v>6</v>
      </c>
      <c r="G791">
        <v>35</v>
      </c>
      <c r="H791">
        <v>3</v>
      </c>
      <c r="I791">
        <v>64</v>
      </c>
      <c r="J791">
        <v>0</v>
      </c>
      <c r="K791">
        <v>0</v>
      </c>
      <c r="L791" t="b">
        <f t="shared" si="12"/>
        <v>1</v>
      </c>
    </row>
    <row r="792" spans="1:12" x14ac:dyDescent="0.25">
      <c r="A792" t="s">
        <v>7</v>
      </c>
      <c r="B792">
        <v>119</v>
      </c>
      <c r="C792" t="s">
        <v>10</v>
      </c>
      <c r="D792">
        <v>11</v>
      </c>
      <c r="E792">
        <v>0</v>
      </c>
      <c r="F792">
        <v>0</v>
      </c>
      <c r="G792">
        <v>2</v>
      </c>
      <c r="H792">
        <v>0</v>
      </c>
      <c r="I792">
        <v>9</v>
      </c>
      <c r="J792">
        <v>0</v>
      </c>
      <c r="K792">
        <v>0</v>
      </c>
      <c r="L792" t="b">
        <f t="shared" si="12"/>
        <v>1</v>
      </c>
    </row>
    <row r="793" spans="1:12" x14ac:dyDescent="0.25">
      <c r="A793" t="s">
        <v>7</v>
      </c>
      <c r="B793">
        <v>119</v>
      </c>
      <c r="C793" t="s">
        <v>9</v>
      </c>
      <c r="D793">
        <v>2</v>
      </c>
      <c r="E793">
        <v>0</v>
      </c>
      <c r="F793">
        <v>2</v>
      </c>
      <c r="G793">
        <v>0</v>
      </c>
      <c r="H793">
        <v>0</v>
      </c>
      <c r="I793">
        <v>0</v>
      </c>
      <c r="J793">
        <v>0</v>
      </c>
      <c r="K793">
        <v>0</v>
      </c>
      <c r="L793" t="b">
        <f t="shared" si="12"/>
        <v>1</v>
      </c>
    </row>
    <row r="794" spans="1:12" x14ac:dyDescent="0.25">
      <c r="A794" t="s">
        <v>7</v>
      </c>
      <c r="B794">
        <v>120</v>
      </c>
      <c r="C794" t="s">
        <v>2</v>
      </c>
      <c r="D794">
        <v>2</v>
      </c>
      <c r="E794">
        <v>0</v>
      </c>
      <c r="F794">
        <v>0</v>
      </c>
      <c r="G794">
        <v>0</v>
      </c>
      <c r="H794">
        <v>0</v>
      </c>
      <c r="I794">
        <v>2</v>
      </c>
      <c r="J794">
        <v>0</v>
      </c>
      <c r="K794">
        <v>0</v>
      </c>
      <c r="L794" t="b">
        <f t="shared" si="12"/>
        <v>1</v>
      </c>
    </row>
    <row r="795" spans="1:12" x14ac:dyDescent="0.25">
      <c r="A795" t="s">
        <v>7</v>
      </c>
      <c r="B795">
        <v>120</v>
      </c>
      <c r="C795" t="s">
        <v>3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 t="b">
        <f t="shared" si="12"/>
        <v>1</v>
      </c>
    </row>
    <row r="796" spans="1:12" x14ac:dyDescent="0.25">
      <c r="A796" t="s">
        <v>7</v>
      </c>
      <c r="B796">
        <v>120</v>
      </c>
      <c r="C796" t="s">
        <v>1</v>
      </c>
      <c r="D796">
        <v>5</v>
      </c>
      <c r="E796">
        <v>0</v>
      </c>
      <c r="F796">
        <v>2</v>
      </c>
      <c r="G796">
        <v>1</v>
      </c>
      <c r="H796">
        <v>0</v>
      </c>
      <c r="I796">
        <v>2</v>
      </c>
      <c r="J796">
        <v>0</v>
      </c>
      <c r="K796">
        <v>0</v>
      </c>
      <c r="L796" t="b">
        <f t="shared" si="12"/>
        <v>1</v>
      </c>
    </row>
    <row r="797" spans="1:12" x14ac:dyDescent="0.25">
      <c r="A797" t="s">
        <v>7</v>
      </c>
      <c r="B797">
        <v>120</v>
      </c>
      <c r="C797" t="s">
        <v>10</v>
      </c>
      <c r="D797">
        <v>3</v>
      </c>
      <c r="E797">
        <v>0</v>
      </c>
      <c r="F797">
        <v>0</v>
      </c>
      <c r="G797">
        <v>0</v>
      </c>
      <c r="H797">
        <v>0</v>
      </c>
      <c r="I797">
        <v>3</v>
      </c>
      <c r="J797">
        <v>0</v>
      </c>
      <c r="K797">
        <v>0</v>
      </c>
      <c r="L797" t="b">
        <f t="shared" si="12"/>
        <v>1</v>
      </c>
    </row>
    <row r="798" spans="1:12" x14ac:dyDescent="0.25">
      <c r="A798" t="s">
        <v>7</v>
      </c>
      <c r="B798">
        <v>121</v>
      </c>
      <c r="C798" t="s">
        <v>2</v>
      </c>
      <c r="D798">
        <v>7</v>
      </c>
      <c r="E798">
        <v>0</v>
      </c>
      <c r="F798">
        <v>1</v>
      </c>
      <c r="G798">
        <v>1</v>
      </c>
      <c r="H798">
        <v>0</v>
      </c>
      <c r="I798">
        <v>5</v>
      </c>
      <c r="J798">
        <v>0</v>
      </c>
      <c r="K798">
        <v>0</v>
      </c>
      <c r="L798" t="b">
        <f t="shared" si="12"/>
        <v>1</v>
      </c>
    </row>
    <row r="799" spans="1:12" x14ac:dyDescent="0.25">
      <c r="A799" t="s">
        <v>7</v>
      </c>
      <c r="B799">
        <v>121</v>
      </c>
      <c r="C799" t="s">
        <v>3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 t="b">
        <f t="shared" si="12"/>
        <v>1</v>
      </c>
    </row>
    <row r="800" spans="1:12" x14ac:dyDescent="0.25">
      <c r="A800" t="s">
        <v>7</v>
      </c>
      <c r="B800">
        <v>121</v>
      </c>
      <c r="C800" t="s">
        <v>1</v>
      </c>
      <c r="D800">
        <v>12</v>
      </c>
      <c r="E800">
        <v>0</v>
      </c>
      <c r="F800">
        <v>6</v>
      </c>
      <c r="G800">
        <v>1</v>
      </c>
      <c r="H800">
        <v>0</v>
      </c>
      <c r="I800">
        <v>5</v>
      </c>
      <c r="J800">
        <v>0</v>
      </c>
      <c r="K800">
        <v>0</v>
      </c>
      <c r="L800" t="b">
        <f t="shared" si="12"/>
        <v>1</v>
      </c>
    </row>
    <row r="801" spans="1:12" x14ac:dyDescent="0.25">
      <c r="A801" t="s">
        <v>7</v>
      </c>
      <c r="B801">
        <v>122</v>
      </c>
      <c r="C801" t="s">
        <v>2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6</v>
      </c>
      <c r="J801">
        <v>0</v>
      </c>
      <c r="K801">
        <v>0</v>
      </c>
      <c r="L801" t="b">
        <f t="shared" si="12"/>
        <v>1</v>
      </c>
    </row>
    <row r="802" spans="1:12" x14ac:dyDescent="0.25">
      <c r="A802" t="s">
        <v>7</v>
      </c>
      <c r="B802">
        <v>122</v>
      </c>
      <c r="C802" t="s">
        <v>3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 t="b">
        <f t="shared" si="12"/>
        <v>1</v>
      </c>
    </row>
    <row r="803" spans="1:12" x14ac:dyDescent="0.25">
      <c r="A803" t="s">
        <v>7</v>
      </c>
      <c r="B803">
        <v>122</v>
      </c>
      <c r="C803" t="s">
        <v>5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b">
        <f t="shared" si="12"/>
        <v>1</v>
      </c>
    </row>
    <row r="804" spans="1:12" x14ac:dyDescent="0.25">
      <c r="A804" t="s">
        <v>7</v>
      </c>
      <c r="B804">
        <v>122</v>
      </c>
      <c r="C804" t="s">
        <v>6</v>
      </c>
      <c r="D804">
        <v>2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 t="b">
        <f t="shared" si="12"/>
        <v>1</v>
      </c>
    </row>
    <row r="805" spans="1:12" x14ac:dyDescent="0.25">
      <c r="A805" t="s">
        <v>7</v>
      </c>
      <c r="B805">
        <v>122</v>
      </c>
      <c r="C805" t="s">
        <v>1</v>
      </c>
      <c r="D805">
        <v>7</v>
      </c>
      <c r="E805">
        <v>0</v>
      </c>
      <c r="F805">
        <v>1</v>
      </c>
      <c r="G805">
        <v>0</v>
      </c>
      <c r="H805">
        <v>0</v>
      </c>
      <c r="I805">
        <v>6</v>
      </c>
      <c r="J805">
        <v>0</v>
      </c>
      <c r="K805">
        <v>0</v>
      </c>
      <c r="L805" t="b">
        <f t="shared" si="12"/>
        <v>1</v>
      </c>
    </row>
    <row r="806" spans="1:12" x14ac:dyDescent="0.25">
      <c r="A806" t="s">
        <v>7</v>
      </c>
      <c r="B806">
        <v>123</v>
      </c>
      <c r="C806" t="s">
        <v>2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2</v>
      </c>
      <c r="J806">
        <v>0</v>
      </c>
      <c r="K806">
        <v>0</v>
      </c>
      <c r="L806" t="b">
        <f t="shared" si="12"/>
        <v>1</v>
      </c>
    </row>
    <row r="807" spans="1:12" x14ac:dyDescent="0.25">
      <c r="A807" t="s">
        <v>7</v>
      </c>
      <c r="B807">
        <v>123</v>
      </c>
      <c r="C807" t="s">
        <v>3</v>
      </c>
      <c r="D807">
        <v>3</v>
      </c>
      <c r="E807">
        <v>2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 t="b">
        <f t="shared" si="12"/>
        <v>1</v>
      </c>
    </row>
    <row r="808" spans="1:12" x14ac:dyDescent="0.25">
      <c r="A808" t="s">
        <v>7</v>
      </c>
      <c r="B808">
        <v>123</v>
      </c>
      <c r="C808" t="s">
        <v>5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b">
        <f t="shared" si="12"/>
        <v>1</v>
      </c>
    </row>
    <row r="809" spans="1:12" x14ac:dyDescent="0.25">
      <c r="A809" t="s">
        <v>7</v>
      </c>
      <c r="B809">
        <v>123</v>
      </c>
      <c r="C809" t="s">
        <v>6</v>
      </c>
      <c r="D809">
        <v>1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 t="b">
        <f t="shared" si="12"/>
        <v>1</v>
      </c>
    </row>
    <row r="810" spans="1:12" x14ac:dyDescent="0.25">
      <c r="A810" t="s">
        <v>7</v>
      </c>
      <c r="B810">
        <v>123</v>
      </c>
      <c r="C810" t="s">
        <v>1</v>
      </c>
      <c r="D810">
        <v>4</v>
      </c>
      <c r="E810">
        <v>0</v>
      </c>
      <c r="F810">
        <v>2</v>
      </c>
      <c r="G810">
        <v>0</v>
      </c>
      <c r="H810">
        <v>0</v>
      </c>
      <c r="I810">
        <v>2</v>
      </c>
      <c r="J810">
        <v>0</v>
      </c>
      <c r="K810">
        <v>0</v>
      </c>
      <c r="L810" t="b">
        <f t="shared" si="12"/>
        <v>1</v>
      </c>
    </row>
    <row r="811" spans="1:12" x14ac:dyDescent="0.25">
      <c r="A811" t="s">
        <v>7</v>
      </c>
      <c r="B811">
        <v>123</v>
      </c>
      <c r="C811" t="s">
        <v>10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2</v>
      </c>
      <c r="J811">
        <v>0</v>
      </c>
      <c r="K811">
        <v>0</v>
      </c>
      <c r="L811" t="b">
        <f t="shared" si="12"/>
        <v>1</v>
      </c>
    </row>
    <row r="812" spans="1:12" x14ac:dyDescent="0.25">
      <c r="A812" t="s">
        <v>7</v>
      </c>
      <c r="B812">
        <v>123</v>
      </c>
      <c r="C812" t="s">
        <v>4</v>
      </c>
      <c r="D812">
        <v>2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0</v>
      </c>
      <c r="L812" t="b">
        <f t="shared" si="12"/>
        <v>1</v>
      </c>
    </row>
    <row r="813" spans="1:12" x14ac:dyDescent="0.25">
      <c r="A813" t="s">
        <v>7</v>
      </c>
      <c r="B813">
        <v>124</v>
      </c>
      <c r="C813" t="s">
        <v>2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4</v>
      </c>
      <c r="J813">
        <v>0</v>
      </c>
      <c r="K813">
        <v>0</v>
      </c>
      <c r="L813" t="b">
        <f t="shared" si="12"/>
        <v>1</v>
      </c>
    </row>
    <row r="814" spans="1:12" x14ac:dyDescent="0.25">
      <c r="A814" t="s">
        <v>7</v>
      </c>
      <c r="B814">
        <v>124</v>
      </c>
      <c r="C814" t="s">
        <v>3</v>
      </c>
      <c r="D814">
        <v>2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 t="b">
        <f t="shared" si="12"/>
        <v>1</v>
      </c>
    </row>
    <row r="815" spans="1:12" x14ac:dyDescent="0.25">
      <c r="A815" t="s">
        <v>7</v>
      </c>
      <c r="B815">
        <v>124</v>
      </c>
      <c r="C815" t="s">
        <v>1</v>
      </c>
      <c r="D815">
        <v>6</v>
      </c>
      <c r="E815">
        <v>0</v>
      </c>
      <c r="F815">
        <v>2</v>
      </c>
      <c r="G815">
        <v>1</v>
      </c>
      <c r="H815">
        <v>0</v>
      </c>
      <c r="I815">
        <v>3</v>
      </c>
      <c r="J815">
        <v>0</v>
      </c>
      <c r="K815">
        <v>0</v>
      </c>
      <c r="L815" t="b">
        <f t="shared" si="12"/>
        <v>1</v>
      </c>
    </row>
    <row r="816" spans="1:12" x14ac:dyDescent="0.25">
      <c r="A816" t="s">
        <v>7</v>
      </c>
      <c r="B816">
        <v>124</v>
      </c>
      <c r="C816" t="s">
        <v>10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 t="b">
        <f t="shared" si="12"/>
        <v>1</v>
      </c>
    </row>
    <row r="817" spans="1:12" x14ac:dyDescent="0.25">
      <c r="A817" t="s">
        <v>7</v>
      </c>
      <c r="B817">
        <v>124</v>
      </c>
      <c r="C817" t="s">
        <v>4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 t="b">
        <f t="shared" si="12"/>
        <v>1</v>
      </c>
    </row>
    <row r="818" spans="1:12" x14ac:dyDescent="0.25">
      <c r="A818" t="s">
        <v>7</v>
      </c>
      <c r="B818">
        <v>125</v>
      </c>
      <c r="C818" t="s">
        <v>2</v>
      </c>
      <c r="D818">
        <v>4</v>
      </c>
      <c r="E818">
        <v>0</v>
      </c>
      <c r="F818">
        <v>0</v>
      </c>
      <c r="G818">
        <v>1</v>
      </c>
      <c r="H818">
        <v>0</v>
      </c>
      <c r="I818">
        <v>3</v>
      </c>
      <c r="J818">
        <v>0</v>
      </c>
      <c r="K818">
        <v>0</v>
      </c>
      <c r="L818" t="b">
        <f t="shared" si="12"/>
        <v>1</v>
      </c>
    </row>
    <row r="819" spans="1:12" x14ac:dyDescent="0.25">
      <c r="A819" t="s">
        <v>7</v>
      </c>
      <c r="B819">
        <v>125</v>
      </c>
      <c r="C819" t="s">
        <v>84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 t="b">
        <f t="shared" si="12"/>
        <v>1</v>
      </c>
    </row>
    <row r="820" spans="1:12" x14ac:dyDescent="0.25">
      <c r="A820" t="s">
        <v>7</v>
      </c>
      <c r="B820">
        <v>125</v>
      </c>
      <c r="C820" t="s">
        <v>3</v>
      </c>
      <c r="D820">
        <v>2</v>
      </c>
      <c r="E820">
        <v>0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 t="b">
        <f t="shared" si="12"/>
        <v>1</v>
      </c>
    </row>
    <row r="821" spans="1:12" x14ac:dyDescent="0.25">
      <c r="A821" t="s">
        <v>7</v>
      </c>
      <c r="B821">
        <v>125</v>
      </c>
      <c r="C821" t="s">
        <v>5</v>
      </c>
      <c r="D821">
        <v>2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 t="b">
        <f t="shared" si="12"/>
        <v>1</v>
      </c>
    </row>
    <row r="822" spans="1:12" x14ac:dyDescent="0.25">
      <c r="A822" t="s">
        <v>7</v>
      </c>
      <c r="B822">
        <v>125</v>
      </c>
      <c r="C822" t="s">
        <v>6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 t="b">
        <f t="shared" si="12"/>
        <v>1</v>
      </c>
    </row>
    <row r="823" spans="1:12" x14ac:dyDescent="0.25">
      <c r="A823" t="s">
        <v>7</v>
      </c>
      <c r="B823">
        <v>125</v>
      </c>
      <c r="C823" t="s">
        <v>1</v>
      </c>
      <c r="D823">
        <v>8</v>
      </c>
      <c r="E823">
        <v>0</v>
      </c>
      <c r="F823">
        <v>3</v>
      </c>
      <c r="G823">
        <v>1</v>
      </c>
      <c r="H823">
        <v>0</v>
      </c>
      <c r="I823">
        <v>3</v>
      </c>
      <c r="J823">
        <v>0</v>
      </c>
      <c r="K823">
        <v>1</v>
      </c>
      <c r="L823" t="b">
        <f t="shared" si="12"/>
        <v>1</v>
      </c>
    </row>
    <row r="824" spans="1:12" x14ac:dyDescent="0.25">
      <c r="A824" t="s">
        <v>7</v>
      </c>
      <c r="B824">
        <v>125</v>
      </c>
      <c r="C824" t="s">
        <v>4</v>
      </c>
      <c r="D824">
        <v>2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 t="b">
        <f t="shared" si="12"/>
        <v>1</v>
      </c>
    </row>
    <row r="825" spans="1:12" x14ac:dyDescent="0.25">
      <c r="A825" t="s">
        <v>7</v>
      </c>
      <c r="B825">
        <v>126</v>
      </c>
      <c r="C825" t="s">
        <v>2</v>
      </c>
      <c r="D825">
        <v>3</v>
      </c>
      <c r="E825">
        <v>0</v>
      </c>
      <c r="F825">
        <v>0</v>
      </c>
      <c r="G825">
        <v>1</v>
      </c>
      <c r="H825">
        <v>0</v>
      </c>
      <c r="I825">
        <v>2</v>
      </c>
      <c r="J825">
        <v>0</v>
      </c>
      <c r="K825">
        <v>0</v>
      </c>
      <c r="L825" t="b">
        <f t="shared" si="12"/>
        <v>1</v>
      </c>
    </row>
    <row r="826" spans="1:12" x14ac:dyDescent="0.25">
      <c r="A826" t="s">
        <v>7</v>
      </c>
      <c r="B826">
        <v>126</v>
      </c>
      <c r="C826" t="s">
        <v>3</v>
      </c>
      <c r="D826">
        <v>3</v>
      </c>
      <c r="E826">
        <v>2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 t="b">
        <f t="shared" si="12"/>
        <v>1</v>
      </c>
    </row>
    <row r="827" spans="1:12" x14ac:dyDescent="0.25">
      <c r="A827" t="s">
        <v>7</v>
      </c>
      <c r="B827">
        <v>126</v>
      </c>
      <c r="C827" t="s">
        <v>5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b">
        <f t="shared" si="12"/>
        <v>1</v>
      </c>
    </row>
    <row r="828" spans="1:12" x14ac:dyDescent="0.25">
      <c r="A828" t="s">
        <v>7</v>
      </c>
      <c r="B828">
        <v>126</v>
      </c>
      <c r="C828" t="s">
        <v>6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 t="b">
        <f t="shared" si="12"/>
        <v>1</v>
      </c>
    </row>
    <row r="829" spans="1:12" x14ac:dyDescent="0.25">
      <c r="A829" t="s">
        <v>7</v>
      </c>
      <c r="B829">
        <v>126</v>
      </c>
      <c r="C829" t="s">
        <v>1</v>
      </c>
      <c r="D829">
        <v>6</v>
      </c>
      <c r="E829">
        <v>0</v>
      </c>
      <c r="F829">
        <v>1</v>
      </c>
      <c r="G829">
        <v>3</v>
      </c>
      <c r="H829">
        <v>0</v>
      </c>
      <c r="I829">
        <v>2</v>
      </c>
      <c r="J829">
        <v>0</v>
      </c>
      <c r="K829">
        <v>0</v>
      </c>
      <c r="L829" t="b">
        <f t="shared" si="12"/>
        <v>1</v>
      </c>
    </row>
    <row r="830" spans="1:12" x14ac:dyDescent="0.25">
      <c r="A830" t="s">
        <v>7</v>
      </c>
      <c r="B830">
        <v>126</v>
      </c>
      <c r="C830" t="s">
        <v>4</v>
      </c>
      <c r="D830">
        <v>2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 t="b">
        <f t="shared" si="12"/>
        <v>1</v>
      </c>
    </row>
    <row r="831" spans="1:12" x14ac:dyDescent="0.25">
      <c r="A831" t="s">
        <v>7</v>
      </c>
      <c r="B831">
        <v>126</v>
      </c>
      <c r="C831" t="s">
        <v>9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 t="b">
        <f t="shared" si="12"/>
        <v>1</v>
      </c>
    </row>
    <row r="832" spans="1:12" x14ac:dyDescent="0.25">
      <c r="A832" t="s">
        <v>7</v>
      </c>
      <c r="B832">
        <v>127</v>
      </c>
      <c r="C832" t="s">
        <v>2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 t="b">
        <f t="shared" si="12"/>
        <v>1</v>
      </c>
    </row>
    <row r="833" spans="1:12" x14ac:dyDescent="0.25">
      <c r="A833" t="s">
        <v>7</v>
      </c>
      <c r="B833">
        <v>127</v>
      </c>
      <c r="C833" t="s">
        <v>84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</v>
      </c>
      <c r="L833" t="b">
        <f t="shared" si="12"/>
        <v>1</v>
      </c>
    </row>
    <row r="834" spans="1:12" x14ac:dyDescent="0.25">
      <c r="A834" t="s">
        <v>7</v>
      </c>
      <c r="B834">
        <v>127</v>
      </c>
      <c r="C834" t="s">
        <v>3</v>
      </c>
      <c r="D834">
        <v>2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 t="b">
        <f t="shared" si="12"/>
        <v>1</v>
      </c>
    </row>
    <row r="835" spans="1:12" x14ac:dyDescent="0.25">
      <c r="A835" t="s">
        <v>7</v>
      </c>
      <c r="B835">
        <v>127</v>
      </c>
      <c r="C835" t="s">
        <v>5</v>
      </c>
      <c r="D835">
        <v>1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 t="b">
        <f t="shared" si="12"/>
        <v>1</v>
      </c>
    </row>
    <row r="836" spans="1:12" x14ac:dyDescent="0.25">
      <c r="A836" t="s">
        <v>7</v>
      </c>
      <c r="B836">
        <v>127</v>
      </c>
      <c r="C836" t="s">
        <v>6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 t="b">
        <f t="shared" ref="L836:L899" si="13">SUM(E836:K836)=D836</f>
        <v>1</v>
      </c>
    </row>
    <row r="837" spans="1:12" x14ac:dyDescent="0.25">
      <c r="A837" t="s">
        <v>7</v>
      </c>
      <c r="B837">
        <v>127</v>
      </c>
      <c r="C837" t="s">
        <v>1</v>
      </c>
      <c r="D837">
        <v>6</v>
      </c>
      <c r="E837">
        <v>0</v>
      </c>
      <c r="F837">
        <v>2</v>
      </c>
      <c r="G837">
        <v>1</v>
      </c>
      <c r="H837">
        <v>0</v>
      </c>
      <c r="I837">
        <v>1</v>
      </c>
      <c r="J837">
        <v>0</v>
      </c>
      <c r="K837">
        <v>2</v>
      </c>
      <c r="L837" t="b">
        <f t="shared" si="13"/>
        <v>1</v>
      </c>
    </row>
    <row r="838" spans="1:12" x14ac:dyDescent="0.25">
      <c r="A838" t="s">
        <v>7</v>
      </c>
      <c r="B838">
        <v>127</v>
      </c>
      <c r="C838" t="s">
        <v>10</v>
      </c>
      <c r="D838">
        <v>2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0</v>
      </c>
      <c r="L838" t="b">
        <f t="shared" si="13"/>
        <v>1</v>
      </c>
    </row>
    <row r="839" spans="1:12" x14ac:dyDescent="0.25">
      <c r="A839" t="s">
        <v>7</v>
      </c>
      <c r="B839">
        <v>128</v>
      </c>
      <c r="C839" t="s">
        <v>2</v>
      </c>
      <c r="D839">
        <v>4</v>
      </c>
      <c r="E839">
        <v>0</v>
      </c>
      <c r="F839">
        <v>0</v>
      </c>
      <c r="G839">
        <v>0</v>
      </c>
      <c r="H839">
        <v>0</v>
      </c>
      <c r="I839">
        <v>4</v>
      </c>
      <c r="J839">
        <v>0</v>
      </c>
      <c r="K839">
        <v>0</v>
      </c>
      <c r="L839" t="b">
        <f t="shared" si="13"/>
        <v>1</v>
      </c>
    </row>
    <row r="840" spans="1:12" x14ac:dyDescent="0.25">
      <c r="A840" t="s">
        <v>7</v>
      </c>
      <c r="B840">
        <v>128</v>
      </c>
      <c r="C840" t="s">
        <v>3</v>
      </c>
      <c r="D840">
        <v>3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0</v>
      </c>
      <c r="L840" t="b">
        <f t="shared" si="13"/>
        <v>1</v>
      </c>
    </row>
    <row r="841" spans="1:12" x14ac:dyDescent="0.25">
      <c r="A841" t="s">
        <v>7</v>
      </c>
      <c r="B841">
        <v>128</v>
      </c>
      <c r="C841" t="s">
        <v>1</v>
      </c>
      <c r="D841">
        <v>7</v>
      </c>
      <c r="E841">
        <v>0</v>
      </c>
      <c r="F841">
        <v>1</v>
      </c>
      <c r="G841">
        <v>2</v>
      </c>
      <c r="H841">
        <v>0</v>
      </c>
      <c r="I841">
        <v>4</v>
      </c>
      <c r="J841">
        <v>0</v>
      </c>
      <c r="K841">
        <v>0</v>
      </c>
      <c r="L841" t="b">
        <f t="shared" si="13"/>
        <v>1</v>
      </c>
    </row>
    <row r="842" spans="1:12" x14ac:dyDescent="0.25">
      <c r="A842" t="s">
        <v>7</v>
      </c>
      <c r="B842">
        <v>128</v>
      </c>
      <c r="C842" t="s">
        <v>10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 t="b">
        <f t="shared" si="13"/>
        <v>1</v>
      </c>
    </row>
    <row r="843" spans="1:12" x14ac:dyDescent="0.25">
      <c r="A843" t="s">
        <v>7</v>
      </c>
      <c r="B843">
        <v>128</v>
      </c>
      <c r="C843" t="s">
        <v>4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 t="b">
        <f t="shared" si="13"/>
        <v>1</v>
      </c>
    </row>
    <row r="844" spans="1:12" x14ac:dyDescent="0.25">
      <c r="A844" t="s">
        <v>7</v>
      </c>
      <c r="B844">
        <v>129</v>
      </c>
      <c r="C844" t="s">
        <v>2</v>
      </c>
      <c r="D844">
        <v>5</v>
      </c>
      <c r="E844">
        <v>0</v>
      </c>
      <c r="F844">
        <v>1</v>
      </c>
      <c r="G844">
        <v>1</v>
      </c>
      <c r="H844">
        <v>0</v>
      </c>
      <c r="I844">
        <v>3</v>
      </c>
      <c r="J844">
        <v>0</v>
      </c>
      <c r="K844">
        <v>0</v>
      </c>
      <c r="L844" t="b">
        <f t="shared" si="13"/>
        <v>1</v>
      </c>
    </row>
    <row r="845" spans="1:12" x14ac:dyDescent="0.25">
      <c r="A845" t="s">
        <v>7</v>
      </c>
      <c r="B845">
        <v>129</v>
      </c>
      <c r="C845" t="s">
        <v>3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 t="b">
        <f t="shared" si="13"/>
        <v>1</v>
      </c>
    </row>
    <row r="846" spans="1:12" x14ac:dyDescent="0.25">
      <c r="A846" t="s">
        <v>7</v>
      </c>
      <c r="B846">
        <v>129</v>
      </c>
      <c r="C846" t="s">
        <v>6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 t="b">
        <f t="shared" si="13"/>
        <v>1</v>
      </c>
    </row>
    <row r="847" spans="1:12" x14ac:dyDescent="0.25">
      <c r="A847" t="s">
        <v>7</v>
      </c>
      <c r="B847">
        <v>129</v>
      </c>
      <c r="C847" t="s">
        <v>1</v>
      </c>
      <c r="D847">
        <v>6</v>
      </c>
      <c r="E847">
        <v>0</v>
      </c>
      <c r="F847">
        <v>1</v>
      </c>
      <c r="G847">
        <v>2</v>
      </c>
      <c r="H847">
        <v>0</v>
      </c>
      <c r="I847">
        <v>2</v>
      </c>
      <c r="J847">
        <v>0</v>
      </c>
      <c r="K847">
        <v>1</v>
      </c>
      <c r="L847" t="b">
        <f t="shared" si="13"/>
        <v>1</v>
      </c>
    </row>
    <row r="848" spans="1:12" x14ac:dyDescent="0.25">
      <c r="A848" t="s">
        <v>7</v>
      </c>
      <c r="B848">
        <v>129</v>
      </c>
      <c r="C848" t="s">
        <v>10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 t="b">
        <f t="shared" si="13"/>
        <v>1</v>
      </c>
    </row>
    <row r="849" spans="1:12" x14ac:dyDescent="0.25">
      <c r="A849" t="s">
        <v>7</v>
      </c>
      <c r="B849">
        <v>130</v>
      </c>
      <c r="C849" t="s">
        <v>2</v>
      </c>
      <c r="D849">
        <v>5</v>
      </c>
      <c r="E849">
        <v>0</v>
      </c>
      <c r="F849">
        <v>0</v>
      </c>
      <c r="G849">
        <v>1</v>
      </c>
      <c r="H849">
        <v>0</v>
      </c>
      <c r="I849">
        <v>4</v>
      </c>
      <c r="J849">
        <v>0</v>
      </c>
      <c r="K849">
        <v>0</v>
      </c>
      <c r="L849" t="b">
        <f t="shared" si="13"/>
        <v>1</v>
      </c>
    </row>
    <row r="850" spans="1:12" x14ac:dyDescent="0.25">
      <c r="A850" t="s">
        <v>7</v>
      </c>
      <c r="B850">
        <v>130</v>
      </c>
      <c r="C850" t="s">
        <v>3</v>
      </c>
      <c r="D850">
        <v>2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 t="b">
        <f t="shared" si="13"/>
        <v>1</v>
      </c>
    </row>
    <row r="851" spans="1:12" x14ac:dyDescent="0.25">
      <c r="A851" t="s">
        <v>7</v>
      </c>
      <c r="B851">
        <v>130</v>
      </c>
      <c r="C851" t="s">
        <v>1</v>
      </c>
      <c r="D851">
        <v>6</v>
      </c>
      <c r="E851">
        <v>0</v>
      </c>
      <c r="F851">
        <v>0</v>
      </c>
      <c r="G851">
        <v>2</v>
      </c>
      <c r="H851">
        <v>0</v>
      </c>
      <c r="I851">
        <v>4</v>
      </c>
      <c r="J851">
        <v>0</v>
      </c>
      <c r="K851">
        <v>0</v>
      </c>
      <c r="L851" t="b">
        <f t="shared" si="13"/>
        <v>1</v>
      </c>
    </row>
    <row r="852" spans="1:12" x14ac:dyDescent="0.25">
      <c r="A852" t="s">
        <v>7</v>
      </c>
      <c r="B852">
        <v>130</v>
      </c>
      <c r="C852" t="s">
        <v>4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 t="b">
        <f t="shared" si="13"/>
        <v>1</v>
      </c>
    </row>
    <row r="853" spans="1:12" x14ac:dyDescent="0.25">
      <c r="A853" t="s">
        <v>7</v>
      </c>
      <c r="B853">
        <v>131</v>
      </c>
      <c r="C853" t="s">
        <v>2</v>
      </c>
      <c r="D853">
        <v>1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 t="b">
        <f t="shared" si="13"/>
        <v>1</v>
      </c>
    </row>
    <row r="854" spans="1:12" x14ac:dyDescent="0.25">
      <c r="A854" t="s">
        <v>7</v>
      </c>
      <c r="B854">
        <v>131</v>
      </c>
      <c r="C854" t="s">
        <v>3</v>
      </c>
      <c r="D854">
        <v>2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 t="b">
        <f t="shared" si="13"/>
        <v>1</v>
      </c>
    </row>
    <row r="855" spans="1:12" x14ac:dyDescent="0.25">
      <c r="A855" t="s">
        <v>7</v>
      </c>
      <c r="B855">
        <v>131</v>
      </c>
      <c r="C855" t="s">
        <v>6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 t="b">
        <f t="shared" si="13"/>
        <v>1</v>
      </c>
    </row>
    <row r="856" spans="1:12" x14ac:dyDescent="0.25">
      <c r="A856" t="s">
        <v>7</v>
      </c>
      <c r="B856">
        <v>131</v>
      </c>
      <c r="C856" t="s">
        <v>1</v>
      </c>
      <c r="D856">
        <v>3</v>
      </c>
      <c r="E856">
        <v>0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1</v>
      </c>
      <c r="L856" t="b">
        <f t="shared" si="13"/>
        <v>1</v>
      </c>
    </row>
    <row r="857" spans="1:12" x14ac:dyDescent="0.25">
      <c r="A857" t="s">
        <v>7</v>
      </c>
      <c r="B857">
        <v>131</v>
      </c>
      <c r="C857" t="s">
        <v>11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 t="b">
        <f t="shared" si="13"/>
        <v>1</v>
      </c>
    </row>
    <row r="858" spans="1:12" x14ac:dyDescent="0.25">
      <c r="A858" t="s">
        <v>7</v>
      </c>
      <c r="B858">
        <v>132</v>
      </c>
      <c r="C858" t="s">
        <v>2</v>
      </c>
      <c r="D858">
        <v>15</v>
      </c>
      <c r="E858">
        <v>0</v>
      </c>
      <c r="F858">
        <v>0</v>
      </c>
      <c r="G858">
        <v>0</v>
      </c>
      <c r="H858">
        <v>0</v>
      </c>
      <c r="I858">
        <v>15</v>
      </c>
      <c r="J858">
        <v>0</v>
      </c>
      <c r="K858">
        <v>0</v>
      </c>
      <c r="L858" t="b">
        <f t="shared" si="13"/>
        <v>1</v>
      </c>
    </row>
    <row r="859" spans="1:12" x14ac:dyDescent="0.25">
      <c r="A859" t="s">
        <v>7</v>
      </c>
      <c r="B859">
        <v>132</v>
      </c>
      <c r="C859" t="s">
        <v>84</v>
      </c>
      <c r="D859">
        <v>1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 t="b">
        <f t="shared" si="13"/>
        <v>1</v>
      </c>
    </row>
    <row r="860" spans="1:12" x14ac:dyDescent="0.25">
      <c r="A860" t="s">
        <v>7</v>
      </c>
      <c r="B860">
        <v>132</v>
      </c>
      <c r="C860" t="s">
        <v>3</v>
      </c>
      <c r="D860">
        <v>3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 t="b">
        <f t="shared" si="13"/>
        <v>1</v>
      </c>
    </row>
    <row r="861" spans="1:12" x14ac:dyDescent="0.25">
      <c r="A861" t="s">
        <v>7</v>
      </c>
      <c r="B861">
        <v>132</v>
      </c>
      <c r="C861" t="s">
        <v>5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 t="b">
        <f t="shared" si="13"/>
        <v>1</v>
      </c>
    </row>
    <row r="862" spans="1:12" x14ac:dyDescent="0.25">
      <c r="A862" t="s">
        <v>7</v>
      </c>
      <c r="B862">
        <v>132</v>
      </c>
      <c r="C862" t="s">
        <v>6</v>
      </c>
      <c r="D862">
        <v>2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 t="b">
        <f t="shared" si="13"/>
        <v>1</v>
      </c>
    </row>
    <row r="863" spans="1:12" x14ac:dyDescent="0.25">
      <c r="A863" t="s">
        <v>7</v>
      </c>
      <c r="B863">
        <v>132</v>
      </c>
      <c r="C863" t="s">
        <v>1</v>
      </c>
      <c r="D863">
        <v>16</v>
      </c>
      <c r="E863">
        <v>0</v>
      </c>
      <c r="F863">
        <v>1</v>
      </c>
      <c r="G863">
        <v>1</v>
      </c>
      <c r="H863">
        <v>0</v>
      </c>
      <c r="I863">
        <v>14</v>
      </c>
      <c r="J863">
        <v>0</v>
      </c>
      <c r="K863">
        <v>0</v>
      </c>
      <c r="L863" t="b">
        <f t="shared" si="13"/>
        <v>1</v>
      </c>
    </row>
    <row r="864" spans="1:12" x14ac:dyDescent="0.25">
      <c r="A864" t="s">
        <v>7</v>
      </c>
      <c r="B864">
        <v>132</v>
      </c>
      <c r="C864" t="s">
        <v>10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 t="b">
        <f t="shared" si="13"/>
        <v>1</v>
      </c>
    </row>
    <row r="865" spans="1:12" x14ac:dyDescent="0.25">
      <c r="A865" t="s">
        <v>7</v>
      </c>
      <c r="B865">
        <v>132</v>
      </c>
      <c r="C865" t="s">
        <v>4</v>
      </c>
      <c r="D865">
        <v>2</v>
      </c>
      <c r="E865">
        <v>0</v>
      </c>
      <c r="F865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 t="b">
        <f t="shared" si="13"/>
        <v>1</v>
      </c>
    </row>
    <row r="866" spans="1:12" x14ac:dyDescent="0.25">
      <c r="A866" t="s">
        <v>7</v>
      </c>
      <c r="B866">
        <v>133</v>
      </c>
      <c r="C866" t="s">
        <v>2</v>
      </c>
      <c r="D866">
        <v>2</v>
      </c>
      <c r="E866">
        <v>0</v>
      </c>
      <c r="F866">
        <v>0</v>
      </c>
      <c r="G866">
        <v>0</v>
      </c>
      <c r="H866">
        <v>0</v>
      </c>
      <c r="I866">
        <v>2</v>
      </c>
      <c r="J866">
        <v>0</v>
      </c>
      <c r="K866">
        <v>0</v>
      </c>
      <c r="L866" t="b">
        <f t="shared" si="13"/>
        <v>1</v>
      </c>
    </row>
    <row r="867" spans="1:12" x14ac:dyDescent="0.25">
      <c r="A867" t="s">
        <v>7</v>
      </c>
      <c r="B867">
        <v>133</v>
      </c>
      <c r="C867" t="s">
        <v>3</v>
      </c>
      <c r="D867">
        <v>2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 t="b">
        <f t="shared" si="13"/>
        <v>1</v>
      </c>
    </row>
    <row r="868" spans="1:12" x14ac:dyDescent="0.25">
      <c r="A868" t="s">
        <v>7</v>
      </c>
      <c r="B868">
        <v>133</v>
      </c>
      <c r="C868" t="s">
        <v>6</v>
      </c>
      <c r="D868">
        <v>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</v>
      </c>
      <c r="L868" t="b">
        <f t="shared" si="13"/>
        <v>1</v>
      </c>
    </row>
    <row r="869" spans="1:12" x14ac:dyDescent="0.25">
      <c r="A869" t="s">
        <v>7</v>
      </c>
      <c r="B869">
        <v>133</v>
      </c>
      <c r="C869" t="s">
        <v>1</v>
      </c>
      <c r="D869">
        <v>6</v>
      </c>
      <c r="E869">
        <v>0</v>
      </c>
      <c r="F869">
        <v>2</v>
      </c>
      <c r="G869">
        <v>0</v>
      </c>
      <c r="H869">
        <v>0</v>
      </c>
      <c r="I869">
        <v>2</v>
      </c>
      <c r="J869">
        <v>0</v>
      </c>
      <c r="K869">
        <v>2</v>
      </c>
      <c r="L869" t="b">
        <f t="shared" si="13"/>
        <v>1</v>
      </c>
    </row>
    <row r="870" spans="1:12" x14ac:dyDescent="0.25">
      <c r="A870" t="s">
        <v>7</v>
      </c>
      <c r="B870">
        <v>133</v>
      </c>
      <c r="C870" t="s">
        <v>4</v>
      </c>
      <c r="D870">
        <v>1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 t="b">
        <f t="shared" si="13"/>
        <v>1</v>
      </c>
    </row>
    <row r="871" spans="1:12" x14ac:dyDescent="0.25">
      <c r="A871" t="s">
        <v>7</v>
      </c>
      <c r="B871">
        <v>134</v>
      </c>
      <c r="C871" t="s">
        <v>2</v>
      </c>
      <c r="D871">
        <v>3</v>
      </c>
      <c r="E871">
        <v>0</v>
      </c>
      <c r="F871">
        <v>0</v>
      </c>
      <c r="G871">
        <v>1</v>
      </c>
      <c r="H871">
        <v>0</v>
      </c>
      <c r="I871">
        <v>2</v>
      </c>
      <c r="J871">
        <v>0</v>
      </c>
      <c r="K871">
        <v>0</v>
      </c>
      <c r="L871" t="b">
        <f t="shared" si="13"/>
        <v>1</v>
      </c>
    </row>
    <row r="872" spans="1:12" x14ac:dyDescent="0.25">
      <c r="A872" t="s">
        <v>7</v>
      </c>
      <c r="B872">
        <v>134</v>
      </c>
      <c r="C872" t="s">
        <v>3</v>
      </c>
      <c r="D872">
        <v>1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 t="b">
        <f t="shared" si="13"/>
        <v>1</v>
      </c>
    </row>
    <row r="873" spans="1:12" x14ac:dyDescent="0.25">
      <c r="A873" t="s">
        <v>7</v>
      </c>
      <c r="B873">
        <v>134</v>
      </c>
      <c r="C873" t="s">
        <v>1</v>
      </c>
      <c r="D873">
        <v>3</v>
      </c>
      <c r="E873">
        <v>0</v>
      </c>
      <c r="F873">
        <v>1</v>
      </c>
      <c r="G873">
        <v>1</v>
      </c>
      <c r="H873">
        <v>0</v>
      </c>
      <c r="I873">
        <v>1</v>
      </c>
      <c r="J873">
        <v>0</v>
      </c>
      <c r="K873">
        <v>0</v>
      </c>
      <c r="L873" t="b">
        <f t="shared" si="13"/>
        <v>1</v>
      </c>
    </row>
    <row r="874" spans="1:12" x14ac:dyDescent="0.25">
      <c r="A874" t="s">
        <v>7</v>
      </c>
      <c r="B874">
        <v>135</v>
      </c>
      <c r="C874" t="s">
        <v>2</v>
      </c>
      <c r="D874">
        <v>18</v>
      </c>
      <c r="E874">
        <v>0</v>
      </c>
      <c r="F874">
        <v>2</v>
      </c>
      <c r="G874">
        <v>4</v>
      </c>
      <c r="H874">
        <v>0</v>
      </c>
      <c r="I874">
        <v>12</v>
      </c>
      <c r="J874">
        <v>0</v>
      </c>
      <c r="K874">
        <v>0</v>
      </c>
      <c r="L874" t="b">
        <f t="shared" si="13"/>
        <v>1</v>
      </c>
    </row>
    <row r="875" spans="1:12" x14ac:dyDescent="0.25">
      <c r="A875" t="s">
        <v>7</v>
      </c>
      <c r="B875">
        <v>135</v>
      </c>
      <c r="C875" t="s">
        <v>3</v>
      </c>
      <c r="D875">
        <v>2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 t="b">
        <f t="shared" si="13"/>
        <v>1</v>
      </c>
    </row>
    <row r="876" spans="1:12" x14ac:dyDescent="0.25">
      <c r="A876" t="s">
        <v>7</v>
      </c>
      <c r="B876">
        <v>135</v>
      </c>
      <c r="C876" t="s">
        <v>6</v>
      </c>
      <c r="D876">
        <v>2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 t="b">
        <f t="shared" si="13"/>
        <v>1</v>
      </c>
    </row>
    <row r="877" spans="1:12" x14ac:dyDescent="0.25">
      <c r="A877" t="s">
        <v>7</v>
      </c>
      <c r="B877">
        <v>135</v>
      </c>
      <c r="C877" t="s">
        <v>1</v>
      </c>
      <c r="D877">
        <v>21</v>
      </c>
      <c r="E877">
        <v>0</v>
      </c>
      <c r="F877">
        <v>2</v>
      </c>
      <c r="G877">
        <v>5</v>
      </c>
      <c r="H877">
        <v>0</v>
      </c>
      <c r="I877">
        <v>12</v>
      </c>
      <c r="J877">
        <v>0</v>
      </c>
      <c r="K877">
        <v>2</v>
      </c>
      <c r="L877" t="b">
        <f t="shared" si="13"/>
        <v>1</v>
      </c>
    </row>
    <row r="878" spans="1:12" x14ac:dyDescent="0.25">
      <c r="A878" t="s">
        <v>7</v>
      </c>
      <c r="B878">
        <v>135</v>
      </c>
      <c r="C878" t="s">
        <v>10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 t="b">
        <f t="shared" si="13"/>
        <v>1</v>
      </c>
    </row>
    <row r="879" spans="1:12" x14ac:dyDescent="0.25">
      <c r="A879" t="s">
        <v>7</v>
      </c>
      <c r="B879">
        <v>135</v>
      </c>
      <c r="C879" t="s">
        <v>4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 t="b">
        <f t="shared" si="13"/>
        <v>1</v>
      </c>
    </row>
    <row r="880" spans="1:12" x14ac:dyDescent="0.25">
      <c r="A880" t="s">
        <v>7</v>
      </c>
      <c r="B880">
        <v>135</v>
      </c>
      <c r="C880" t="s">
        <v>9</v>
      </c>
      <c r="D880">
        <v>2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1</v>
      </c>
      <c r="L880" t="b">
        <f t="shared" si="13"/>
        <v>1</v>
      </c>
    </row>
    <row r="881" spans="1:12" x14ac:dyDescent="0.25">
      <c r="A881" t="s">
        <v>7</v>
      </c>
      <c r="B881">
        <v>136</v>
      </c>
      <c r="C881" t="s">
        <v>9</v>
      </c>
      <c r="D881">
        <v>2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 t="b">
        <f t="shared" si="13"/>
        <v>1</v>
      </c>
    </row>
    <row r="882" spans="1:12" x14ac:dyDescent="0.25">
      <c r="A882" t="s">
        <v>7</v>
      </c>
      <c r="B882">
        <v>137</v>
      </c>
      <c r="C882" t="s">
        <v>2</v>
      </c>
      <c r="D882">
        <v>4</v>
      </c>
      <c r="E882">
        <v>0</v>
      </c>
      <c r="F882">
        <v>1</v>
      </c>
      <c r="G882">
        <v>0</v>
      </c>
      <c r="H882">
        <v>0</v>
      </c>
      <c r="I882">
        <v>3</v>
      </c>
      <c r="J882">
        <v>0</v>
      </c>
      <c r="K882">
        <v>0</v>
      </c>
      <c r="L882" t="b">
        <f t="shared" si="13"/>
        <v>1</v>
      </c>
    </row>
    <row r="883" spans="1:12" x14ac:dyDescent="0.25">
      <c r="A883" t="s">
        <v>7</v>
      </c>
      <c r="B883">
        <v>137</v>
      </c>
      <c r="C883" t="s">
        <v>84</v>
      </c>
      <c r="D883">
        <v>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</v>
      </c>
      <c r="L883" t="b">
        <f t="shared" si="13"/>
        <v>1</v>
      </c>
    </row>
    <row r="884" spans="1:12" x14ac:dyDescent="0.25">
      <c r="A884" t="s">
        <v>7</v>
      </c>
      <c r="B884">
        <v>137</v>
      </c>
      <c r="C884" t="s">
        <v>3</v>
      </c>
      <c r="D884">
        <v>3</v>
      </c>
      <c r="E884">
        <v>1</v>
      </c>
      <c r="F884">
        <v>2</v>
      </c>
      <c r="G884">
        <v>0</v>
      </c>
      <c r="H884">
        <v>0</v>
      </c>
      <c r="I884">
        <v>0</v>
      </c>
      <c r="J884">
        <v>0</v>
      </c>
      <c r="K884">
        <v>0</v>
      </c>
      <c r="L884" t="b">
        <f t="shared" si="13"/>
        <v>1</v>
      </c>
    </row>
    <row r="885" spans="1:12" x14ac:dyDescent="0.25">
      <c r="A885" t="s">
        <v>7</v>
      </c>
      <c r="B885">
        <v>137</v>
      </c>
      <c r="C885" t="s">
        <v>5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b">
        <f t="shared" si="13"/>
        <v>1</v>
      </c>
    </row>
    <row r="886" spans="1:12" x14ac:dyDescent="0.25">
      <c r="A886" t="s">
        <v>7</v>
      </c>
      <c r="B886">
        <v>137</v>
      </c>
      <c r="C886" t="s">
        <v>6</v>
      </c>
      <c r="D886">
        <v>4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2</v>
      </c>
      <c r="L886" t="b">
        <f t="shared" si="13"/>
        <v>1</v>
      </c>
    </row>
    <row r="887" spans="1:12" x14ac:dyDescent="0.25">
      <c r="A887" t="s">
        <v>7</v>
      </c>
      <c r="B887">
        <v>137</v>
      </c>
      <c r="C887" t="s">
        <v>1</v>
      </c>
      <c r="D887">
        <v>9</v>
      </c>
      <c r="E887">
        <v>0</v>
      </c>
      <c r="F887">
        <v>4</v>
      </c>
      <c r="G887">
        <v>1</v>
      </c>
      <c r="H887">
        <v>0</v>
      </c>
      <c r="I887">
        <v>3</v>
      </c>
      <c r="J887">
        <v>0</v>
      </c>
      <c r="K887">
        <v>1</v>
      </c>
      <c r="L887" t="b">
        <f t="shared" si="13"/>
        <v>1</v>
      </c>
    </row>
    <row r="888" spans="1:12" x14ac:dyDescent="0.25">
      <c r="A888" t="s">
        <v>7</v>
      </c>
      <c r="B888">
        <v>137</v>
      </c>
      <c r="C888" t="s">
        <v>10</v>
      </c>
      <c r="D888">
        <v>4</v>
      </c>
      <c r="E888">
        <v>0</v>
      </c>
      <c r="F888">
        <v>0</v>
      </c>
      <c r="G888">
        <v>1</v>
      </c>
      <c r="H888">
        <v>0</v>
      </c>
      <c r="I888">
        <v>3</v>
      </c>
      <c r="J888">
        <v>0</v>
      </c>
      <c r="K888">
        <v>0</v>
      </c>
      <c r="L888" t="b">
        <f t="shared" si="13"/>
        <v>1</v>
      </c>
    </row>
    <row r="889" spans="1:12" x14ac:dyDescent="0.25">
      <c r="A889" t="s">
        <v>7</v>
      </c>
      <c r="B889">
        <v>137</v>
      </c>
      <c r="C889" t="s">
        <v>11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b">
        <f t="shared" si="13"/>
        <v>1</v>
      </c>
    </row>
    <row r="890" spans="1:12" x14ac:dyDescent="0.25">
      <c r="A890" t="s">
        <v>7</v>
      </c>
      <c r="B890">
        <v>137</v>
      </c>
      <c r="C890" t="s">
        <v>4</v>
      </c>
      <c r="D890">
        <v>2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1</v>
      </c>
      <c r="L890" t="b">
        <f t="shared" si="13"/>
        <v>1</v>
      </c>
    </row>
    <row r="891" spans="1:12" x14ac:dyDescent="0.25">
      <c r="A891" t="s">
        <v>7</v>
      </c>
      <c r="B891">
        <v>138</v>
      </c>
      <c r="C891" t="s">
        <v>2</v>
      </c>
      <c r="D891">
        <v>4</v>
      </c>
      <c r="E891">
        <v>0</v>
      </c>
      <c r="F891">
        <v>0</v>
      </c>
      <c r="G891">
        <v>3</v>
      </c>
      <c r="H891">
        <v>0</v>
      </c>
      <c r="I891">
        <v>1</v>
      </c>
      <c r="J891">
        <v>0</v>
      </c>
      <c r="K891">
        <v>0</v>
      </c>
      <c r="L891" t="b">
        <f t="shared" si="13"/>
        <v>1</v>
      </c>
    </row>
    <row r="892" spans="1:12" x14ac:dyDescent="0.25">
      <c r="A892" t="s">
        <v>7</v>
      </c>
      <c r="B892">
        <v>138</v>
      </c>
      <c r="C892" t="s">
        <v>3</v>
      </c>
      <c r="D892">
        <v>2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 t="b">
        <f t="shared" si="13"/>
        <v>1</v>
      </c>
    </row>
    <row r="893" spans="1:12" x14ac:dyDescent="0.25">
      <c r="A893" t="s">
        <v>7</v>
      </c>
      <c r="B893">
        <v>138</v>
      </c>
      <c r="C893" t="s">
        <v>5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b">
        <f t="shared" si="13"/>
        <v>1</v>
      </c>
    </row>
    <row r="894" spans="1:12" x14ac:dyDescent="0.25">
      <c r="A894" t="s">
        <v>7</v>
      </c>
      <c r="B894">
        <v>138</v>
      </c>
      <c r="C894" t="s">
        <v>6</v>
      </c>
      <c r="D894">
        <v>2</v>
      </c>
      <c r="E894">
        <v>0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 t="b">
        <f t="shared" si="13"/>
        <v>1</v>
      </c>
    </row>
    <row r="895" spans="1:12" x14ac:dyDescent="0.25">
      <c r="A895" t="s">
        <v>7</v>
      </c>
      <c r="B895">
        <v>138</v>
      </c>
      <c r="C895" t="s">
        <v>1</v>
      </c>
      <c r="D895">
        <v>6</v>
      </c>
      <c r="E895">
        <v>0</v>
      </c>
      <c r="F895">
        <v>0</v>
      </c>
      <c r="G895">
        <v>4</v>
      </c>
      <c r="H895">
        <v>0</v>
      </c>
      <c r="I895">
        <v>1</v>
      </c>
      <c r="J895">
        <v>0</v>
      </c>
      <c r="K895">
        <v>1</v>
      </c>
      <c r="L895" t="b">
        <f t="shared" si="13"/>
        <v>1</v>
      </c>
    </row>
    <row r="896" spans="1:12" x14ac:dyDescent="0.25">
      <c r="A896" t="s">
        <v>7</v>
      </c>
      <c r="B896">
        <v>138</v>
      </c>
      <c r="C896" t="s">
        <v>4</v>
      </c>
      <c r="D896">
        <v>1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 t="b">
        <f t="shared" si="13"/>
        <v>1</v>
      </c>
    </row>
    <row r="897" spans="1:12" x14ac:dyDescent="0.25">
      <c r="A897" t="s">
        <v>7</v>
      </c>
      <c r="B897">
        <v>138</v>
      </c>
      <c r="C897" t="s">
        <v>9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b">
        <f t="shared" si="13"/>
        <v>1</v>
      </c>
    </row>
    <row r="898" spans="1:12" x14ac:dyDescent="0.25">
      <c r="A898" t="s">
        <v>7</v>
      </c>
      <c r="B898">
        <v>139</v>
      </c>
      <c r="C898" t="s">
        <v>2</v>
      </c>
      <c r="D898">
        <v>18</v>
      </c>
      <c r="E898">
        <v>0</v>
      </c>
      <c r="F898">
        <v>0</v>
      </c>
      <c r="G898">
        <v>5</v>
      </c>
      <c r="H898">
        <v>0</v>
      </c>
      <c r="I898">
        <v>13</v>
      </c>
      <c r="J898">
        <v>0</v>
      </c>
      <c r="K898">
        <v>0</v>
      </c>
      <c r="L898" t="b">
        <f t="shared" si="13"/>
        <v>1</v>
      </c>
    </row>
    <row r="899" spans="1:12" x14ac:dyDescent="0.25">
      <c r="A899" t="s">
        <v>7</v>
      </c>
      <c r="B899">
        <v>139</v>
      </c>
      <c r="C899" t="s">
        <v>3</v>
      </c>
      <c r="D899">
        <v>4</v>
      </c>
      <c r="E899">
        <v>2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 t="b">
        <f t="shared" si="13"/>
        <v>1</v>
      </c>
    </row>
    <row r="900" spans="1:12" x14ac:dyDescent="0.25">
      <c r="A900" t="s">
        <v>7</v>
      </c>
      <c r="B900">
        <v>139</v>
      </c>
      <c r="C900" t="s">
        <v>1</v>
      </c>
      <c r="D900">
        <v>24</v>
      </c>
      <c r="E900">
        <v>0</v>
      </c>
      <c r="F900">
        <v>3</v>
      </c>
      <c r="G900">
        <v>7</v>
      </c>
      <c r="H900">
        <v>0</v>
      </c>
      <c r="I900">
        <v>13</v>
      </c>
      <c r="J900">
        <v>0</v>
      </c>
      <c r="K900">
        <v>1</v>
      </c>
      <c r="L900" t="b">
        <f t="shared" ref="L900:L963" si="14">SUM(E900:K900)=D900</f>
        <v>1</v>
      </c>
    </row>
    <row r="901" spans="1:12" x14ac:dyDescent="0.25">
      <c r="A901" t="s">
        <v>7</v>
      </c>
      <c r="B901">
        <v>139</v>
      </c>
      <c r="C901" t="s">
        <v>4</v>
      </c>
      <c r="D901">
        <v>2</v>
      </c>
      <c r="E901">
        <v>0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 t="b">
        <f t="shared" si="14"/>
        <v>1</v>
      </c>
    </row>
    <row r="902" spans="1:12" x14ac:dyDescent="0.25">
      <c r="A902" t="s">
        <v>7</v>
      </c>
      <c r="B902">
        <v>139</v>
      </c>
      <c r="C902" t="s">
        <v>9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 t="b">
        <f t="shared" si="14"/>
        <v>1</v>
      </c>
    </row>
    <row r="903" spans="1:12" x14ac:dyDescent="0.25">
      <c r="A903" t="s">
        <v>7</v>
      </c>
      <c r="B903">
        <v>140</v>
      </c>
      <c r="C903" t="s">
        <v>2</v>
      </c>
      <c r="D903">
        <v>8</v>
      </c>
      <c r="E903">
        <v>0</v>
      </c>
      <c r="F903">
        <v>0</v>
      </c>
      <c r="G903">
        <v>5</v>
      </c>
      <c r="H903">
        <v>0</v>
      </c>
      <c r="I903">
        <v>3</v>
      </c>
      <c r="J903">
        <v>0</v>
      </c>
      <c r="K903">
        <v>0</v>
      </c>
      <c r="L903" t="b">
        <f t="shared" si="14"/>
        <v>1</v>
      </c>
    </row>
    <row r="904" spans="1:12" x14ac:dyDescent="0.25">
      <c r="A904" t="s">
        <v>7</v>
      </c>
      <c r="B904">
        <v>140</v>
      </c>
      <c r="C904" t="s">
        <v>3</v>
      </c>
      <c r="D904">
        <v>3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 t="b">
        <f t="shared" si="14"/>
        <v>1</v>
      </c>
    </row>
    <row r="905" spans="1:12" x14ac:dyDescent="0.25">
      <c r="A905" t="s">
        <v>7</v>
      </c>
      <c r="B905">
        <v>140</v>
      </c>
      <c r="C905" t="s">
        <v>5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 t="b">
        <f t="shared" si="14"/>
        <v>1</v>
      </c>
    </row>
    <row r="906" spans="1:12" x14ac:dyDescent="0.25">
      <c r="A906" t="s">
        <v>7</v>
      </c>
      <c r="B906">
        <v>140</v>
      </c>
      <c r="C906" t="s">
        <v>6</v>
      </c>
      <c r="D906">
        <v>2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 t="b">
        <f t="shared" si="14"/>
        <v>1</v>
      </c>
    </row>
    <row r="907" spans="1:12" x14ac:dyDescent="0.25">
      <c r="A907" t="s">
        <v>7</v>
      </c>
      <c r="B907">
        <v>140</v>
      </c>
      <c r="C907" t="s">
        <v>1</v>
      </c>
      <c r="D907">
        <v>14</v>
      </c>
      <c r="E907">
        <v>0</v>
      </c>
      <c r="F907">
        <v>4</v>
      </c>
      <c r="G907">
        <v>6</v>
      </c>
      <c r="H907">
        <v>0</v>
      </c>
      <c r="I907">
        <v>3</v>
      </c>
      <c r="J907">
        <v>0</v>
      </c>
      <c r="K907">
        <v>1</v>
      </c>
      <c r="L907" t="b">
        <f t="shared" si="14"/>
        <v>1</v>
      </c>
    </row>
    <row r="908" spans="1:12" x14ac:dyDescent="0.25">
      <c r="A908" t="s">
        <v>7</v>
      </c>
      <c r="B908">
        <v>140</v>
      </c>
      <c r="C908" t="s">
        <v>10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 t="b">
        <f t="shared" si="14"/>
        <v>1</v>
      </c>
    </row>
    <row r="909" spans="1:12" x14ac:dyDescent="0.25">
      <c r="A909" t="s">
        <v>7</v>
      </c>
      <c r="B909">
        <v>140</v>
      </c>
      <c r="C909" t="s">
        <v>4</v>
      </c>
      <c r="D909">
        <v>2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1</v>
      </c>
      <c r="K909">
        <v>0</v>
      </c>
      <c r="L909" t="b">
        <f t="shared" si="14"/>
        <v>1</v>
      </c>
    </row>
    <row r="910" spans="1:12" x14ac:dyDescent="0.25">
      <c r="A910" t="s">
        <v>7</v>
      </c>
      <c r="B910">
        <v>140</v>
      </c>
      <c r="C910" t="s">
        <v>9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 t="b">
        <f t="shared" si="14"/>
        <v>1</v>
      </c>
    </row>
    <row r="911" spans="1:12" x14ac:dyDescent="0.25">
      <c r="A911" t="s">
        <v>7</v>
      </c>
      <c r="B911">
        <v>141</v>
      </c>
      <c r="C911" t="s">
        <v>2</v>
      </c>
      <c r="D911">
        <v>10</v>
      </c>
      <c r="E911">
        <v>0</v>
      </c>
      <c r="F911">
        <v>0</v>
      </c>
      <c r="G911">
        <v>7</v>
      </c>
      <c r="H911">
        <v>0</v>
      </c>
      <c r="I911">
        <v>3</v>
      </c>
      <c r="J911">
        <v>0</v>
      </c>
      <c r="K911">
        <v>0</v>
      </c>
      <c r="L911" t="b">
        <f t="shared" si="14"/>
        <v>1</v>
      </c>
    </row>
    <row r="912" spans="1:12" x14ac:dyDescent="0.25">
      <c r="A912" t="s">
        <v>7</v>
      </c>
      <c r="B912">
        <v>141</v>
      </c>
      <c r="C912" t="s">
        <v>3</v>
      </c>
      <c r="D912">
        <v>1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 t="b">
        <f t="shared" si="14"/>
        <v>1</v>
      </c>
    </row>
    <row r="913" spans="1:12" x14ac:dyDescent="0.25">
      <c r="A913" t="s">
        <v>7</v>
      </c>
      <c r="B913">
        <v>141</v>
      </c>
      <c r="C913" t="s">
        <v>5</v>
      </c>
      <c r="D913">
        <v>2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 t="b">
        <f t="shared" si="14"/>
        <v>1</v>
      </c>
    </row>
    <row r="914" spans="1:12" x14ac:dyDescent="0.25">
      <c r="A914" t="s">
        <v>7</v>
      </c>
      <c r="B914">
        <v>141</v>
      </c>
      <c r="C914" t="s">
        <v>6</v>
      </c>
      <c r="D914">
        <v>4</v>
      </c>
      <c r="E914">
        <v>0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2</v>
      </c>
      <c r="L914" t="b">
        <f t="shared" si="14"/>
        <v>1</v>
      </c>
    </row>
    <row r="915" spans="1:12" x14ac:dyDescent="0.25">
      <c r="A915" t="s">
        <v>7</v>
      </c>
      <c r="B915">
        <v>141</v>
      </c>
      <c r="C915" t="s">
        <v>1</v>
      </c>
      <c r="D915">
        <v>14</v>
      </c>
      <c r="E915">
        <v>0</v>
      </c>
      <c r="F915">
        <v>3</v>
      </c>
      <c r="G915">
        <v>7</v>
      </c>
      <c r="H915">
        <v>0</v>
      </c>
      <c r="I915">
        <v>3</v>
      </c>
      <c r="J915">
        <v>0</v>
      </c>
      <c r="K915">
        <v>1</v>
      </c>
      <c r="L915" t="b">
        <f t="shared" si="14"/>
        <v>1</v>
      </c>
    </row>
    <row r="916" spans="1:12" x14ac:dyDescent="0.25">
      <c r="A916" t="s">
        <v>7</v>
      </c>
      <c r="B916">
        <v>141</v>
      </c>
      <c r="C916" t="s">
        <v>9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b">
        <f t="shared" si="14"/>
        <v>1</v>
      </c>
    </row>
    <row r="917" spans="1:12" x14ac:dyDescent="0.25">
      <c r="A917" t="s">
        <v>7</v>
      </c>
      <c r="B917">
        <v>142</v>
      </c>
      <c r="C917" t="s">
        <v>2</v>
      </c>
      <c r="D917">
        <v>3</v>
      </c>
      <c r="E917">
        <v>0</v>
      </c>
      <c r="F917">
        <v>0</v>
      </c>
      <c r="G917">
        <v>0</v>
      </c>
      <c r="H917">
        <v>0</v>
      </c>
      <c r="I917">
        <v>3</v>
      </c>
      <c r="J917">
        <v>0</v>
      </c>
      <c r="K917">
        <v>0</v>
      </c>
      <c r="L917" t="b">
        <f t="shared" si="14"/>
        <v>1</v>
      </c>
    </row>
    <row r="918" spans="1:12" x14ac:dyDescent="0.25">
      <c r="A918" t="s">
        <v>7</v>
      </c>
      <c r="B918">
        <v>142</v>
      </c>
      <c r="C918" t="s">
        <v>84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 t="b">
        <f t="shared" si="14"/>
        <v>1</v>
      </c>
    </row>
    <row r="919" spans="1:12" x14ac:dyDescent="0.25">
      <c r="A919" t="s">
        <v>7</v>
      </c>
      <c r="B919">
        <v>142</v>
      </c>
      <c r="C919" t="s">
        <v>3</v>
      </c>
      <c r="D919">
        <v>5</v>
      </c>
      <c r="E919">
        <v>3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 t="b">
        <f t="shared" si="14"/>
        <v>1</v>
      </c>
    </row>
    <row r="920" spans="1:12" x14ac:dyDescent="0.25">
      <c r="A920" t="s">
        <v>7</v>
      </c>
      <c r="B920">
        <v>142</v>
      </c>
      <c r="C920" t="s">
        <v>6</v>
      </c>
      <c r="D920">
        <v>3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2</v>
      </c>
      <c r="L920" t="b">
        <f t="shared" si="14"/>
        <v>1</v>
      </c>
    </row>
    <row r="921" spans="1:12" x14ac:dyDescent="0.25">
      <c r="A921" t="s">
        <v>7</v>
      </c>
      <c r="B921">
        <v>142</v>
      </c>
      <c r="C921" t="s">
        <v>1</v>
      </c>
      <c r="D921">
        <v>5</v>
      </c>
      <c r="E921">
        <v>0</v>
      </c>
      <c r="F921">
        <v>1</v>
      </c>
      <c r="G921">
        <v>1</v>
      </c>
      <c r="H921">
        <v>0</v>
      </c>
      <c r="I921">
        <v>3</v>
      </c>
      <c r="J921">
        <v>0</v>
      </c>
      <c r="K921">
        <v>0</v>
      </c>
      <c r="L921" t="b">
        <f t="shared" si="14"/>
        <v>1</v>
      </c>
    </row>
    <row r="922" spans="1:12" x14ac:dyDescent="0.25">
      <c r="A922" t="s">
        <v>7</v>
      </c>
      <c r="B922">
        <v>142</v>
      </c>
      <c r="C922" t="s">
        <v>4</v>
      </c>
      <c r="D922">
        <v>4</v>
      </c>
      <c r="E922">
        <v>0</v>
      </c>
      <c r="F922">
        <v>2</v>
      </c>
      <c r="G922">
        <v>0</v>
      </c>
      <c r="H922">
        <v>0</v>
      </c>
      <c r="I922">
        <v>0</v>
      </c>
      <c r="J922">
        <v>0</v>
      </c>
      <c r="K922">
        <v>2</v>
      </c>
      <c r="L922" t="b">
        <f t="shared" si="14"/>
        <v>1</v>
      </c>
    </row>
    <row r="923" spans="1:12" x14ac:dyDescent="0.25">
      <c r="A923" t="s">
        <v>7</v>
      </c>
      <c r="B923">
        <v>142</v>
      </c>
      <c r="C923" t="s">
        <v>9</v>
      </c>
      <c r="D923">
        <v>1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 t="b">
        <f t="shared" si="14"/>
        <v>1</v>
      </c>
    </row>
    <row r="924" spans="1:12" x14ac:dyDescent="0.25">
      <c r="A924" t="s">
        <v>7</v>
      </c>
      <c r="B924">
        <v>143</v>
      </c>
      <c r="C924" t="s">
        <v>2</v>
      </c>
      <c r="D924">
        <v>6</v>
      </c>
      <c r="E924">
        <v>0</v>
      </c>
      <c r="F924">
        <v>0</v>
      </c>
      <c r="G924">
        <v>2</v>
      </c>
      <c r="H924">
        <v>0</v>
      </c>
      <c r="I924">
        <v>4</v>
      </c>
      <c r="J924">
        <v>0</v>
      </c>
      <c r="K924">
        <v>0</v>
      </c>
      <c r="L924" t="b">
        <f t="shared" si="14"/>
        <v>1</v>
      </c>
    </row>
    <row r="925" spans="1:12" x14ac:dyDescent="0.25">
      <c r="A925" t="s">
        <v>7</v>
      </c>
      <c r="B925">
        <v>143</v>
      </c>
      <c r="C925" t="s">
        <v>84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 t="b">
        <f t="shared" si="14"/>
        <v>1</v>
      </c>
    </row>
    <row r="926" spans="1:12" x14ac:dyDescent="0.25">
      <c r="A926" t="s">
        <v>7</v>
      </c>
      <c r="B926">
        <v>143</v>
      </c>
      <c r="C926" t="s">
        <v>3</v>
      </c>
      <c r="D926">
        <v>5</v>
      </c>
      <c r="E926">
        <v>4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 t="b">
        <f t="shared" si="14"/>
        <v>1</v>
      </c>
    </row>
    <row r="927" spans="1:12" x14ac:dyDescent="0.25">
      <c r="A927" t="s">
        <v>7</v>
      </c>
      <c r="B927">
        <v>143</v>
      </c>
      <c r="C927" t="s">
        <v>6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4</v>
      </c>
      <c r="L927" t="b">
        <f t="shared" si="14"/>
        <v>1</v>
      </c>
    </row>
    <row r="928" spans="1:12" x14ac:dyDescent="0.25">
      <c r="A928" t="s">
        <v>7</v>
      </c>
      <c r="B928">
        <v>143</v>
      </c>
      <c r="C928" t="s">
        <v>1</v>
      </c>
      <c r="D928">
        <v>11</v>
      </c>
      <c r="E928">
        <v>0</v>
      </c>
      <c r="F928">
        <v>1</v>
      </c>
      <c r="G928">
        <v>4</v>
      </c>
      <c r="H928">
        <v>0</v>
      </c>
      <c r="I928">
        <v>3</v>
      </c>
      <c r="J928">
        <v>0</v>
      </c>
      <c r="K928">
        <v>3</v>
      </c>
      <c r="L928" t="b">
        <f t="shared" si="14"/>
        <v>1</v>
      </c>
    </row>
    <row r="929" spans="1:12" x14ac:dyDescent="0.25">
      <c r="A929" t="s">
        <v>7</v>
      </c>
      <c r="B929">
        <v>143</v>
      </c>
      <c r="C929" t="s">
        <v>10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 t="b">
        <f t="shared" si="14"/>
        <v>1</v>
      </c>
    </row>
    <row r="930" spans="1:12" x14ac:dyDescent="0.25">
      <c r="A930" t="s">
        <v>7</v>
      </c>
      <c r="B930">
        <v>143</v>
      </c>
      <c r="C930" t="s">
        <v>11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2</v>
      </c>
      <c r="J930">
        <v>0</v>
      </c>
      <c r="K930">
        <v>0</v>
      </c>
      <c r="L930" t="b">
        <f t="shared" si="14"/>
        <v>1</v>
      </c>
    </row>
    <row r="931" spans="1:12" x14ac:dyDescent="0.25">
      <c r="A931" t="s">
        <v>7</v>
      </c>
      <c r="B931">
        <v>143</v>
      </c>
      <c r="C931" t="s">
        <v>4</v>
      </c>
      <c r="D931">
        <v>4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2</v>
      </c>
      <c r="L931" t="b">
        <f t="shared" si="14"/>
        <v>1</v>
      </c>
    </row>
    <row r="932" spans="1:12" x14ac:dyDescent="0.25">
      <c r="A932" t="s">
        <v>7</v>
      </c>
      <c r="B932">
        <v>143</v>
      </c>
      <c r="C932" t="s">
        <v>9</v>
      </c>
      <c r="D932">
        <v>4</v>
      </c>
      <c r="E932">
        <v>0</v>
      </c>
      <c r="F932">
        <v>3</v>
      </c>
      <c r="G932">
        <v>1</v>
      </c>
      <c r="H932">
        <v>0</v>
      </c>
      <c r="I932">
        <v>0</v>
      </c>
      <c r="J932">
        <v>0</v>
      </c>
      <c r="K932">
        <v>0</v>
      </c>
      <c r="L932" t="b">
        <f t="shared" si="14"/>
        <v>1</v>
      </c>
    </row>
    <row r="933" spans="1:12" x14ac:dyDescent="0.25">
      <c r="A933" t="s">
        <v>7</v>
      </c>
      <c r="B933">
        <v>144</v>
      </c>
      <c r="C933" t="s">
        <v>2</v>
      </c>
      <c r="D933">
        <v>11</v>
      </c>
      <c r="E933">
        <v>0</v>
      </c>
      <c r="F933">
        <v>0</v>
      </c>
      <c r="G933">
        <v>4</v>
      </c>
      <c r="H933">
        <v>0</v>
      </c>
      <c r="I933">
        <v>7</v>
      </c>
      <c r="J933">
        <v>0</v>
      </c>
      <c r="K933">
        <v>0</v>
      </c>
      <c r="L933" t="b">
        <f t="shared" si="14"/>
        <v>1</v>
      </c>
    </row>
    <row r="934" spans="1:12" x14ac:dyDescent="0.25">
      <c r="A934" t="s">
        <v>7</v>
      </c>
      <c r="B934">
        <v>144</v>
      </c>
      <c r="C934" t="s">
        <v>3</v>
      </c>
      <c r="D934">
        <v>7</v>
      </c>
      <c r="E934">
        <v>0</v>
      </c>
      <c r="F934">
        <v>4</v>
      </c>
      <c r="G934">
        <v>3</v>
      </c>
      <c r="H934">
        <v>0</v>
      </c>
      <c r="I934">
        <v>0</v>
      </c>
      <c r="J934">
        <v>0</v>
      </c>
      <c r="K934">
        <v>0</v>
      </c>
      <c r="L934" t="b">
        <f t="shared" si="14"/>
        <v>1</v>
      </c>
    </row>
    <row r="935" spans="1:12" x14ac:dyDescent="0.25">
      <c r="A935" t="s">
        <v>7</v>
      </c>
      <c r="B935">
        <v>144</v>
      </c>
      <c r="C935" t="s">
        <v>6</v>
      </c>
      <c r="D935">
        <v>3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2</v>
      </c>
      <c r="L935" t="b">
        <f t="shared" si="14"/>
        <v>1</v>
      </c>
    </row>
    <row r="936" spans="1:12" x14ac:dyDescent="0.25">
      <c r="A936" t="s">
        <v>7</v>
      </c>
      <c r="B936">
        <v>144</v>
      </c>
      <c r="C936" t="s">
        <v>1</v>
      </c>
      <c r="D936">
        <v>20</v>
      </c>
      <c r="E936">
        <v>0</v>
      </c>
      <c r="F936">
        <v>3</v>
      </c>
      <c r="G936">
        <v>8</v>
      </c>
      <c r="H936">
        <v>1</v>
      </c>
      <c r="I936">
        <v>7</v>
      </c>
      <c r="J936">
        <v>0</v>
      </c>
      <c r="K936">
        <v>1</v>
      </c>
      <c r="L936" t="b">
        <f t="shared" si="14"/>
        <v>1</v>
      </c>
    </row>
    <row r="937" spans="1:12" x14ac:dyDescent="0.25">
      <c r="A937" t="s">
        <v>7</v>
      </c>
      <c r="B937">
        <v>144</v>
      </c>
      <c r="C937" t="s">
        <v>4</v>
      </c>
      <c r="D937">
        <v>4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1</v>
      </c>
      <c r="K937">
        <v>1</v>
      </c>
      <c r="L937" t="b">
        <f t="shared" si="14"/>
        <v>1</v>
      </c>
    </row>
    <row r="938" spans="1:12" x14ac:dyDescent="0.25">
      <c r="A938" t="s">
        <v>7</v>
      </c>
      <c r="B938">
        <v>144</v>
      </c>
      <c r="C938" t="s">
        <v>9</v>
      </c>
      <c r="D938">
        <v>1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 t="b">
        <f t="shared" si="14"/>
        <v>1</v>
      </c>
    </row>
    <row r="939" spans="1:12" x14ac:dyDescent="0.25">
      <c r="A939" t="s">
        <v>7</v>
      </c>
      <c r="B939">
        <v>145</v>
      </c>
      <c r="C939" t="s">
        <v>2</v>
      </c>
      <c r="D939">
        <v>12</v>
      </c>
      <c r="E939">
        <v>0</v>
      </c>
      <c r="F939">
        <v>0</v>
      </c>
      <c r="G939">
        <v>4</v>
      </c>
      <c r="H939">
        <v>0</v>
      </c>
      <c r="I939">
        <v>8</v>
      </c>
      <c r="J939">
        <v>0</v>
      </c>
      <c r="K939">
        <v>0</v>
      </c>
      <c r="L939" t="b">
        <f t="shared" si="14"/>
        <v>1</v>
      </c>
    </row>
    <row r="940" spans="1:12" x14ac:dyDescent="0.25">
      <c r="A940" t="s">
        <v>7</v>
      </c>
      <c r="B940">
        <v>145</v>
      </c>
      <c r="C940" t="s">
        <v>3</v>
      </c>
      <c r="D940">
        <v>2</v>
      </c>
      <c r="E940">
        <v>0</v>
      </c>
      <c r="F940">
        <v>2</v>
      </c>
      <c r="G940">
        <v>0</v>
      </c>
      <c r="H940">
        <v>0</v>
      </c>
      <c r="I940">
        <v>0</v>
      </c>
      <c r="J940">
        <v>0</v>
      </c>
      <c r="K940">
        <v>0</v>
      </c>
      <c r="L940" t="b">
        <f t="shared" si="14"/>
        <v>1</v>
      </c>
    </row>
    <row r="941" spans="1:12" x14ac:dyDescent="0.25">
      <c r="A941" t="s">
        <v>7</v>
      </c>
      <c r="B941">
        <v>145</v>
      </c>
      <c r="C941" t="s">
        <v>1</v>
      </c>
      <c r="D941">
        <v>17</v>
      </c>
      <c r="E941">
        <v>0</v>
      </c>
      <c r="F941">
        <v>4</v>
      </c>
      <c r="G941">
        <v>6</v>
      </c>
      <c r="H941">
        <v>0</v>
      </c>
      <c r="I941">
        <v>7</v>
      </c>
      <c r="J941">
        <v>0</v>
      </c>
      <c r="K941">
        <v>0</v>
      </c>
      <c r="L941" t="b">
        <f t="shared" si="14"/>
        <v>1</v>
      </c>
    </row>
    <row r="942" spans="1:12" x14ac:dyDescent="0.25">
      <c r="A942" t="s">
        <v>7</v>
      </c>
      <c r="B942">
        <v>145</v>
      </c>
      <c r="C942" t="s">
        <v>9</v>
      </c>
      <c r="D942">
        <v>1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 t="b">
        <f t="shared" si="14"/>
        <v>1</v>
      </c>
    </row>
    <row r="943" spans="1:12" x14ac:dyDescent="0.25">
      <c r="A943" t="s">
        <v>7</v>
      </c>
      <c r="B943">
        <v>146</v>
      </c>
      <c r="C943" t="s">
        <v>2</v>
      </c>
      <c r="D943">
        <v>5</v>
      </c>
      <c r="E943">
        <v>0</v>
      </c>
      <c r="F943">
        <v>0</v>
      </c>
      <c r="G943">
        <v>2</v>
      </c>
      <c r="H943">
        <v>0</v>
      </c>
      <c r="I943">
        <v>3</v>
      </c>
      <c r="J943">
        <v>0</v>
      </c>
      <c r="K943">
        <v>0</v>
      </c>
      <c r="L943" t="b">
        <f t="shared" si="14"/>
        <v>1</v>
      </c>
    </row>
    <row r="944" spans="1:12" x14ac:dyDescent="0.25">
      <c r="A944" t="s">
        <v>7</v>
      </c>
      <c r="B944">
        <v>146</v>
      </c>
      <c r="C944" t="s">
        <v>5</v>
      </c>
      <c r="D944">
        <v>1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 t="b">
        <f t="shared" si="14"/>
        <v>1</v>
      </c>
    </row>
    <row r="945" spans="1:12" x14ac:dyDescent="0.25">
      <c r="A945" t="s">
        <v>7</v>
      </c>
      <c r="B945">
        <v>146</v>
      </c>
      <c r="C945" t="s">
        <v>6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</v>
      </c>
      <c r="L945" t="b">
        <f t="shared" si="14"/>
        <v>1</v>
      </c>
    </row>
    <row r="946" spans="1:12" x14ac:dyDescent="0.25">
      <c r="A946" t="s">
        <v>7</v>
      </c>
      <c r="B946">
        <v>146</v>
      </c>
      <c r="C946" t="s">
        <v>1</v>
      </c>
      <c r="D946">
        <v>12</v>
      </c>
      <c r="E946">
        <v>0</v>
      </c>
      <c r="F946">
        <v>1</v>
      </c>
      <c r="G946">
        <v>3</v>
      </c>
      <c r="H946">
        <v>0</v>
      </c>
      <c r="I946">
        <v>3</v>
      </c>
      <c r="J946">
        <v>0</v>
      </c>
      <c r="K946">
        <v>5</v>
      </c>
      <c r="L946" t="b">
        <f t="shared" si="14"/>
        <v>1</v>
      </c>
    </row>
    <row r="947" spans="1:12" x14ac:dyDescent="0.25">
      <c r="A947" t="s">
        <v>7</v>
      </c>
      <c r="B947">
        <v>146</v>
      </c>
      <c r="C947" t="s">
        <v>11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 t="b">
        <f t="shared" si="14"/>
        <v>1</v>
      </c>
    </row>
    <row r="948" spans="1:12" x14ac:dyDescent="0.25">
      <c r="A948" t="s">
        <v>7</v>
      </c>
      <c r="B948">
        <v>146</v>
      </c>
      <c r="C948" t="s">
        <v>9</v>
      </c>
      <c r="D948">
        <v>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</v>
      </c>
      <c r="L948" t="b">
        <f t="shared" si="14"/>
        <v>1</v>
      </c>
    </row>
    <row r="949" spans="1:12" x14ac:dyDescent="0.25">
      <c r="A949" t="s">
        <v>7</v>
      </c>
      <c r="B949">
        <v>147</v>
      </c>
      <c r="C949" t="s">
        <v>2</v>
      </c>
      <c r="D949">
        <v>11</v>
      </c>
      <c r="E949">
        <v>0</v>
      </c>
      <c r="F949">
        <v>0</v>
      </c>
      <c r="G949">
        <v>5</v>
      </c>
      <c r="H949">
        <v>0</v>
      </c>
      <c r="I949">
        <v>6</v>
      </c>
      <c r="J949">
        <v>0</v>
      </c>
      <c r="K949">
        <v>0</v>
      </c>
      <c r="L949" t="b">
        <f t="shared" si="14"/>
        <v>1</v>
      </c>
    </row>
    <row r="950" spans="1:12" x14ac:dyDescent="0.25">
      <c r="A950" t="s">
        <v>7</v>
      </c>
      <c r="B950">
        <v>147</v>
      </c>
      <c r="C950" t="s">
        <v>84</v>
      </c>
      <c r="D950">
        <v>1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 t="b">
        <f t="shared" si="14"/>
        <v>1</v>
      </c>
    </row>
    <row r="951" spans="1:12" x14ac:dyDescent="0.25">
      <c r="A951" t="s">
        <v>7</v>
      </c>
      <c r="B951">
        <v>147</v>
      </c>
      <c r="C951" t="s">
        <v>6</v>
      </c>
      <c r="D951">
        <v>3</v>
      </c>
      <c r="E951">
        <v>0</v>
      </c>
      <c r="F951">
        <v>1</v>
      </c>
      <c r="G951">
        <v>1</v>
      </c>
      <c r="H951">
        <v>0</v>
      </c>
      <c r="I951">
        <v>0</v>
      </c>
      <c r="J951">
        <v>0</v>
      </c>
      <c r="K951">
        <v>1</v>
      </c>
      <c r="L951" t="b">
        <f t="shared" si="14"/>
        <v>1</v>
      </c>
    </row>
    <row r="952" spans="1:12" x14ac:dyDescent="0.25">
      <c r="A952" t="s">
        <v>7</v>
      </c>
      <c r="B952">
        <v>147</v>
      </c>
      <c r="C952" t="s">
        <v>1</v>
      </c>
      <c r="D952">
        <v>13</v>
      </c>
      <c r="E952">
        <v>0</v>
      </c>
      <c r="F952">
        <v>1</v>
      </c>
      <c r="G952">
        <v>6</v>
      </c>
      <c r="H952">
        <v>0</v>
      </c>
      <c r="I952">
        <v>5</v>
      </c>
      <c r="J952">
        <v>0</v>
      </c>
      <c r="K952">
        <v>1</v>
      </c>
      <c r="L952" t="b">
        <f t="shared" si="14"/>
        <v>1</v>
      </c>
    </row>
    <row r="953" spans="1:12" x14ac:dyDescent="0.25">
      <c r="A953" t="s">
        <v>7</v>
      </c>
      <c r="B953">
        <v>147</v>
      </c>
      <c r="C953" t="s">
        <v>9</v>
      </c>
      <c r="D953">
        <v>1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 t="b">
        <f t="shared" si="14"/>
        <v>1</v>
      </c>
    </row>
    <row r="954" spans="1:12" x14ac:dyDescent="0.25">
      <c r="A954" t="s">
        <v>7</v>
      </c>
      <c r="B954">
        <v>148</v>
      </c>
      <c r="C954" t="s">
        <v>2</v>
      </c>
      <c r="D954">
        <v>11</v>
      </c>
      <c r="E954">
        <v>0</v>
      </c>
      <c r="F954">
        <v>2</v>
      </c>
      <c r="G954">
        <v>2</v>
      </c>
      <c r="H954">
        <v>0</v>
      </c>
      <c r="I954">
        <v>7</v>
      </c>
      <c r="J954">
        <v>0</v>
      </c>
      <c r="K954">
        <v>0</v>
      </c>
      <c r="L954" t="b">
        <f t="shared" si="14"/>
        <v>1</v>
      </c>
    </row>
    <row r="955" spans="1:12" x14ac:dyDescent="0.25">
      <c r="A955" t="s">
        <v>7</v>
      </c>
      <c r="B955">
        <v>148</v>
      </c>
      <c r="C955" t="s">
        <v>84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 t="b">
        <f t="shared" si="14"/>
        <v>1</v>
      </c>
    </row>
    <row r="956" spans="1:12" x14ac:dyDescent="0.25">
      <c r="A956" t="s">
        <v>7</v>
      </c>
      <c r="B956">
        <v>148</v>
      </c>
      <c r="C956" t="s">
        <v>5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 t="b">
        <f t="shared" si="14"/>
        <v>1</v>
      </c>
    </row>
    <row r="957" spans="1:12" x14ac:dyDescent="0.25">
      <c r="A957" t="s">
        <v>7</v>
      </c>
      <c r="B957">
        <v>148</v>
      </c>
      <c r="C957" t="s">
        <v>6</v>
      </c>
      <c r="D957">
        <v>2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1</v>
      </c>
      <c r="L957" t="b">
        <f t="shared" si="14"/>
        <v>1</v>
      </c>
    </row>
    <row r="958" spans="1:12" x14ac:dyDescent="0.25">
      <c r="A958" t="s">
        <v>7</v>
      </c>
      <c r="B958">
        <v>148</v>
      </c>
      <c r="C958" t="s">
        <v>1</v>
      </c>
      <c r="D958">
        <v>14</v>
      </c>
      <c r="E958">
        <v>0</v>
      </c>
      <c r="F958">
        <v>4</v>
      </c>
      <c r="G958">
        <v>2</v>
      </c>
      <c r="H958">
        <v>0</v>
      </c>
      <c r="I958">
        <v>7</v>
      </c>
      <c r="J958">
        <v>0</v>
      </c>
      <c r="K958">
        <v>1</v>
      </c>
      <c r="L958" t="b">
        <f t="shared" si="14"/>
        <v>1</v>
      </c>
    </row>
    <row r="959" spans="1:12" x14ac:dyDescent="0.25">
      <c r="A959" t="s">
        <v>7</v>
      </c>
      <c r="B959">
        <v>148</v>
      </c>
      <c r="C959" t="s">
        <v>10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 t="b">
        <f t="shared" si="14"/>
        <v>1</v>
      </c>
    </row>
    <row r="960" spans="1:12" x14ac:dyDescent="0.25">
      <c r="A960" t="s">
        <v>7</v>
      </c>
      <c r="B960">
        <v>149</v>
      </c>
      <c r="C960" t="s">
        <v>2</v>
      </c>
      <c r="D960">
        <v>7</v>
      </c>
      <c r="E960">
        <v>0</v>
      </c>
      <c r="F960">
        <v>1</v>
      </c>
      <c r="G960">
        <v>2</v>
      </c>
      <c r="H960">
        <v>0</v>
      </c>
      <c r="I960">
        <v>4</v>
      </c>
      <c r="J960">
        <v>0</v>
      </c>
      <c r="K960">
        <v>0</v>
      </c>
      <c r="L960" t="b">
        <f t="shared" si="14"/>
        <v>1</v>
      </c>
    </row>
    <row r="961" spans="1:12" x14ac:dyDescent="0.25">
      <c r="A961" t="s">
        <v>7</v>
      </c>
      <c r="B961">
        <v>149</v>
      </c>
      <c r="C961" t="s">
        <v>84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 t="b">
        <f t="shared" si="14"/>
        <v>1</v>
      </c>
    </row>
    <row r="962" spans="1:12" x14ac:dyDescent="0.25">
      <c r="A962" t="s">
        <v>7</v>
      </c>
      <c r="B962">
        <v>149</v>
      </c>
      <c r="C962" t="s">
        <v>6</v>
      </c>
      <c r="D962">
        <v>2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1</v>
      </c>
      <c r="L962" t="b">
        <f t="shared" si="14"/>
        <v>1</v>
      </c>
    </row>
    <row r="963" spans="1:12" x14ac:dyDescent="0.25">
      <c r="A963" t="s">
        <v>7</v>
      </c>
      <c r="B963">
        <v>149</v>
      </c>
      <c r="C963" t="s">
        <v>1</v>
      </c>
      <c r="D963">
        <v>9</v>
      </c>
      <c r="E963">
        <v>0</v>
      </c>
      <c r="F963">
        <v>1</v>
      </c>
      <c r="G963">
        <v>2</v>
      </c>
      <c r="H963">
        <v>1</v>
      </c>
      <c r="I963">
        <v>4</v>
      </c>
      <c r="J963">
        <v>0</v>
      </c>
      <c r="K963">
        <v>1</v>
      </c>
      <c r="L963" t="b">
        <f t="shared" si="14"/>
        <v>1</v>
      </c>
    </row>
    <row r="964" spans="1:12" x14ac:dyDescent="0.25">
      <c r="A964" t="s">
        <v>7</v>
      </c>
      <c r="B964">
        <v>150</v>
      </c>
      <c r="C964" t="s">
        <v>2</v>
      </c>
      <c r="D964">
        <v>5</v>
      </c>
      <c r="E964">
        <v>0</v>
      </c>
      <c r="F964">
        <v>3</v>
      </c>
      <c r="G964">
        <v>0</v>
      </c>
      <c r="H964">
        <v>0</v>
      </c>
      <c r="I964">
        <v>2</v>
      </c>
      <c r="J964">
        <v>0</v>
      </c>
      <c r="K964">
        <v>0</v>
      </c>
      <c r="L964" t="b">
        <f t="shared" ref="L964:L1027" si="15">SUM(E964:K964)=D964</f>
        <v>1</v>
      </c>
    </row>
    <row r="965" spans="1:12" x14ac:dyDescent="0.25">
      <c r="A965" t="s">
        <v>7</v>
      </c>
      <c r="B965">
        <v>150</v>
      </c>
      <c r="C965" t="s">
        <v>6</v>
      </c>
      <c r="D965">
        <v>1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 t="b">
        <f t="shared" si="15"/>
        <v>1</v>
      </c>
    </row>
    <row r="966" spans="1:12" x14ac:dyDescent="0.25">
      <c r="A966" t="s">
        <v>7</v>
      </c>
      <c r="B966">
        <v>150</v>
      </c>
      <c r="C966" t="s">
        <v>1</v>
      </c>
      <c r="D966">
        <v>6</v>
      </c>
      <c r="E966">
        <v>0</v>
      </c>
      <c r="F966">
        <v>4</v>
      </c>
      <c r="G966">
        <v>1</v>
      </c>
      <c r="H966">
        <v>0</v>
      </c>
      <c r="I966">
        <v>1</v>
      </c>
      <c r="J966">
        <v>0</v>
      </c>
      <c r="K966">
        <v>0</v>
      </c>
      <c r="L966" t="b">
        <f t="shared" si="15"/>
        <v>1</v>
      </c>
    </row>
    <row r="967" spans="1:12" x14ac:dyDescent="0.25">
      <c r="A967" t="s">
        <v>12</v>
      </c>
      <c r="B967">
        <v>1</v>
      </c>
      <c r="C967" t="s">
        <v>2</v>
      </c>
      <c r="D967">
        <v>25</v>
      </c>
      <c r="E967">
        <v>0</v>
      </c>
      <c r="F967">
        <v>1</v>
      </c>
      <c r="G967">
        <v>9</v>
      </c>
      <c r="H967">
        <v>0</v>
      </c>
      <c r="I967">
        <v>15</v>
      </c>
      <c r="J967">
        <v>0</v>
      </c>
      <c r="K967">
        <v>0</v>
      </c>
      <c r="L967" t="b">
        <f t="shared" si="15"/>
        <v>1</v>
      </c>
    </row>
    <row r="968" spans="1:12" x14ac:dyDescent="0.25">
      <c r="A968" t="s">
        <v>12</v>
      </c>
      <c r="B968">
        <v>1</v>
      </c>
      <c r="C968" t="s">
        <v>84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 t="b">
        <f t="shared" si="15"/>
        <v>1</v>
      </c>
    </row>
    <row r="969" spans="1:12" x14ac:dyDescent="0.25">
      <c r="A969" t="s">
        <v>12</v>
      </c>
      <c r="B969">
        <v>1</v>
      </c>
      <c r="C969" t="s">
        <v>3</v>
      </c>
      <c r="D969">
        <v>4</v>
      </c>
      <c r="E969">
        <v>1</v>
      </c>
      <c r="F969">
        <v>2</v>
      </c>
      <c r="G969">
        <v>1</v>
      </c>
      <c r="H969">
        <v>0</v>
      </c>
      <c r="I969">
        <v>0</v>
      </c>
      <c r="J969">
        <v>0</v>
      </c>
      <c r="K969">
        <v>0</v>
      </c>
      <c r="L969" t="b">
        <f t="shared" si="15"/>
        <v>1</v>
      </c>
    </row>
    <row r="970" spans="1:12" x14ac:dyDescent="0.25">
      <c r="A970" t="s">
        <v>12</v>
      </c>
      <c r="B970">
        <v>1</v>
      </c>
      <c r="C970" t="s">
        <v>5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 t="b">
        <f t="shared" si="15"/>
        <v>1</v>
      </c>
    </row>
    <row r="971" spans="1:12" x14ac:dyDescent="0.25">
      <c r="A971" t="s">
        <v>12</v>
      </c>
      <c r="B971">
        <v>1</v>
      </c>
      <c r="C971" t="s">
        <v>6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 t="b">
        <f t="shared" si="15"/>
        <v>1</v>
      </c>
    </row>
    <row r="972" spans="1:12" x14ac:dyDescent="0.25">
      <c r="A972" t="s">
        <v>12</v>
      </c>
      <c r="B972">
        <v>1</v>
      </c>
      <c r="C972" t="s">
        <v>1</v>
      </c>
      <c r="D972">
        <v>32</v>
      </c>
      <c r="E972">
        <v>0</v>
      </c>
      <c r="F972">
        <v>4</v>
      </c>
      <c r="G972">
        <v>12</v>
      </c>
      <c r="H972">
        <v>0</v>
      </c>
      <c r="I972">
        <v>15</v>
      </c>
      <c r="J972">
        <v>0</v>
      </c>
      <c r="K972">
        <v>1</v>
      </c>
      <c r="L972" t="b">
        <f t="shared" si="15"/>
        <v>1</v>
      </c>
    </row>
    <row r="973" spans="1:12" x14ac:dyDescent="0.25">
      <c r="A973" t="s">
        <v>12</v>
      </c>
      <c r="B973">
        <v>1</v>
      </c>
      <c r="C973" t="s">
        <v>10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 t="b">
        <f t="shared" si="15"/>
        <v>1</v>
      </c>
    </row>
    <row r="974" spans="1:12" x14ac:dyDescent="0.25">
      <c r="A974" t="s">
        <v>12</v>
      </c>
      <c r="B974">
        <v>1</v>
      </c>
      <c r="C974" t="s">
        <v>11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 t="b">
        <f t="shared" si="15"/>
        <v>1</v>
      </c>
    </row>
    <row r="975" spans="1:12" x14ac:dyDescent="0.25">
      <c r="A975" t="s">
        <v>12</v>
      </c>
      <c r="B975">
        <v>1</v>
      </c>
      <c r="C975" t="s">
        <v>4</v>
      </c>
      <c r="D975">
        <v>2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 t="b">
        <f t="shared" si="15"/>
        <v>1</v>
      </c>
    </row>
    <row r="976" spans="1:12" x14ac:dyDescent="0.25">
      <c r="A976" t="s">
        <v>12</v>
      </c>
      <c r="B976">
        <v>2</v>
      </c>
      <c r="C976" t="s">
        <v>2</v>
      </c>
      <c r="D976">
        <v>16</v>
      </c>
      <c r="E976">
        <v>0</v>
      </c>
      <c r="F976">
        <v>1</v>
      </c>
      <c r="G976">
        <v>1</v>
      </c>
      <c r="H976">
        <v>0</v>
      </c>
      <c r="I976">
        <v>14</v>
      </c>
      <c r="J976">
        <v>0</v>
      </c>
      <c r="K976">
        <v>0</v>
      </c>
      <c r="L976" t="b">
        <f t="shared" si="15"/>
        <v>1</v>
      </c>
    </row>
    <row r="977" spans="1:12" x14ac:dyDescent="0.25">
      <c r="A977" t="s">
        <v>12</v>
      </c>
      <c r="B977">
        <v>2</v>
      </c>
      <c r="C977" t="s">
        <v>1</v>
      </c>
      <c r="D977">
        <v>20</v>
      </c>
      <c r="E977">
        <v>0</v>
      </c>
      <c r="F977">
        <v>4</v>
      </c>
      <c r="G977">
        <v>2</v>
      </c>
      <c r="H977">
        <v>0</v>
      </c>
      <c r="I977">
        <v>14</v>
      </c>
      <c r="J977">
        <v>0</v>
      </c>
      <c r="K977">
        <v>0</v>
      </c>
      <c r="L977" t="b">
        <f t="shared" si="15"/>
        <v>1</v>
      </c>
    </row>
    <row r="978" spans="1:12" x14ac:dyDescent="0.25">
      <c r="A978" t="s">
        <v>12</v>
      </c>
      <c r="B978">
        <v>3</v>
      </c>
      <c r="C978" t="s">
        <v>2</v>
      </c>
      <c r="D978">
        <v>25</v>
      </c>
      <c r="E978">
        <v>0</v>
      </c>
      <c r="F978">
        <v>1</v>
      </c>
      <c r="G978">
        <v>4</v>
      </c>
      <c r="H978">
        <v>0</v>
      </c>
      <c r="I978">
        <v>20</v>
      </c>
      <c r="J978">
        <v>0</v>
      </c>
      <c r="K978">
        <v>0</v>
      </c>
      <c r="L978" t="b">
        <f t="shared" si="15"/>
        <v>1</v>
      </c>
    </row>
    <row r="979" spans="1:12" x14ac:dyDescent="0.25">
      <c r="A979" t="s">
        <v>12</v>
      </c>
      <c r="B979">
        <v>3</v>
      </c>
      <c r="C979" t="s">
        <v>3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 t="b">
        <f t="shared" si="15"/>
        <v>1</v>
      </c>
    </row>
    <row r="980" spans="1:12" x14ac:dyDescent="0.25">
      <c r="A980" t="s">
        <v>12</v>
      </c>
      <c r="B980">
        <v>3</v>
      </c>
      <c r="C980" t="s">
        <v>6</v>
      </c>
      <c r="D980">
        <v>2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</v>
      </c>
      <c r="L980" t="b">
        <f t="shared" si="15"/>
        <v>1</v>
      </c>
    </row>
    <row r="981" spans="1:12" x14ac:dyDescent="0.25">
      <c r="A981" t="s">
        <v>12</v>
      </c>
      <c r="B981">
        <v>3</v>
      </c>
      <c r="C981" t="s">
        <v>1</v>
      </c>
      <c r="D981">
        <v>28</v>
      </c>
      <c r="E981">
        <v>0</v>
      </c>
      <c r="F981">
        <v>2</v>
      </c>
      <c r="G981">
        <v>6</v>
      </c>
      <c r="H981">
        <v>0</v>
      </c>
      <c r="I981">
        <v>20</v>
      </c>
      <c r="J981">
        <v>0</v>
      </c>
      <c r="K981">
        <v>0</v>
      </c>
      <c r="L981" t="b">
        <f t="shared" si="15"/>
        <v>1</v>
      </c>
    </row>
    <row r="982" spans="1:12" x14ac:dyDescent="0.25">
      <c r="A982" t="s">
        <v>12</v>
      </c>
      <c r="B982">
        <v>3</v>
      </c>
      <c r="C982" t="s">
        <v>9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 t="b">
        <f t="shared" si="15"/>
        <v>1</v>
      </c>
    </row>
    <row r="983" spans="1:12" x14ac:dyDescent="0.25">
      <c r="A983" t="s">
        <v>12</v>
      </c>
      <c r="B983">
        <v>4</v>
      </c>
      <c r="C983" t="s">
        <v>2</v>
      </c>
      <c r="D983">
        <v>18</v>
      </c>
      <c r="E983">
        <v>0</v>
      </c>
      <c r="F983">
        <v>2</v>
      </c>
      <c r="G983">
        <v>6</v>
      </c>
      <c r="H983">
        <v>0</v>
      </c>
      <c r="I983">
        <v>10</v>
      </c>
      <c r="J983">
        <v>0</v>
      </c>
      <c r="K983">
        <v>0</v>
      </c>
      <c r="L983" t="b">
        <f t="shared" si="15"/>
        <v>1</v>
      </c>
    </row>
    <row r="984" spans="1:12" x14ac:dyDescent="0.25">
      <c r="A984" t="s">
        <v>12</v>
      </c>
      <c r="B984">
        <v>4</v>
      </c>
      <c r="C984" t="s">
        <v>1</v>
      </c>
      <c r="D984">
        <v>20</v>
      </c>
      <c r="E984">
        <v>0</v>
      </c>
      <c r="F984">
        <v>3</v>
      </c>
      <c r="G984">
        <v>7</v>
      </c>
      <c r="H984">
        <v>0</v>
      </c>
      <c r="I984">
        <v>10</v>
      </c>
      <c r="J984">
        <v>0</v>
      </c>
      <c r="K984">
        <v>0</v>
      </c>
      <c r="L984" t="b">
        <f t="shared" si="15"/>
        <v>1</v>
      </c>
    </row>
    <row r="985" spans="1:12" x14ac:dyDescent="0.25">
      <c r="A985" t="s">
        <v>12</v>
      </c>
      <c r="B985">
        <v>4</v>
      </c>
      <c r="C985" t="s">
        <v>10</v>
      </c>
      <c r="D985">
        <v>1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 t="b">
        <f t="shared" si="15"/>
        <v>1</v>
      </c>
    </row>
    <row r="986" spans="1:12" x14ac:dyDescent="0.25">
      <c r="A986" t="s">
        <v>12</v>
      </c>
      <c r="B986">
        <v>5</v>
      </c>
      <c r="C986" t="s">
        <v>2</v>
      </c>
      <c r="D986">
        <v>18</v>
      </c>
      <c r="E986">
        <v>0</v>
      </c>
      <c r="F986">
        <v>0</v>
      </c>
      <c r="G986">
        <v>3</v>
      </c>
      <c r="H986">
        <v>0</v>
      </c>
      <c r="I986">
        <v>15</v>
      </c>
      <c r="J986">
        <v>0</v>
      </c>
      <c r="K986">
        <v>0</v>
      </c>
      <c r="L986" t="b">
        <f t="shared" si="15"/>
        <v>1</v>
      </c>
    </row>
    <row r="987" spans="1:12" x14ac:dyDescent="0.25">
      <c r="A987" t="s">
        <v>12</v>
      </c>
      <c r="B987">
        <v>5</v>
      </c>
      <c r="C987" t="s">
        <v>3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 t="b">
        <f t="shared" si="15"/>
        <v>1</v>
      </c>
    </row>
    <row r="988" spans="1:12" x14ac:dyDescent="0.25">
      <c r="A988" t="s">
        <v>12</v>
      </c>
      <c r="B988">
        <v>5</v>
      </c>
      <c r="C988" t="s">
        <v>6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 t="b">
        <f t="shared" si="15"/>
        <v>1</v>
      </c>
    </row>
    <row r="989" spans="1:12" x14ac:dyDescent="0.25">
      <c r="A989" t="s">
        <v>12</v>
      </c>
      <c r="B989">
        <v>5</v>
      </c>
      <c r="C989" t="s">
        <v>1</v>
      </c>
      <c r="D989">
        <v>22</v>
      </c>
      <c r="E989">
        <v>0</v>
      </c>
      <c r="F989">
        <v>4</v>
      </c>
      <c r="G989">
        <v>4</v>
      </c>
      <c r="H989">
        <v>0</v>
      </c>
      <c r="I989">
        <v>14</v>
      </c>
      <c r="J989">
        <v>0</v>
      </c>
      <c r="K989">
        <v>0</v>
      </c>
      <c r="L989" t="b">
        <f t="shared" si="15"/>
        <v>1</v>
      </c>
    </row>
    <row r="990" spans="1:12" x14ac:dyDescent="0.25">
      <c r="A990" t="s">
        <v>12</v>
      </c>
      <c r="B990">
        <v>6</v>
      </c>
      <c r="C990" t="s">
        <v>2</v>
      </c>
      <c r="D990">
        <v>28</v>
      </c>
      <c r="E990">
        <v>0</v>
      </c>
      <c r="F990">
        <v>0</v>
      </c>
      <c r="G990">
        <v>9</v>
      </c>
      <c r="H990">
        <v>0</v>
      </c>
      <c r="I990">
        <v>19</v>
      </c>
      <c r="J990">
        <v>0</v>
      </c>
      <c r="K990">
        <v>0</v>
      </c>
      <c r="L990" t="b">
        <f t="shared" si="15"/>
        <v>1</v>
      </c>
    </row>
    <row r="991" spans="1:12" x14ac:dyDescent="0.25">
      <c r="A991" t="s">
        <v>12</v>
      </c>
      <c r="B991">
        <v>6</v>
      </c>
      <c r="C991" t="s">
        <v>84</v>
      </c>
      <c r="D991">
        <v>2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 t="b">
        <f t="shared" si="15"/>
        <v>1</v>
      </c>
    </row>
    <row r="992" spans="1:12" x14ac:dyDescent="0.25">
      <c r="A992" t="s">
        <v>12</v>
      </c>
      <c r="B992">
        <v>6</v>
      </c>
      <c r="C992" t="s">
        <v>3</v>
      </c>
      <c r="D992">
        <v>1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 t="b">
        <f t="shared" si="15"/>
        <v>1</v>
      </c>
    </row>
    <row r="993" spans="1:12" x14ac:dyDescent="0.25">
      <c r="A993" t="s">
        <v>12</v>
      </c>
      <c r="B993">
        <v>6</v>
      </c>
      <c r="C993" t="s">
        <v>5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b">
        <f t="shared" si="15"/>
        <v>1</v>
      </c>
    </row>
    <row r="994" spans="1:12" x14ac:dyDescent="0.25">
      <c r="A994" t="s">
        <v>12</v>
      </c>
      <c r="B994">
        <v>6</v>
      </c>
      <c r="C994" t="s">
        <v>6</v>
      </c>
      <c r="D994">
        <v>3</v>
      </c>
      <c r="E994">
        <v>0</v>
      </c>
      <c r="F994">
        <v>3</v>
      </c>
      <c r="G994">
        <v>0</v>
      </c>
      <c r="H994">
        <v>0</v>
      </c>
      <c r="I994">
        <v>0</v>
      </c>
      <c r="J994">
        <v>0</v>
      </c>
      <c r="K994">
        <v>0</v>
      </c>
      <c r="L994" t="b">
        <f t="shared" si="15"/>
        <v>1</v>
      </c>
    </row>
    <row r="995" spans="1:12" x14ac:dyDescent="0.25">
      <c r="A995" t="s">
        <v>12</v>
      </c>
      <c r="B995">
        <v>6</v>
      </c>
      <c r="C995" t="s">
        <v>1</v>
      </c>
      <c r="D995">
        <v>36</v>
      </c>
      <c r="E995">
        <v>0</v>
      </c>
      <c r="F995">
        <v>7</v>
      </c>
      <c r="G995">
        <v>11</v>
      </c>
      <c r="H995">
        <v>0</v>
      </c>
      <c r="I995">
        <v>18</v>
      </c>
      <c r="J995">
        <v>0</v>
      </c>
      <c r="K995">
        <v>0</v>
      </c>
      <c r="L995" t="b">
        <f t="shared" si="15"/>
        <v>1</v>
      </c>
    </row>
    <row r="996" spans="1:12" x14ac:dyDescent="0.25">
      <c r="A996" t="s">
        <v>12</v>
      </c>
      <c r="B996">
        <v>6</v>
      </c>
      <c r="C996" t="s">
        <v>11</v>
      </c>
      <c r="D996">
        <v>2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 t="b">
        <f t="shared" si="15"/>
        <v>1</v>
      </c>
    </row>
    <row r="997" spans="1:12" x14ac:dyDescent="0.25">
      <c r="A997" t="s">
        <v>12</v>
      </c>
      <c r="B997">
        <v>6</v>
      </c>
      <c r="C997" t="s">
        <v>9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 t="b">
        <f t="shared" si="15"/>
        <v>1</v>
      </c>
    </row>
    <row r="998" spans="1:12" x14ac:dyDescent="0.25">
      <c r="A998" t="s">
        <v>12</v>
      </c>
      <c r="B998">
        <v>7</v>
      </c>
      <c r="C998" t="s">
        <v>2</v>
      </c>
      <c r="D998">
        <v>22</v>
      </c>
      <c r="E998">
        <v>0</v>
      </c>
      <c r="F998">
        <v>0</v>
      </c>
      <c r="G998">
        <v>6</v>
      </c>
      <c r="H998">
        <v>0</v>
      </c>
      <c r="I998">
        <v>16</v>
      </c>
      <c r="J998">
        <v>0</v>
      </c>
      <c r="K998">
        <v>0</v>
      </c>
      <c r="L998" t="b">
        <f t="shared" si="15"/>
        <v>1</v>
      </c>
    </row>
    <row r="999" spans="1:12" x14ac:dyDescent="0.25">
      <c r="A999" t="s">
        <v>12</v>
      </c>
      <c r="B999">
        <v>7</v>
      </c>
      <c r="C999" t="s">
        <v>3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 t="b">
        <f t="shared" si="15"/>
        <v>1</v>
      </c>
    </row>
    <row r="1000" spans="1:12" x14ac:dyDescent="0.25">
      <c r="A1000" t="s">
        <v>12</v>
      </c>
      <c r="B1000">
        <v>7</v>
      </c>
      <c r="C1000" t="s">
        <v>5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b">
        <f t="shared" si="15"/>
        <v>1</v>
      </c>
    </row>
    <row r="1001" spans="1:12" x14ac:dyDescent="0.25">
      <c r="A1001" t="s">
        <v>12</v>
      </c>
      <c r="B1001">
        <v>7</v>
      </c>
      <c r="C1001" t="s">
        <v>1</v>
      </c>
      <c r="D1001">
        <v>26</v>
      </c>
      <c r="E1001">
        <v>0</v>
      </c>
      <c r="F1001">
        <v>1</v>
      </c>
      <c r="G1001">
        <v>7</v>
      </c>
      <c r="H1001">
        <v>0</v>
      </c>
      <c r="I1001">
        <v>15</v>
      </c>
      <c r="J1001">
        <v>0</v>
      </c>
      <c r="K1001">
        <v>3</v>
      </c>
      <c r="L1001" t="b">
        <f t="shared" si="15"/>
        <v>1</v>
      </c>
    </row>
    <row r="1002" spans="1:12" x14ac:dyDescent="0.25">
      <c r="A1002" t="s">
        <v>12</v>
      </c>
      <c r="B1002">
        <v>7</v>
      </c>
      <c r="C1002" t="s">
        <v>10</v>
      </c>
      <c r="D1002">
        <v>1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 t="b">
        <f t="shared" si="15"/>
        <v>1</v>
      </c>
    </row>
    <row r="1003" spans="1:12" x14ac:dyDescent="0.25">
      <c r="A1003" t="s">
        <v>12</v>
      </c>
      <c r="B1003">
        <v>7</v>
      </c>
      <c r="C1003" t="s">
        <v>9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 t="b">
        <f t="shared" si="15"/>
        <v>1</v>
      </c>
    </row>
    <row r="1004" spans="1:12" x14ac:dyDescent="0.25">
      <c r="A1004" t="s">
        <v>12</v>
      </c>
      <c r="B1004">
        <v>8</v>
      </c>
      <c r="C1004" t="s">
        <v>2</v>
      </c>
      <c r="D1004">
        <v>24</v>
      </c>
      <c r="E1004">
        <v>0</v>
      </c>
      <c r="F1004">
        <v>0</v>
      </c>
      <c r="G1004">
        <v>6</v>
      </c>
      <c r="H1004">
        <v>0</v>
      </c>
      <c r="I1004">
        <v>18</v>
      </c>
      <c r="J1004">
        <v>0</v>
      </c>
      <c r="K1004">
        <v>0</v>
      </c>
      <c r="L1004" t="b">
        <f t="shared" si="15"/>
        <v>1</v>
      </c>
    </row>
    <row r="1005" spans="1:12" x14ac:dyDescent="0.25">
      <c r="A1005" t="s">
        <v>12</v>
      </c>
      <c r="B1005">
        <v>8</v>
      </c>
      <c r="C1005" t="s">
        <v>84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 t="b">
        <f t="shared" si="15"/>
        <v>1</v>
      </c>
    </row>
    <row r="1006" spans="1:12" x14ac:dyDescent="0.25">
      <c r="A1006" t="s">
        <v>12</v>
      </c>
      <c r="B1006">
        <v>8</v>
      </c>
      <c r="C1006" t="s">
        <v>3</v>
      </c>
      <c r="D1006">
        <v>3</v>
      </c>
      <c r="E1006">
        <v>0</v>
      </c>
      <c r="F1006">
        <v>2</v>
      </c>
      <c r="G1006">
        <v>1</v>
      </c>
      <c r="H1006">
        <v>0</v>
      </c>
      <c r="I1006">
        <v>0</v>
      </c>
      <c r="J1006">
        <v>0</v>
      </c>
      <c r="K1006">
        <v>0</v>
      </c>
      <c r="L1006" t="b">
        <f t="shared" si="15"/>
        <v>1</v>
      </c>
    </row>
    <row r="1007" spans="1:12" x14ac:dyDescent="0.25">
      <c r="A1007" t="s">
        <v>12</v>
      </c>
      <c r="B1007">
        <v>8</v>
      </c>
      <c r="C1007" t="s">
        <v>6</v>
      </c>
      <c r="D1007">
        <v>3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2</v>
      </c>
      <c r="L1007" t="b">
        <f t="shared" si="15"/>
        <v>1</v>
      </c>
    </row>
    <row r="1008" spans="1:12" x14ac:dyDescent="0.25">
      <c r="A1008" t="s">
        <v>12</v>
      </c>
      <c r="B1008">
        <v>8</v>
      </c>
      <c r="C1008" t="s">
        <v>1</v>
      </c>
      <c r="D1008">
        <v>29</v>
      </c>
      <c r="E1008">
        <v>0</v>
      </c>
      <c r="F1008">
        <v>1</v>
      </c>
      <c r="G1008">
        <v>9</v>
      </c>
      <c r="H1008">
        <v>0</v>
      </c>
      <c r="I1008">
        <v>18</v>
      </c>
      <c r="J1008">
        <v>0</v>
      </c>
      <c r="K1008">
        <v>1</v>
      </c>
      <c r="L1008" t="b">
        <f t="shared" si="15"/>
        <v>1</v>
      </c>
    </row>
    <row r="1009" spans="1:12" x14ac:dyDescent="0.25">
      <c r="A1009" t="s">
        <v>12</v>
      </c>
      <c r="B1009">
        <v>8</v>
      </c>
      <c r="C1009" t="s">
        <v>10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 t="b">
        <f t="shared" si="15"/>
        <v>1</v>
      </c>
    </row>
    <row r="1010" spans="1:12" x14ac:dyDescent="0.25">
      <c r="A1010" t="s">
        <v>12</v>
      </c>
      <c r="B1010">
        <v>8</v>
      </c>
      <c r="C1010" t="s">
        <v>4</v>
      </c>
      <c r="D1010">
        <v>2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0</v>
      </c>
      <c r="L1010" t="b">
        <f t="shared" si="15"/>
        <v>1</v>
      </c>
    </row>
    <row r="1011" spans="1:12" x14ac:dyDescent="0.25">
      <c r="A1011" t="s">
        <v>12</v>
      </c>
      <c r="B1011">
        <v>8</v>
      </c>
      <c r="C1011" t="s">
        <v>9</v>
      </c>
      <c r="D1011">
        <v>2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  <c r="L1011" t="b">
        <f t="shared" si="15"/>
        <v>1</v>
      </c>
    </row>
    <row r="1012" spans="1:12" x14ac:dyDescent="0.25">
      <c r="A1012" t="s">
        <v>12</v>
      </c>
      <c r="B1012">
        <v>9</v>
      </c>
      <c r="C1012" t="s">
        <v>2</v>
      </c>
      <c r="D1012">
        <v>10</v>
      </c>
      <c r="E1012">
        <v>0</v>
      </c>
      <c r="F1012">
        <v>1</v>
      </c>
      <c r="G1012">
        <v>3</v>
      </c>
      <c r="H1012">
        <v>0</v>
      </c>
      <c r="I1012">
        <v>6</v>
      </c>
      <c r="J1012">
        <v>0</v>
      </c>
      <c r="K1012">
        <v>0</v>
      </c>
      <c r="L1012" t="b">
        <f t="shared" si="15"/>
        <v>1</v>
      </c>
    </row>
    <row r="1013" spans="1:12" x14ac:dyDescent="0.25">
      <c r="A1013" t="s">
        <v>12</v>
      </c>
      <c r="B1013">
        <v>9</v>
      </c>
      <c r="C1013" t="s">
        <v>6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 t="b">
        <f t="shared" si="15"/>
        <v>1</v>
      </c>
    </row>
    <row r="1014" spans="1:12" x14ac:dyDescent="0.25">
      <c r="A1014" t="s">
        <v>12</v>
      </c>
      <c r="B1014">
        <v>9</v>
      </c>
      <c r="C1014" t="s">
        <v>1</v>
      </c>
      <c r="D1014">
        <v>11</v>
      </c>
      <c r="E1014">
        <v>0</v>
      </c>
      <c r="F1014">
        <v>1</v>
      </c>
      <c r="G1014">
        <v>3</v>
      </c>
      <c r="H1014">
        <v>0</v>
      </c>
      <c r="I1014">
        <v>6</v>
      </c>
      <c r="J1014">
        <v>0</v>
      </c>
      <c r="K1014">
        <v>1</v>
      </c>
      <c r="L1014" t="b">
        <f t="shared" si="15"/>
        <v>1</v>
      </c>
    </row>
    <row r="1015" spans="1:12" x14ac:dyDescent="0.25">
      <c r="A1015" t="s">
        <v>12</v>
      </c>
      <c r="B1015">
        <v>9</v>
      </c>
      <c r="C1015" t="s">
        <v>10</v>
      </c>
      <c r="D1015">
        <v>3</v>
      </c>
      <c r="E1015">
        <v>0</v>
      </c>
      <c r="F1015">
        <v>0</v>
      </c>
      <c r="G1015">
        <v>0</v>
      </c>
      <c r="H1015">
        <v>0</v>
      </c>
      <c r="I1015">
        <v>3</v>
      </c>
      <c r="J1015">
        <v>0</v>
      </c>
      <c r="K1015">
        <v>0</v>
      </c>
      <c r="L1015" t="b">
        <f t="shared" si="15"/>
        <v>1</v>
      </c>
    </row>
    <row r="1016" spans="1:12" x14ac:dyDescent="0.25">
      <c r="A1016" t="s">
        <v>12</v>
      </c>
      <c r="B1016">
        <v>10</v>
      </c>
      <c r="C1016" t="s">
        <v>2</v>
      </c>
      <c r="D1016">
        <v>20</v>
      </c>
      <c r="E1016">
        <v>0</v>
      </c>
      <c r="F1016">
        <v>1</v>
      </c>
      <c r="G1016">
        <v>12</v>
      </c>
      <c r="H1016">
        <v>0</v>
      </c>
      <c r="I1016">
        <v>7</v>
      </c>
      <c r="J1016">
        <v>0</v>
      </c>
      <c r="K1016">
        <v>0</v>
      </c>
      <c r="L1016" t="b">
        <f t="shared" si="15"/>
        <v>1</v>
      </c>
    </row>
    <row r="1017" spans="1:12" x14ac:dyDescent="0.25">
      <c r="A1017" t="s">
        <v>12</v>
      </c>
      <c r="B1017">
        <v>10</v>
      </c>
      <c r="C1017" t="s">
        <v>3</v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 t="b">
        <f t="shared" si="15"/>
        <v>1</v>
      </c>
    </row>
    <row r="1018" spans="1:12" x14ac:dyDescent="0.25">
      <c r="A1018" t="s">
        <v>12</v>
      </c>
      <c r="B1018">
        <v>10</v>
      </c>
      <c r="C1018" t="s">
        <v>1</v>
      </c>
      <c r="D1018">
        <v>22</v>
      </c>
      <c r="E1018">
        <v>0</v>
      </c>
      <c r="F1018">
        <v>2</v>
      </c>
      <c r="G1018">
        <v>12</v>
      </c>
      <c r="H1018">
        <v>0</v>
      </c>
      <c r="I1018">
        <v>7</v>
      </c>
      <c r="J1018">
        <v>0</v>
      </c>
      <c r="K1018">
        <v>1</v>
      </c>
      <c r="L1018" t="b">
        <f t="shared" si="15"/>
        <v>1</v>
      </c>
    </row>
    <row r="1019" spans="1:12" x14ac:dyDescent="0.25">
      <c r="A1019" t="s">
        <v>12</v>
      </c>
      <c r="B1019">
        <v>11</v>
      </c>
      <c r="C1019" t="s">
        <v>2</v>
      </c>
      <c r="D1019">
        <v>16</v>
      </c>
      <c r="E1019">
        <v>0</v>
      </c>
      <c r="F1019">
        <v>0</v>
      </c>
      <c r="G1019">
        <v>6</v>
      </c>
      <c r="H1019">
        <v>0</v>
      </c>
      <c r="I1019">
        <v>10</v>
      </c>
      <c r="J1019">
        <v>0</v>
      </c>
      <c r="K1019">
        <v>0</v>
      </c>
      <c r="L1019" t="b">
        <f t="shared" si="15"/>
        <v>1</v>
      </c>
    </row>
    <row r="1020" spans="1:12" x14ac:dyDescent="0.25">
      <c r="A1020" t="s">
        <v>12</v>
      </c>
      <c r="B1020">
        <v>11</v>
      </c>
      <c r="C1020" t="s">
        <v>1</v>
      </c>
      <c r="D1020">
        <v>18</v>
      </c>
      <c r="E1020">
        <v>0</v>
      </c>
      <c r="F1020">
        <v>2</v>
      </c>
      <c r="G1020">
        <v>6</v>
      </c>
      <c r="H1020">
        <v>0</v>
      </c>
      <c r="I1020">
        <v>10</v>
      </c>
      <c r="J1020">
        <v>0</v>
      </c>
      <c r="K1020">
        <v>0</v>
      </c>
      <c r="L1020" t="b">
        <f t="shared" si="15"/>
        <v>1</v>
      </c>
    </row>
    <row r="1021" spans="1:12" x14ac:dyDescent="0.25">
      <c r="A1021" t="s">
        <v>12</v>
      </c>
      <c r="B1021">
        <v>11</v>
      </c>
      <c r="C1021" t="s">
        <v>10</v>
      </c>
      <c r="D1021">
        <v>2</v>
      </c>
      <c r="E1021">
        <v>0</v>
      </c>
      <c r="F1021">
        <v>0</v>
      </c>
      <c r="G1021">
        <v>0</v>
      </c>
      <c r="H1021">
        <v>0</v>
      </c>
      <c r="I1021">
        <v>2</v>
      </c>
      <c r="J1021">
        <v>0</v>
      </c>
      <c r="K1021">
        <v>0</v>
      </c>
      <c r="L1021" t="b">
        <f t="shared" si="15"/>
        <v>1</v>
      </c>
    </row>
    <row r="1022" spans="1:12" x14ac:dyDescent="0.25">
      <c r="A1022" t="s">
        <v>12</v>
      </c>
      <c r="B1022">
        <v>12</v>
      </c>
      <c r="C1022" t="s">
        <v>2</v>
      </c>
      <c r="D1022">
        <v>9</v>
      </c>
      <c r="E1022">
        <v>0</v>
      </c>
      <c r="F1022">
        <v>0</v>
      </c>
      <c r="G1022">
        <v>5</v>
      </c>
      <c r="H1022">
        <v>0</v>
      </c>
      <c r="I1022">
        <v>4</v>
      </c>
      <c r="J1022">
        <v>0</v>
      </c>
      <c r="K1022">
        <v>0</v>
      </c>
      <c r="L1022" t="b">
        <f t="shared" si="15"/>
        <v>1</v>
      </c>
    </row>
    <row r="1023" spans="1:12" x14ac:dyDescent="0.25">
      <c r="A1023" t="s">
        <v>12</v>
      </c>
      <c r="B1023">
        <v>12</v>
      </c>
      <c r="C1023" t="s">
        <v>1</v>
      </c>
      <c r="D1023">
        <v>11</v>
      </c>
      <c r="E1023">
        <v>0</v>
      </c>
      <c r="F1023">
        <v>2</v>
      </c>
      <c r="G1023">
        <v>5</v>
      </c>
      <c r="H1023">
        <v>0</v>
      </c>
      <c r="I1023">
        <v>4</v>
      </c>
      <c r="J1023">
        <v>0</v>
      </c>
      <c r="K1023">
        <v>0</v>
      </c>
      <c r="L1023" t="b">
        <f t="shared" si="15"/>
        <v>1</v>
      </c>
    </row>
    <row r="1024" spans="1:12" x14ac:dyDescent="0.25">
      <c r="A1024" t="s">
        <v>12</v>
      </c>
      <c r="B1024">
        <v>12</v>
      </c>
      <c r="C1024" t="s">
        <v>10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 t="b">
        <f t="shared" si="15"/>
        <v>1</v>
      </c>
    </row>
    <row r="1025" spans="1:12" x14ac:dyDescent="0.25">
      <c r="A1025" t="s">
        <v>12</v>
      </c>
      <c r="B1025">
        <v>13</v>
      </c>
      <c r="C1025" t="s">
        <v>2</v>
      </c>
      <c r="D1025">
        <v>15</v>
      </c>
      <c r="E1025">
        <v>0</v>
      </c>
      <c r="F1025">
        <v>0</v>
      </c>
      <c r="G1025">
        <v>6</v>
      </c>
      <c r="H1025">
        <v>0</v>
      </c>
      <c r="I1025">
        <v>9</v>
      </c>
      <c r="J1025">
        <v>0</v>
      </c>
      <c r="K1025">
        <v>0</v>
      </c>
      <c r="L1025" t="b">
        <f t="shared" si="15"/>
        <v>1</v>
      </c>
    </row>
    <row r="1026" spans="1:12" x14ac:dyDescent="0.25">
      <c r="A1026" t="s">
        <v>12</v>
      </c>
      <c r="B1026">
        <v>13</v>
      </c>
      <c r="C1026" t="s">
        <v>1</v>
      </c>
      <c r="D1026">
        <v>17</v>
      </c>
      <c r="E1026">
        <v>0</v>
      </c>
      <c r="F1026">
        <v>2</v>
      </c>
      <c r="G1026">
        <v>6</v>
      </c>
      <c r="H1026">
        <v>0</v>
      </c>
      <c r="I1026">
        <v>9</v>
      </c>
      <c r="J1026">
        <v>0</v>
      </c>
      <c r="K1026">
        <v>0</v>
      </c>
      <c r="L1026" t="b">
        <f t="shared" si="15"/>
        <v>1</v>
      </c>
    </row>
    <row r="1027" spans="1:12" x14ac:dyDescent="0.25">
      <c r="A1027" t="s">
        <v>12</v>
      </c>
      <c r="B1027">
        <v>14</v>
      </c>
      <c r="C1027" t="s">
        <v>2</v>
      </c>
      <c r="D1027">
        <v>21</v>
      </c>
      <c r="E1027">
        <v>0</v>
      </c>
      <c r="F1027">
        <v>0</v>
      </c>
      <c r="G1027">
        <v>6</v>
      </c>
      <c r="H1027">
        <v>0</v>
      </c>
      <c r="I1027">
        <v>15</v>
      </c>
      <c r="J1027">
        <v>0</v>
      </c>
      <c r="K1027">
        <v>0</v>
      </c>
      <c r="L1027" t="b">
        <f t="shared" si="15"/>
        <v>1</v>
      </c>
    </row>
    <row r="1028" spans="1:12" x14ac:dyDescent="0.25">
      <c r="A1028" t="s">
        <v>12</v>
      </c>
      <c r="B1028">
        <v>14</v>
      </c>
      <c r="C1028" t="s">
        <v>1</v>
      </c>
      <c r="D1028">
        <v>22</v>
      </c>
      <c r="E1028">
        <v>0</v>
      </c>
      <c r="F1028">
        <v>1</v>
      </c>
      <c r="G1028">
        <v>6</v>
      </c>
      <c r="H1028">
        <v>0</v>
      </c>
      <c r="I1028">
        <v>15</v>
      </c>
      <c r="J1028">
        <v>0</v>
      </c>
      <c r="K1028">
        <v>0</v>
      </c>
      <c r="L1028" t="b">
        <f t="shared" ref="L1028:L1091" si="16">SUM(E1028:K1028)=D1028</f>
        <v>1</v>
      </c>
    </row>
    <row r="1029" spans="1:12" x14ac:dyDescent="0.25">
      <c r="A1029" t="s">
        <v>12</v>
      </c>
      <c r="B1029">
        <v>14</v>
      </c>
      <c r="C1029" t="s">
        <v>10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 t="b">
        <f t="shared" si="16"/>
        <v>1</v>
      </c>
    </row>
    <row r="1030" spans="1:12" x14ac:dyDescent="0.25">
      <c r="A1030" t="s">
        <v>12</v>
      </c>
      <c r="B1030">
        <v>15</v>
      </c>
      <c r="C1030" t="s">
        <v>2</v>
      </c>
      <c r="D1030">
        <v>14</v>
      </c>
      <c r="E1030">
        <v>0</v>
      </c>
      <c r="F1030">
        <v>0</v>
      </c>
      <c r="G1030">
        <v>9</v>
      </c>
      <c r="H1030">
        <v>0</v>
      </c>
      <c r="I1030">
        <v>5</v>
      </c>
      <c r="J1030">
        <v>0</v>
      </c>
      <c r="K1030">
        <v>0</v>
      </c>
      <c r="L1030" t="b">
        <f t="shared" si="16"/>
        <v>1</v>
      </c>
    </row>
    <row r="1031" spans="1:12" x14ac:dyDescent="0.25">
      <c r="A1031" t="s">
        <v>12</v>
      </c>
      <c r="B1031">
        <v>15</v>
      </c>
      <c r="C1031" t="s">
        <v>1</v>
      </c>
      <c r="D1031">
        <v>15</v>
      </c>
      <c r="E1031">
        <v>0</v>
      </c>
      <c r="F1031">
        <v>2</v>
      </c>
      <c r="G1031">
        <v>9</v>
      </c>
      <c r="H1031">
        <v>0</v>
      </c>
      <c r="I1031">
        <v>4</v>
      </c>
      <c r="J1031">
        <v>0</v>
      </c>
      <c r="K1031">
        <v>0</v>
      </c>
      <c r="L1031" t="b">
        <f t="shared" si="16"/>
        <v>1</v>
      </c>
    </row>
    <row r="1032" spans="1:12" x14ac:dyDescent="0.25">
      <c r="A1032" t="s">
        <v>12</v>
      </c>
      <c r="B1032">
        <v>15</v>
      </c>
      <c r="C1032" t="s">
        <v>10</v>
      </c>
      <c r="D1032">
        <v>6</v>
      </c>
      <c r="E1032">
        <v>0</v>
      </c>
      <c r="F1032">
        <v>1</v>
      </c>
      <c r="G1032">
        <v>3</v>
      </c>
      <c r="H1032">
        <v>0</v>
      </c>
      <c r="I1032">
        <v>2</v>
      </c>
      <c r="J1032">
        <v>0</v>
      </c>
      <c r="K1032">
        <v>0</v>
      </c>
      <c r="L1032" t="b">
        <f t="shared" si="16"/>
        <v>1</v>
      </c>
    </row>
    <row r="1033" spans="1:12" x14ac:dyDescent="0.25">
      <c r="A1033" t="s">
        <v>12</v>
      </c>
      <c r="B1033">
        <v>16</v>
      </c>
      <c r="C1033" t="s">
        <v>2</v>
      </c>
      <c r="D1033">
        <v>27</v>
      </c>
      <c r="E1033">
        <v>0</v>
      </c>
      <c r="F1033">
        <v>0</v>
      </c>
      <c r="G1033">
        <v>13</v>
      </c>
      <c r="H1033">
        <v>0</v>
      </c>
      <c r="I1033">
        <v>14</v>
      </c>
      <c r="J1033">
        <v>0</v>
      </c>
      <c r="K1033">
        <v>0</v>
      </c>
      <c r="L1033" t="b">
        <f t="shared" si="16"/>
        <v>1</v>
      </c>
    </row>
    <row r="1034" spans="1:12" x14ac:dyDescent="0.25">
      <c r="A1034" t="s">
        <v>12</v>
      </c>
      <c r="B1034">
        <v>16</v>
      </c>
      <c r="C1034" t="s">
        <v>1</v>
      </c>
      <c r="D1034">
        <v>25</v>
      </c>
      <c r="E1034">
        <v>0</v>
      </c>
      <c r="F1034">
        <v>1</v>
      </c>
      <c r="G1034">
        <v>12</v>
      </c>
      <c r="H1034">
        <v>0</v>
      </c>
      <c r="I1034">
        <v>12</v>
      </c>
      <c r="J1034">
        <v>0</v>
      </c>
      <c r="K1034">
        <v>0</v>
      </c>
      <c r="L1034" t="b">
        <f t="shared" si="16"/>
        <v>1</v>
      </c>
    </row>
    <row r="1035" spans="1:12" x14ac:dyDescent="0.25">
      <c r="A1035" t="s">
        <v>12</v>
      </c>
      <c r="B1035">
        <v>17</v>
      </c>
      <c r="C1035" t="s">
        <v>2</v>
      </c>
      <c r="D1035">
        <v>19</v>
      </c>
      <c r="E1035">
        <v>0</v>
      </c>
      <c r="F1035">
        <v>0</v>
      </c>
      <c r="G1035">
        <v>14</v>
      </c>
      <c r="H1035">
        <v>0</v>
      </c>
      <c r="I1035">
        <v>5</v>
      </c>
      <c r="J1035">
        <v>0</v>
      </c>
      <c r="K1035">
        <v>0</v>
      </c>
      <c r="L1035" t="b">
        <f t="shared" si="16"/>
        <v>1</v>
      </c>
    </row>
    <row r="1036" spans="1:12" x14ac:dyDescent="0.25">
      <c r="A1036" t="s">
        <v>12</v>
      </c>
      <c r="B1036">
        <v>17</v>
      </c>
      <c r="C1036" t="s">
        <v>84</v>
      </c>
      <c r="D1036">
        <v>1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 t="b">
        <f t="shared" si="16"/>
        <v>1</v>
      </c>
    </row>
    <row r="1037" spans="1:12" x14ac:dyDescent="0.25">
      <c r="A1037" t="s">
        <v>12</v>
      </c>
      <c r="B1037">
        <v>17</v>
      </c>
      <c r="C1037" t="s">
        <v>1</v>
      </c>
      <c r="D1037">
        <v>19</v>
      </c>
      <c r="E1037">
        <v>0</v>
      </c>
      <c r="F1037">
        <v>1</v>
      </c>
      <c r="G1037">
        <v>13</v>
      </c>
      <c r="H1037">
        <v>0</v>
      </c>
      <c r="I1037">
        <v>5</v>
      </c>
      <c r="J1037">
        <v>0</v>
      </c>
      <c r="K1037">
        <v>0</v>
      </c>
      <c r="L1037" t="b">
        <f t="shared" si="16"/>
        <v>1</v>
      </c>
    </row>
    <row r="1038" spans="1:12" x14ac:dyDescent="0.25">
      <c r="A1038" t="s">
        <v>12</v>
      </c>
      <c r="B1038">
        <v>17</v>
      </c>
      <c r="C1038" t="s">
        <v>10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2</v>
      </c>
      <c r="J1038">
        <v>0</v>
      </c>
      <c r="K1038">
        <v>0</v>
      </c>
      <c r="L1038" t="b">
        <f t="shared" si="16"/>
        <v>1</v>
      </c>
    </row>
    <row r="1039" spans="1:12" x14ac:dyDescent="0.25">
      <c r="A1039" t="s">
        <v>12</v>
      </c>
      <c r="B1039">
        <v>18</v>
      </c>
      <c r="C1039" t="s">
        <v>2</v>
      </c>
      <c r="D1039">
        <v>15</v>
      </c>
      <c r="E1039">
        <v>0</v>
      </c>
      <c r="F1039">
        <v>1</v>
      </c>
      <c r="G1039">
        <v>7</v>
      </c>
      <c r="H1039">
        <v>0</v>
      </c>
      <c r="I1039">
        <v>7</v>
      </c>
      <c r="J1039">
        <v>0</v>
      </c>
      <c r="K1039">
        <v>0</v>
      </c>
      <c r="L1039" t="b">
        <f t="shared" si="16"/>
        <v>1</v>
      </c>
    </row>
    <row r="1040" spans="1:12" x14ac:dyDescent="0.25">
      <c r="A1040" t="s">
        <v>12</v>
      </c>
      <c r="B1040">
        <v>18</v>
      </c>
      <c r="C1040" t="s">
        <v>1</v>
      </c>
      <c r="D1040">
        <v>16</v>
      </c>
      <c r="E1040">
        <v>0</v>
      </c>
      <c r="F1040">
        <v>2</v>
      </c>
      <c r="G1040">
        <v>7</v>
      </c>
      <c r="H1040">
        <v>0</v>
      </c>
      <c r="I1040">
        <v>7</v>
      </c>
      <c r="J1040">
        <v>0</v>
      </c>
      <c r="K1040">
        <v>0</v>
      </c>
      <c r="L1040" t="b">
        <f t="shared" si="16"/>
        <v>1</v>
      </c>
    </row>
    <row r="1041" spans="1:12" x14ac:dyDescent="0.25">
      <c r="A1041" t="s">
        <v>12</v>
      </c>
      <c r="B1041">
        <v>18</v>
      </c>
      <c r="C1041" t="s">
        <v>10</v>
      </c>
      <c r="D1041">
        <v>3</v>
      </c>
      <c r="E1041">
        <v>0</v>
      </c>
      <c r="F1041">
        <v>0</v>
      </c>
      <c r="G1041">
        <v>2</v>
      </c>
      <c r="H1041">
        <v>0</v>
      </c>
      <c r="I1041">
        <v>1</v>
      </c>
      <c r="J1041">
        <v>0</v>
      </c>
      <c r="K1041">
        <v>0</v>
      </c>
      <c r="L1041" t="b">
        <f t="shared" si="16"/>
        <v>1</v>
      </c>
    </row>
    <row r="1042" spans="1:12" x14ac:dyDescent="0.25">
      <c r="A1042" t="s">
        <v>12</v>
      </c>
      <c r="B1042">
        <v>19</v>
      </c>
      <c r="C1042" t="s">
        <v>2</v>
      </c>
      <c r="D1042">
        <v>20</v>
      </c>
      <c r="E1042">
        <v>0</v>
      </c>
      <c r="F1042">
        <v>1</v>
      </c>
      <c r="G1042">
        <v>9</v>
      </c>
      <c r="H1042">
        <v>0</v>
      </c>
      <c r="I1042">
        <v>10</v>
      </c>
      <c r="J1042">
        <v>0</v>
      </c>
      <c r="K1042">
        <v>0</v>
      </c>
      <c r="L1042" t="b">
        <f t="shared" si="16"/>
        <v>1</v>
      </c>
    </row>
    <row r="1043" spans="1:12" x14ac:dyDescent="0.25">
      <c r="A1043" t="s">
        <v>12</v>
      </c>
      <c r="B1043">
        <v>19</v>
      </c>
      <c r="C1043" t="s">
        <v>84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 t="b">
        <f t="shared" si="16"/>
        <v>1</v>
      </c>
    </row>
    <row r="1044" spans="1:12" x14ac:dyDescent="0.25">
      <c r="A1044" t="s">
        <v>12</v>
      </c>
      <c r="B1044">
        <v>19</v>
      </c>
      <c r="C1044" t="s">
        <v>6</v>
      </c>
      <c r="D1044">
        <v>1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 t="b">
        <f t="shared" si="16"/>
        <v>1</v>
      </c>
    </row>
    <row r="1045" spans="1:12" x14ac:dyDescent="0.25">
      <c r="A1045" t="s">
        <v>12</v>
      </c>
      <c r="B1045">
        <v>19</v>
      </c>
      <c r="C1045" t="s">
        <v>1</v>
      </c>
      <c r="D1045">
        <v>20</v>
      </c>
      <c r="E1045">
        <v>0</v>
      </c>
      <c r="F1045">
        <v>2</v>
      </c>
      <c r="G1045">
        <v>9</v>
      </c>
      <c r="H1045">
        <v>0</v>
      </c>
      <c r="I1045">
        <v>9</v>
      </c>
      <c r="J1045">
        <v>0</v>
      </c>
      <c r="K1045">
        <v>0</v>
      </c>
      <c r="L1045" t="b">
        <f t="shared" si="16"/>
        <v>1</v>
      </c>
    </row>
    <row r="1046" spans="1:12" x14ac:dyDescent="0.25">
      <c r="A1046" t="s">
        <v>12</v>
      </c>
      <c r="B1046">
        <v>19</v>
      </c>
      <c r="C1046" t="s">
        <v>10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3</v>
      </c>
      <c r="J1046">
        <v>0</v>
      </c>
      <c r="K1046">
        <v>0</v>
      </c>
      <c r="L1046" t="b">
        <f t="shared" si="16"/>
        <v>1</v>
      </c>
    </row>
    <row r="1047" spans="1:12" x14ac:dyDescent="0.25">
      <c r="A1047" t="s">
        <v>12</v>
      </c>
      <c r="B1047">
        <v>19</v>
      </c>
      <c r="C1047" t="s">
        <v>9</v>
      </c>
      <c r="D1047">
        <v>1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 t="b">
        <f t="shared" si="16"/>
        <v>1</v>
      </c>
    </row>
    <row r="1048" spans="1:12" x14ac:dyDescent="0.25">
      <c r="A1048" t="s">
        <v>12</v>
      </c>
      <c r="B1048">
        <v>20</v>
      </c>
      <c r="C1048" t="s">
        <v>2</v>
      </c>
      <c r="D1048">
        <v>16</v>
      </c>
      <c r="E1048">
        <v>0</v>
      </c>
      <c r="F1048">
        <v>0</v>
      </c>
      <c r="G1048">
        <v>6</v>
      </c>
      <c r="H1048">
        <v>0</v>
      </c>
      <c r="I1048">
        <v>10</v>
      </c>
      <c r="J1048">
        <v>0</v>
      </c>
      <c r="K1048">
        <v>0</v>
      </c>
      <c r="L1048" t="b">
        <f t="shared" si="16"/>
        <v>1</v>
      </c>
    </row>
    <row r="1049" spans="1:12" x14ac:dyDescent="0.25">
      <c r="A1049" t="s">
        <v>12</v>
      </c>
      <c r="B1049">
        <v>20</v>
      </c>
      <c r="C1049" t="s">
        <v>1</v>
      </c>
      <c r="D1049">
        <v>18</v>
      </c>
      <c r="E1049">
        <v>0</v>
      </c>
      <c r="F1049">
        <v>2</v>
      </c>
      <c r="G1049">
        <v>6</v>
      </c>
      <c r="H1049">
        <v>0</v>
      </c>
      <c r="I1049">
        <v>10</v>
      </c>
      <c r="J1049">
        <v>0</v>
      </c>
      <c r="K1049">
        <v>0</v>
      </c>
      <c r="L1049" t="b">
        <f t="shared" si="16"/>
        <v>1</v>
      </c>
    </row>
    <row r="1050" spans="1:12" x14ac:dyDescent="0.25">
      <c r="A1050" t="s">
        <v>12</v>
      </c>
      <c r="B1050">
        <v>20</v>
      </c>
      <c r="C1050" t="s">
        <v>10</v>
      </c>
      <c r="D1050">
        <v>2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 t="b">
        <f t="shared" si="16"/>
        <v>1</v>
      </c>
    </row>
    <row r="1051" spans="1:12" x14ac:dyDescent="0.25">
      <c r="A1051" t="s">
        <v>12</v>
      </c>
      <c r="B1051">
        <v>21</v>
      </c>
      <c r="C1051" t="s">
        <v>2</v>
      </c>
      <c r="D1051">
        <v>17</v>
      </c>
      <c r="E1051">
        <v>0</v>
      </c>
      <c r="F1051">
        <v>1</v>
      </c>
      <c r="G1051">
        <v>10</v>
      </c>
      <c r="H1051">
        <v>0</v>
      </c>
      <c r="I1051">
        <v>6</v>
      </c>
      <c r="J1051">
        <v>0</v>
      </c>
      <c r="K1051">
        <v>0</v>
      </c>
      <c r="L1051" t="b">
        <f t="shared" si="16"/>
        <v>1</v>
      </c>
    </row>
    <row r="1052" spans="1:12" x14ac:dyDescent="0.25">
      <c r="A1052" t="s">
        <v>12</v>
      </c>
      <c r="B1052">
        <v>21</v>
      </c>
      <c r="C1052" t="s">
        <v>84</v>
      </c>
      <c r="D1052">
        <v>3</v>
      </c>
      <c r="E1052">
        <v>0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1</v>
      </c>
      <c r="L1052" t="b">
        <f t="shared" si="16"/>
        <v>1</v>
      </c>
    </row>
    <row r="1053" spans="1:12" x14ac:dyDescent="0.25">
      <c r="A1053" t="s">
        <v>12</v>
      </c>
      <c r="B1053">
        <v>21</v>
      </c>
      <c r="C1053" t="s">
        <v>1</v>
      </c>
      <c r="D1053">
        <v>21</v>
      </c>
      <c r="E1053">
        <v>0</v>
      </c>
      <c r="F1053">
        <v>6</v>
      </c>
      <c r="G1053">
        <v>10</v>
      </c>
      <c r="H1053">
        <v>0</v>
      </c>
      <c r="I1053">
        <v>5</v>
      </c>
      <c r="J1053">
        <v>0</v>
      </c>
      <c r="K1053">
        <v>0</v>
      </c>
      <c r="L1053" t="b">
        <f t="shared" si="16"/>
        <v>1</v>
      </c>
    </row>
    <row r="1054" spans="1:12" x14ac:dyDescent="0.25">
      <c r="A1054" t="s">
        <v>12</v>
      </c>
      <c r="B1054">
        <v>21</v>
      </c>
      <c r="C1054" t="s">
        <v>10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2</v>
      </c>
      <c r="J1054">
        <v>0</v>
      </c>
      <c r="K1054">
        <v>0</v>
      </c>
      <c r="L1054" t="b">
        <f t="shared" si="16"/>
        <v>1</v>
      </c>
    </row>
    <row r="1055" spans="1:12" x14ac:dyDescent="0.25">
      <c r="A1055" t="s">
        <v>12</v>
      </c>
      <c r="B1055">
        <v>22</v>
      </c>
      <c r="C1055" t="s">
        <v>2</v>
      </c>
      <c r="D1055">
        <v>19</v>
      </c>
      <c r="E1055">
        <v>0</v>
      </c>
      <c r="F1055">
        <v>0</v>
      </c>
      <c r="G1055">
        <v>13</v>
      </c>
      <c r="H1055">
        <v>0</v>
      </c>
      <c r="I1055">
        <v>6</v>
      </c>
      <c r="J1055">
        <v>0</v>
      </c>
      <c r="K1055">
        <v>0</v>
      </c>
      <c r="L1055" t="b">
        <f t="shared" si="16"/>
        <v>1</v>
      </c>
    </row>
    <row r="1056" spans="1:12" x14ac:dyDescent="0.25">
      <c r="A1056" t="s">
        <v>12</v>
      </c>
      <c r="B1056">
        <v>22</v>
      </c>
      <c r="C1056" t="s">
        <v>5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 t="b">
        <f t="shared" si="16"/>
        <v>1</v>
      </c>
    </row>
    <row r="1057" spans="1:12" x14ac:dyDescent="0.25">
      <c r="A1057" t="s">
        <v>12</v>
      </c>
      <c r="B1057">
        <v>22</v>
      </c>
      <c r="C1057" t="s">
        <v>1</v>
      </c>
      <c r="D1057">
        <v>20</v>
      </c>
      <c r="E1057">
        <v>0</v>
      </c>
      <c r="F1057">
        <v>1</v>
      </c>
      <c r="G1057">
        <v>13</v>
      </c>
      <c r="H1057">
        <v>0</v>
      </c>
      <c r="I1057">
        <v>5</v>
      </c>
      <c r="J1057">
        <v>0</v>
      </c>
      <c r="K1057">
        <v>1</v>
      </c>
      <c r="L1057" t="b">
        <f t="shared" si="16"/>
        <v>1</v>
      </c>
    </row>
    <row r="1058" spans="1:12" x14ac:dyDescent="0.25">
      <c r="A1058" t="s">
        <v>12</v>
      </c>
      <c r="B1058">
        <v>22</v>
      </c>
      <c r="C1058" t="s">
        <v>9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 t="b">
        <f t="shared" si="16"/>
        <v>1</v>
      </c>
    </row>
    <row r="1059" spans="1:12" x14ac:dyDescent="0.25">
      <c r="A1059" t="s">
        <v>12</v>
      </c>
      <c r="B1059">
        <v>23</v>
      </c>
      <c r="C1059" t="s">
        <v>2</v>
      </c>
      <c r="D1059">
        <v>27</v>
      </c>
      <c r="E1059">
        <v>0</v>
      </c>
      <c r="F1059">
        <v>0</v>
      </c>
      <c r="G1059">
        <v>7</v>
      </c>
      <c r="H1059">
        <v>0</v>
      </c>
      <c r="I1059">
        <v>20</v>
      </c>
      <c r="J1059">
        <v>0</v>
      </c>
      <c r="K1059">
        <v>0</v>
      </c>
      <c r="L1059" t="b">
        <f t="shared" si="16"/>
        <v>1</v>
      </c>
    </row>
    <row r="1060" spans="1:12" x14ac:dyDescent="0.25">
      <c r="A1060" t="s">
        <v>12</v>
      </c>
      <c r="B1060">
        <v>23</v>
      </c>
      <c r="C1060" t="s">
        <v>3</v>
      </c>
      <c r="D1060">
        <v>4</v>
      </c>
      <c r="E1060">
        <v>1</v>
      </c>
      <c r="F1060">
        <v>1</v>
      </c>
      <c r="G1060">
        <v>2</v>
      </c>
      <c r="H1060">
        <v>0</v>
      </c>
      <c r="I1060">
        <v>0</v>
      </c>
      <c r="J1060">
        <v>0</v>
      </c>
      <c r="K1060">
        <v>0</v>
      </c>
      <c r="L1060" t="b">
        <f t="shared" si="16"/>
        <v>1</v>
      </c>
    </row>
    <row r="1061" spans="1:12" x14ac:dyDescent="0.25">
      <c r="A1061" t="s">
        <v>12</v>
      </c>
      <c r="B1061">
        <v>23</v>
      </c>
      <c r="C1061" t="s">
        <v>5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b">
        <f t="shared" si="16"/>
        <v>1</v>
      </c>
    </row>
    <row r="1062" spans="1:12" x14ac:dyDescent="0.25">
      <c r="A1062" t="s">
        <v>12</v>
      </c>
      <c r="B1062">
        <v>23</v>
      </c>
      <c r="C1062" t="s">
        <v>6</v>
      </c>
      <c r="D1062">
        <v>2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 t="b">
        <f t="shared" si="16"/>
        <v>1</v>
      </c>
    </row>
    <row r="1063" spans="1:12" x14ac:dyDescent="0.25">
      <c r="A1063" t="s">
        <v>12</v>
      </c>
      <c r="B1063">
        <v>23</v>
      </c>
      <c r="C1063" t="s">
        <v>1</v>
      </c>
      <c r="D1063">
        <v>32</v>
      </c>
      <c r="E1063">
        <v>0</v>
      </c>
      <c r="F1063">
        <v>1</v>
      </c>
      <c r="G1063">
        <v>11</v>
      </c>
      <c r="H1063">
        <v>0</v>
      </c>
      <c r="I1063">
        <v>20</v>
      </c>
      <c r="J1063">
        <v>0</v>
      </c>
      <c r="K1063">
        <v>0</v>
      </c>
      <c r="L1063" t="b">
        <f t="shared" si="16"/>
        <v>1</v>
      </c>
    </row>
    <row r="1064" spans="1:12" x14ac:dyDescent="0.25">
      <c r="A1064" t="s">
        <v>12</v>
      </c>
      <c r="B1064">
        <v>23</v>
      </c>
      <c r="C1064" t="s">
        <v>4</v>
      </c>
      <c r="D1064">
        <v>2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 t="b">
        <f t="shared" si="16"/>
        <v>1</v>
      </c>
    </row>
    <row r="1065" spans="1:12" x14ac:dyDescent="0.25">
      <c r="A1065" t="s">
        <v>12</v>
      </c>
      <c r="B1065">
        <v>24</v>
      </c>
      <c r="C1065" t="s">
        <v>2</v>
      </c>
      <c r="D1065">
        <v>19</v>
      </c>
      <c r="E1065">
        <v>0</v>
      </c>
      <c r="F1065">
        <v>0</v>
      </c>
      <c r="G1065">
        <v>3</v>
      </c>
      <c r="H1065">
        <v>0</v>
      </c>
      <c r="I1065">
        <v>16</v>
      </c>
      <c r="J1065">
        <v>0</v>
      </c>
      <c r="K1065">
        <v>0</v>
      </c>
      <c r="L1065" t="b">
        <f t="shared" si="16"/>
        <v>1</v>
      </c>
    </row>
    <row r="1066" spans="1:12" x14ac:dyDescent="0.25">
      <c r="A1066" t="s">
        <v>12</v>
      </c>
      <c r="B1066">
        <v>24</v>
      </c>
      <c r="C1066" t="s">
        <v>3</v>
      </c>
      <c r="D1066">
        <v>2</v>
      </c>
      <c r="E1066">
        <v>1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 t="b">
        <f t="shared" si="16"/>
        <v>1</v>
      </c>
    </row>
    <row r="1067" spans="1:12" x14ac:dyDescent="0.25">
      <c r="A1067" t="s">
        <v>12</v>
      </c>
      <c r="B1067">
        <v>24</v>
      </c>
      <c r="C1067" t="s">
        <v>6</v>
      </c>
      <c r="D1067">
        <v>6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5</v>
      </c>
      <c r="L1067" t="b">
        <f t="shared" si="16"/>
        <v>1</v>
      </c>
    </row>
    <row r="1068" spans="1:12" x14ac:dyDescent="0.25">
      <c r="A1068" t="s">
        <v>12</v>
      </c>
      <c r="B1068">
        <v>24</v>
      </c>
      <c r="C1068" t="s">
        <v>1</v>
      </c>
      <c r="D1068">
        <v>26</v>
      </c>
      <c r="E1068">
        <v>0</v>
      </c>
      <c r="F1068">
        <v>3</v>
      </c>
      <c r="G1068">
        <v>5</v>
      </c>
      <c r="H1068">
        <v>0</v>
      </c>
      <c r="I1068">
        <v>16</v>
      </c>
      <c r="J1068">
        <v>0</v>
      </c>
      <c r="K1068">
        <v>2</v>
      </c>
      <c r="L1068" t="b">
        <f t="shared" si="16"/>
        <v>1</v>
      </c>
    </row>
    <row r="1069" spans="1:12" x14ac:dyDescent="0.25">
      <c r="A1069" t="s">
        <v>12</v>
      </c>
      <c r="B1069">
        <v>24</v>
      </c>
      <c r="C1069" t="s">
        <v>10</v>
      </c>
      <c r="D1069">
        <v>3</v>
      </c>
      <c r="E1069">
        <v>0</v>
      </c>
      <c r="F1069">
        <v>1</v>
      </c>
      <c r="G1069">
        <v>0</v>
      </c>
      <c r="H1069">
        <v>0</v>
      </c>
      <c r="I1069">
        <v>2</v>
      </c>
      <c r="J1069">
        <v>0</v>
      </c>
      <c r="K1069">
        <v>0</v>
      </c>
      <c r="L1069" t="b">
        <f t="shared" si="16"/>
        <v>1</v>
      </c>
    </row>
    <row r="1070" spans="1:12" x14ac:dyDescent="0.25">
      <c r="A1070" t="s">
        <v>12</v>
      </c>
      <c r="B1070">
        <v>24</v>
      </c>
      <c r="C1070" t="s">
        <v>11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 t="b">
        <f t="shared" si="16"/>
        <v>1</v>
      </c>
    </row>
    <row r="1071" spans="1:12" x14ac:dyDescent="0.25">
      <c r="A1071" t="s">
        <v>12</v>
      </c>
      <c r="B1071">
        <v>24</v>
      </c>
      <c r="C1071" t="s">
        <v>4</v>
      </c>
      <c r="D1071">
        <v>2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 t="b">
        <f t="shared" si="16"/>
        <v>1</v>
      </c>
    </row>
    <row r="1072" spans="1:12" x14ac:dyDescent="0.25">
      <c r="A1072" t="s">
        <v>12</v>
      </c>
      <c r="B1072">
        <v>24</v>
      </c>
      <c r="C1072" t="s">
        <v>9</v>
      </c>
      <c r="D1072">
        <v>3</v>
      </c>
      <c r="E1072">
        <v>0</v>
      </c>
      <c r="F1072">
        <v>3</v>
      </c>
      <c r="G1072">
        <v>0</v>
      </c>
      <c r="H1072">
        <v>0</v>
      </c>
      <c r="I1072">
        <v>0</v>
      </c>
      <c r="J1072">
        <v>0</v>
      </c>
      <c r="K1072">
        <v>0</v>
      </c>
      <c r="L1072" t="b">
        <f t="shared" si="16"/>
        <v>1</v>
      </c>
    </row>
    <row r="1073" spans="1:12" x14ac:dyDescent="0.25">
      <c r="A1073" t="s">
        <v>12</v>
      </c>
      <c r="B1073">
        <v>25</v>
      </c>
      <c r="C1073" t="s">
        <v>2</v>
      </c>
      <c r="D1073">
        <v>20</v>
      </c>
      <c r="E1073">
        <v>0</v>
      </c>
      <c r="F1073">
        <v>0</v>
      </c>
      <c r="G1073">
        <v>13</v>
      </c>
      <c r="H1073">
        <v>0</v>
      </c>
      <c r="I1073">
        <v>7</v>
      </c>
      <c r="J1073">
        <v>0</v>
      </c>
      <c r="K1073">
        <v>0</v>
      </c>
      <c r="L1073" t="b">
        <f t="shared" si="16"/>
        <v>1</v>
      </c>
    </row>
    <row r="1074" spans="1:12" x14ac:dyDescent="0.25">
      <c r="A1074" t="s">
        <v>12</v>
      </c>
      <c r="B1074">
        <v>25</v>
      </c>
      <c r="C1074" t="s">
        <v>84</v>
      </c>
      <c r="D1074">
        <v>2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 t="b">
        <f t="shared" si="16"/>
        <v>1</v>
      </c>
    </row>
    <row r="1075" spans="1:12" x14ac:dyDescent="0.25">
      <c r="A1075" t="s">
        <v>12</v>
      </c>
      <c r="B1075">
        <v>25</v>
      </c>
      <c r="C1075" t="s">
        <v>3</v>
      </c>
      <c r="D1075">
        <v>2</v>
      </c>
      <c r="E1075">
        <v>0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0</v>
      </c>
      <c r="L1075" t="b">
        <f t="shared" si="16"/>
        <v>1</v>
      </c>
    </row>
    <row r="1076" spans="1:12" x14ac:dyDescent="0.25">
      <c r="A1076" t="s">
        <v>12</v>
      </c>
      <c r="B1076">
        <v>25</v>
      </c>
      <c r="C1076" t="s">
        <v>6</v>
      </c>
      <c r="D1076">
        <v>2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 t="b">
        <f t="shared" si="16"/>
        <v>1</v>
      </c>
    </row>
    <row r="1077" spans="1:12" x14ac:dyDescent="0.25">
      <c r="A1077" t="s">
        <v>12</v>
      </c>
      <c r="B1077">
        <v>25</v>
      </c>
      <c r="C1077" t="s">
        <v>1</v>
      </c>
      <c r="D1077">
        <v>25</v>
      </c>
      <c r="E1077">
        <v>0</v>
      </c>
      <c r="F1077">
        <v>3</v>
      </c>
      <c r="G1077">
        <v>15</v>
      </c>
      <c r="H1077">
        <v>0</v>
      </c>
      <c r="I1077">
        <v>7</v>
      </c>
      <c r="J1077">
        <v>0</v>
      </c>
      <c r="K1077">
        <v>0</v>
      </c>
      <c r="L1077" t="b">
        <f t="shared" si="16"/>
        <v>1</v>
      </c>
    </row>
    <row r="1078" spans="1:12" x14ac:dyDescent="0.25">
      <c r="A1078" t="s">
        <v>12</v>
      </c>
      <c r="B1078">
        <v>25</v>
      </c>
      <c r="C1078" t="s">
        <v>10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 t="b">
        <f t="shared" si="16"/>
        <v>1</v>
      </c>
    </row>
    <row r="1079" spans="1:12" x14ac:dyDescent="0.25">
      <c r="A1079" t="s">
        <v>12</v>
      </c>
      <c r="B1079">
        <v>25</v>
      </c>
      <c r="C1079" t="s">
        <v>9</v>
      </c>
      <c r="D1079">
        <v>1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 t="b">
        <f t="shared" si="16"/>
        <v>1</v>
      </c>
    </row>
    <row r="1080" spans="1:12" x14ac:dyDescent="0.25">
      <c r="A1080" t="s">
        <v>12</v>
      </c>
      <c r="B1080">
        <v>26</v>
      </c>
      <c r="C1080" t="s">
        <v>2</v>
      </c>
      <c r="D1080">
        <v>18</v>
      </c>
      <c r="E1080">
        <v>0</v>
      </c>
      <c r="F1080">
        <v>0</v>
      </c>
      <c r="G1080">
        <v>7</v>
      </c>
      <c r="H1080">
        <v>0</v>
      </c>
      <c r="I1080">
        <v>11</v>
      </c>
      <c r="J1080">
        <v>0</v>
      </c>
      <c r="K1080">
        <v>0</v>
      </c>
      <c r="L1080" t="b">
        <f t="shared" si="16"/>
        <v>1</v>
      </c>
    </row>
    <row r="1081" spans="1:12" x14ac:dyDescent="0.25">
      <c r="A1081" t="s">
        <v>12</v>
      </c>
      <c r="B1081">
        <v>26</v>
      </c>
      <c r="C1081" t="s">
        <v>1</v>
      </c>
      <c r="D1081">
        <v>20</v>
      </c>
      <c r="E1081">
        <v>0</v>
      </c>
      <c r="F1081">
        <v>1</v>
      </c>
      <c r="G1081">
        <v>7</v>
      </c>
      <c r="H1081">
        <v>0</v>
      </c>
      <c r="I1081">
        <v>11</v>
      </c>
      <c r="J1081">
        <v>0</v>
      </c>
      <c r="K1081">
        <v>1</v>
      </c>
      <c r="L1081" t="b">
        <f t="shared" si="16"/>
        <v>1</v>
      </c>
    </row>
    <row r="1082" spans="1:12" x14ac:dyDescent="0.25">
      <c r="A1082" t="s">
        <v>12</v>
      </c>
      <c r="B1082">
        <v>26</v>
      </c>
      <c r="C1082" t="s">
        <v>9</v>
      </c>
      <c r="D1082">
        <v>1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 t="b">
        <f t="shared" si="16"/>
        <v>1</v>
      </c>
    </row>
    <row r="1083" spans="1:12" x14ac:dyDescent="0.25">
      <c r="A1083" t="s">
        <v>12</v>
      </c>
      <c r="B1083">
        <v>27</v>
      </c>
      <c r="C1083" t="s">
        <v>2</v>
      </c>
      <c r="D1083">
        <v>20</v>
      </c>
      <c r="E1083">
        <v>0</v>
      </c>
      <c r="F1083">
        <v>1</v>
      </c>
      <c r="G1083">
        <v>10</v>
      </c>
      <c r="H1083">
        <v>0</v>
      </c>
      <c r="I1083">
        <v>8</v>
      </c>
      <c r="J1083">
        <v>0</v>
      </c>
      <c r="K1083">
        <v>1</v>
      </c>
      <c r="L1083" t="b">
        <f t="shared" si="16"/>
        <v>1</v>
      </c>
    </row>
    <row r="1084" spans="1:12" x14ac:dyDescent="0.25">
      <c r="A1084" t="s">
        <v>12</v>
      </c>
      <c r="B1084">
        <v>27</v>
      </c>
      <c r="C1084" t="s">
        <v>84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 t="b">
        <f t="shared" si="16"/>
        <v>1</v>
      </c>
    </row>
    <row r="1085" spans="1:12" x14ac:dyDescent="0.25">
      <c r="A1085" t="s">
        <v>12</v>
      </c>
      <c r="B1085">
        <v>27</v>
      </c>
      <c r="C1085" t="s">
        <v>5</v>
      </c>
      <c r="D1085">
        <v>2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 t="b">
        <f t="shared" si="16"/>
        <v>1</v>
      </c>
    </row>
    <row r="1086" spans="1:12" x14ac:dyDescent="0.25">
      <c r="A1086" t="s">
        <v>12</v>
      </c>
      <c r="B1086">
        <v>27</v>
      </c>
      <c r="C1086" t="s">
        <v>6</v>
      </c>
      <c r="D1086">
        <v>3</v>
      </c>
      <c r="E1086">
        <v>0</v>
      </c>
      <c r="F1086">
        <v>2</v>
      </c>
      <c r="G1086">
        <v>0</v>
      </c>
      <c r="H1086">
        <v>0</v>
      </c>
      <c r="I1086">
        <v>0</v>
      </c>
      <c r="J1086">
        <v>0</v>
      </c>
      <c r="K1086">
        <v>1</v>
      </c>
      <c r="L1086" t="b">
        <f t="shared" si="16"/>
        <v>1</v>
      </c>
    </row>
    <row r="1087" spans="1:12" x14ac:dyDescent="0.25">
      <c r="A1087" t="s">
        <v>12</v>
      </c>
      <c r="B1087">
        <v>27</v>
      </c>
      <c r="C1087" t="s">
        <v>1</v>
      </c>
      <c r="D1087">
        <v>22</v>
      </c>
      <c r="E1087">
        <v>0</v>
      </c>
      <c r="F1087">
        <v>2</v>
      </c>
      <c r="G1087">
        <v>10</v>
      </c>
      <c r="H1087">
        <v>0</v>
      </c>
      <c r="I1087">
        <v>8</v>
      </c>
      <c r="J1087">
        <v>0</v>
      </c>
      <c r="K1087">
        <v>2</v>
      </c>
      <c r="L1087" t="b">
        <f t="shared" si="16"/>
        <v>1</v>
      </c>
    </row>
    <row r="1088" spans="1:12" x14ac:dyDescent="0.25">
      <c r="A1088" t="s">
        <v>12</v>
      </c>
      <c r="B1088">
        <v>27</v>
      </c>
      <c r="C1088" t="s">
        <v>10</v>
      </c>
      <c r="D1088">
        <v>2</v>
      </c>
      <c r="E1088">
        <v>0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 t="b">
        <f t="shared" si="16"/>
        <v>1</v>
      </c>
    </row>
    <row r="1089" spans="1:12" x14ac:dyDescent="0.25">
      <c r="A1089" t="s">
        <v>12</v>
      </c>
      <c r="B1089">
        <v>27</v>
      </c>
      <c r="C1089" t="s">
        <v>9</v>
      </c>
      <c r="D1089">
        <v>1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 t="b">
        <f t="shared" si="16"/>
        <v>1</v>
      </c>
    </row>
    <row r="1090" spans="1:12" x14ac:dyDescent="0.25">
      <c r="A1090" t="s">
        <v>12</v>
      </c>
      <c r="B1090">
        <v>28</v>
      </c>
      <c r="C1090" t="s">
        <v>2</v>
      </c>
      <c r="D1090">
        <v>20</v>
      </c>
      <c r="E1090">
        <v>0</v>
      </c>
      <c r="F1090">
        <v>1</v>
      </c>
      <c r="G1090">
        <v>14</v>
      </c>
      <c r="H1090">
        <v>0</v>
      </c>
      <c r="I1090">
        <v>5</v>
      </c>
      <c r="J1090">
        <v>0</v>
      </c>
      <c r="K1090">
        <v>0</v>
      </c>
      <c r="L1090" t="b">
        <f t="shared" si="16"/>
        <v>1</v>
      </c>
    </row>
    <row r="1091" spans="1:12" x14ac:dyDescent="0.25">
      <c r="A1091" t="s">
        <v>12</v>
      </c>
      <c r="B1091">
        <v>28</v>
      </c>
      <c r="C1091" t="s">
        <v>6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 t="b">
        <f t="shared" si="16"/>
        <v>1</v>
      </c>
    </row>
    <row r="1092" spans="1:12" x14ac:dyDescent="0.25">
      <c r="A1092" t="s">
        <v>12</v>
      </c>
      <c r="B1092">
        <v>28</v>
      </c>
      <c r="C1092" t="s">
        <v>1</v>
      </c>
      <c r="D1092">
        <v>23</v>
      </c>
      <c r="E1092">
        <v>0</v>
      </c>
      <c r="F1092">
        <v>2</v>
      </c>
      <c r="G1092">
        <v>16</v>
      </c>
      <c r="H1092">
        <v>0</v>
      </c>
      <c r="I1092">
        <v>4</v>
      </c>
      <c r="J1092">
        <v>0</v>
      </c>
      <c r="K1092">
        <v>1</v>
      </c>
      <c r="L1092" t="b">
        <f t="shared" ref="L1092:L1155" si="17">SUM(E1092:K1092)=D1092</f>
        <v>1</v>
      </c>
    </row>
    <row r="1093" spans="1:12" x14ac:dyDescent="0.25">
      <c r="A1093" t="s">
        <v>12</v>
      </c>
      <c r="B1093">
        <v>28</v>
      </c>
      <c r="C1093" t="s">
        <v>10</v>
      </c>
      <c r="D1093">
        <v>3</v>
      </c>
      <c r="E1093">
        <v>0</v>
      </c>
      <c r="F1093">
        <v>0</v>
      </c>
      <c r="G1093">
        <v>2</v>
      </c>
      <c r="H1093">
        <v>0</v>
      </c>
      <c r="I1093">
        <v>1</v>
      </c>
      <c r="J1093">
        <v>0</v>
      </c>
      <c r="K1093">
        <v>0</v>
      </c>
      <c r="L1093" t="b">
        <f t="shared" si="17"/>
        <v>1</v>
      </c>
    </row>
    <row r="1094" spans="1:12" x14ac:dyDescent="0.25">
      <c r="A1094" t="s">
        <v>12</v>
      </c>
      <c r="B1094">
        <v>28</v>
      </c>
      <c r="C1094" t="s">
        <v>9</v>
      </c>
      <c r="D1094">
        <v>2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 t="b">
        <f t="shared" si="17"/>
        <v>1</v>
      </c>
    </row>
    <row r="1095" spans="1:12" x14ac:dyDescent="0.25">
      <c r="A1095" t="s">
        <v>12</v>
      </c>
      <c r="B1095">
        <v>29</v>
      </c>
      <c r="C1095" t="s">
        <v>2</v>
      </c>
      <c r="D1095">
        <v>16</v>
      </c>
      <c r="E1095">
        <v>0</v>
      </c>
      <c r="F1095">
        <v>0</v>
      </c>
      <c r="G1095">
        <v>6</v>
      </c>
      <c r="H1095">
        <v>0</v>
      </c>
      <c r="I1095">
        <v>10</v>
      </c>
      <c r="J1095">
        <v>0</v>
      </c>
      <c r="K1095">
        <v>0</v>
      </c>
      <c r="L1095" t="b">
        <f t="shared" si="17"/>
        <v>1</v>
      </c>
    </row>
    <row r="1096" spans="1:12" x14ac:dyDescent="0.25">
      <c r="A1096" t="s">
        <v>12</v>
      </c>
      <c r="B1096">
        <v>29</v>
      </c>
      <c r="C1096" t="s">
        <v>1</v>
      </c>
      <c r="D1096">
        <v>18</v>
      </c>
      <c r="E1096">
        <v>0</v>
      </c>
      <c r="F1096">
        <v>3</v>
      </c>
      <c r="G1096">
        <v>6</v>
      </c>
      <c r="H1096">
        <v>0</v>
      </c>
      <c r="I1096">
        <v>9</v>
      </c>
      <c r="J1096">
        <v>0</v>
      </c>
      <c r="K1096">
        <v>0</v>
      </c>
      <c r="L1096" t="b">
        <f t="shared" si="17"/>
        <v>1</v>
      </c>
    </row>
    <row r="1097" spans="1:12" x14ac:dyDescent="0.25">
      <c r="A1097" t="s">
        <v>12</v>
      </c>
      <c r="B1097">
        <v>29</v>
      </c>
      <c r="C1097" t="s">
        <v>10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0</v>
      </c>
      <c r="L1097" t="b">
        <f t="shared" si="17"/>
        <v>1</v>
      </c>
    </row>
    <row r="1098" spans="1:12" x14ac:dyDescent="0.25">
      <c r="A1098" t="s">
        <v>12</v>
      </c>
      <c r="B1098">
        <v>30</v>
      </c>
      <c r="C1098" t="s">
        <v>2</v>
      </c>
      <c r="D1098">
        <v>22</v>
      </c>
      <c r="E1098">
        <v>0</v>
      </c>
      <c r="F1098">
        <v>1</v>
      </c>
      <c r="G1098">
        <v>3</v>
      </c>
      <c r="H1098">
        <v>0</v>
      </c>
      <c r="I1098">
        <v>18</v>
      </c>
      <c r="J1098">
        <v>0</v>
      </c>
      <c r="K1098">
        <v>0</v>
      </c>
      <c r="L1098" t="b">
        <f t="shared" si="17"/>
        <v>1</v>
      </c>
    </row>
    <row r="1099" spans="1:12" x14ac:dyDescent="0.25">
      <c r="A1099" t="s">
        <v>12</v>
      </c>
      <c r="B1099">
        <v>30</v>
      </c>
      <c r="C1099" t="s">
        <v>84</v>
      </c>
      <c r="D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 t="b">
        <f t="shared" si="17"/>
        <v>1</v>
      </c>
    </row>
    <row r="1100" spans="1:12" x14ac:dyDescent="0.25">
      <c r="A1100" t="s">
        <v>12</v>
      </c>
      <c r="B1100">
        <v>30</v>
      </c>
      <c r="C1100" t="s">
        <v>3</v>
      </c>
      <c r="D1100">
        <v>7</v>
      </c>
      <c r="E1100">
        <v>1</v>
      </c>
      <c r="F1100">
        <v>2</v>
      </c>
      <c r="G1100">
        <v>4</v>
      </c>
      <c r="H1100">
        <v>0</v>
      </c>
      <c r="I1100">
        <v>0</v>
      </c>
      <c r="J1100">
        <v>0</v>
      </c>
      <c r="K1100">
        <v>0</v>
      </c>
      <c r="L1100" t="b">
        <f t="shared" si="17"/>
        <v>1</v>
      </c>
    </row>
    <row r="1101" spans="1:12" x14ac:dyDescent="0.25">
      <c r="A1101" t="s">
        <v>12</v>
      </c>
      <c r="B1101">
        <v>30</v>
      </c>
      <c r="C1101" t="s">
        <v>5</v>
      </c>
      <c r="D1101">
        <v>4</v>
      </c>
      <c r="E1101">
        <v>1</v>
      </c>
      <c r="F1101">
        <v>3</v>
      </c>
      <c r="G1101">
        <v>0</v>
      </c>
      <c r="H1101">
        <v>0</v>
      </c>
      <c r="I1101">
        <v>0</v>
      </c>
      <c r="J1101">
        <v>0</v>
      </c>
      <c r="K1101">
        <v>0</v>
      </c>
      <c r="L1101" t="b">
        <f t="shared" si="17"/>
        <v>1</v>
      </c>
    </row>
    <row r="1102" spans="1:12" x14ac:dyDescent="0.25">
      <c r="A1102" t="s">
        <v>12</v>
      </c>
      <c r="B1102">
        <v>30</v>
      </c>
      <c r="C1102" t="s">
        <v>6</v>
      </c>
      <c r="D1102">
        <v>6</v>
      </c>
      <c r="E1102">
        <v>0</v>
      </c>
      <c r="F1102">
        <v>4</v>
      </c>
      <c r="G1102">
        <v>1</v>
      </c>
      <c r="H1102">
        <v>0</v>
      </c>
      <c r="I1102">
        <v>0</v>
      </c>
      <c r="J1102">
        <v>0</v>
      </c>
      <c r="K1102">
        <v>1</v>
      </c>
      <c r="L1102" t="b">
        <f t="shared" si="17"/>
        <v>1</v>
      </c>
    </row>
    <row r="1103" spans="1:12" x14ac:dyDescent="0.25">
      <c r="A1103" t="s">
        <v>12</v>
      </c>
      <c r="B1103">
        <v>30</v>
      </c>
      <c r="C1103" t="s">
        <v>1</v>
      </c>
      <c r="D1103">
        <v>29</v>
      </c>
      <c r="E1103">
        <v>0</v>
      </c>
      <c r="F1103">
        <v>3</v>
      </c>
      <c r="G1103">
        <v>7</v>
      </c>
      <c r="H1103">
        <v>0</v>
      </c>
      <c r="I1103">
        <v>18</v>
      </c>
      <c r="J1103">
        <v>0</v>
      </c>
      <c r="K1103">
        <v>1</v>
      </c>
      <c r="L1103" t="b">
        <f t="shared" si="17"/>
        <v>1</v>
      </c>
    </row>
    <row r="1104" spans="1:12" x14ac:dyDescent="0.25">
      <c r="A1104" t="s">
        <v>12</v>
      </c>
      <c r="B1104">
        <v>30</v>
      </c>
      <c r="C1104" t="s">
        <v>10</v>
      </c>
      <c r="D1104">
        <v>1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 t="b">
        <f t="shared" si="17"/>
        <v>1</v>
      </c>
    </row>
    <row r="1105" spans="1:12" x14ac:dyDescent="0.25">
      <c r="A1105" t="s">
        <v>12</v>
      </c>
      <c r="B1105">
        <v>30</v>
      </c>
      <c r="C1105" t="s">
        <v>4</v>
      </c>
      <c r="D1105">
        <v>6</v>
      </c>
      <c r="E1105">
        <v>0</v>
      </c>
      <c r="F1105">
        <v>1</v>
      </c>
      <c r="G1105">
        <v>2</v>
      </c>
      <c r="H1105">
        <v>0</v>
      </c>
      <c r="I1105">
        <v>0</v>
      </c>
      <c r="J1105">
        <v>2</v>
      </c>
      <c r="K1105">
        <v>1</v>
      </c>
      <c r="L1105" t="b">
        <f t="shared" si="17"/>
        <v>1</v>
      </c>
    </row>
    <row r="1106" spans="1:12" x14ac:dyDescent="0.25">
      <c r="A1106" t="s">
        <v>12</v>
      </c>
      <c r="B1106">
        <v>30</v>
      </c>
      <c r="C1106" t="s">
        <v>9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 t="b">
        <f t="shared" si="17"/>
        <v>1</v>
      </c>
    </row>
    <row r="1107" spans="1:12" x14ac:dyDescent="0.25">
      <c r="A1107" t="s">
        <v>12</v>
      </c>
      <c r="B1107">
        <v>31</v>
      </c>
      <c r="C1107" t="s">
        <v>2</v>
      </c>
      <c r="D1107">
        <v>24</v>
      </c>
      <c r="E1107">
        <v>0</v>
      </c>
      <c r="F1107">
        <v>0</v>
      </c>
      <c r="G1107">
        <v>4</v>
      </c>
      <c r="H1107">
        <v>0</v>
      </c>
      <c r="I1107">
        <v>20</v>
      </c>
      <c r="J1107">
        <v>0</v>
      </c>
      <c r="K1107">
        <v>0</v>
      </c>
      <c r="L1107" t="b">
        <f t="shared" si="17"/>
        <v>1</v>
      </c>
    </row>
    <row r="1108" spans="1:12" x14ac:dyDescent="0.25">
      <c r="A1108" t="s">
        <v>12</v>
      </c>
      <c r="B1108">
        <v>31</v>
      </c>
      <c r="C1108" t="s">
        <v>84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 t="b">
        <f t="shared" si="17"/>
        <v>1</v>
      </c>
    </row>
    <row r="1109" spans="1:12" x14ac:dyDescent="0.25">
      <c r="A1109" t="s">
        <v>12</v>
      </c>
      <c r="B1109">
        <v>31</v>
      </c>
      <c r="C1109" t="s">
        <v>6</v>
      </c>
      <c r="D1109">
        <v>1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 t="b">
        <f t="shared" si="17"/>
        <v>1</v>
      </c>
    </row>
    <row r="1110" spans="1:12" x14ac:dyDescent="0.25">
      <c r="A1110" t="s">
        <v>12</v>
      </c>
      <c r="B1110">
        <v>31</v>
      </c>
      <c r="C1110" t="s">
        <v>1</v>
      </c>
      <c r="D1110">
        <v>23</v>
      </c>
      <c r="E1110">
        <v>0</v>
      </c>
      <c r="F1110">
        <v>1</v>
      </c>
      <c r="G1110">
        <v>4</v>
      </c>
      <c r="H1110">
        <v>0</v>
      </c>
      <c r="I1110">
        <v>17</v>
      </c>
      <c r="J1110">
        <v>0</v>
      </c>
      <c r="K1110">
        <v>1</v>
      </c>
      <c r="L1110" t="b">
        <f t="shared" si="17"/>
        <v>1</v>
      </c>
    </row>
    <row r="1111" spans="1:12" x14ac:dyDescent="0.25">
      <c r="A1111" t="s">
        <v>12</v>
      </c>
      <c r="B1111">
        <v>31</v>
      </c>
      <c r="C1111" t="s">
        <v>10</v>
      </c>
      <c r="D1111">
        <v>3</v>
      </c>
      <c r="E1111">
        <v>0</v>
      </c>
      <c r="F1111">
        <v>1</v>
      </c>
      <c r="G1111">
        <v>0</v>
      </c>
      <c r="H1111">
        <v>0</v>
      </c>
      <c r="I1111">
        <v>2</v>
      </c>
      <c r="J1111">
        <v>0</v>
      </c>
      <c r="K1111">
        <v>0</v>
      </c>
      <c r="L1111" t="b">
        <f t="shared" si="17"/>
        <v>1</v>
      </c>
    </row>
    <row r="1112" spans="1:12" x14ac:dyDescent="0.25">
      <c r="A1112" t="s">
        <v>0</v>
      </c>
      <c r="B1112">
        <v>3</v>
      </c>
      <c r="C1112" t="s">
        <v>2</v>
      </c>
      <c r="D1112">
        <v>17</v>
      </c>
      <c r="E1112">
        <v>0</v>
      </c>
      <c r="F1112">
        <v>1</v>
      </c>
      <c r="G1112">
        <v>7</v>
      </c>
      <c r="H1112">
        <v>0</v>
      </c>
      <c r="I1112">
        <v>9</v>
      </c>
      <c r="J1112">
        <v>0</v>
      </c>
      <c r="K1112">
        <v>0</v>
      </c>
      <c r="L1112" t="b">
        <f t="shared" si="17"/>
        <v>1</v>
      </c>
    </row>
    <row r="1113" spans="1:12" x14ac:dyDescent="0.25">
      <c r="A1113" t="s">
        <v>0</v>
      </c>
      <c r="B1113">
        <v>3</v>
      </c>
      <c r="C1113" t="s">
        <v>84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 t="b">
        <f t="shared" si="17"/>
        <v>1</v>
      </c>
    </row>
    <row r="1114" spans="1:12" x14ac:dyDescent="0.25">
      <c r="A1114" t="s">
        <v>0</v>
      </c>
      <c r="B1114">
        <v>3</v>
      </c>
      <c r="C1114" t="s">
        <v>3</v>
      </c>
      <c r="D1114">
        <v>3</v>
      </c>
      <c r="E1114">
        <v>2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 t="b">
        <f t="shared" si="17"/>
        <v>1</v>
      </c>
    </row>
    <row r="1115" spans="1:12" x14ac:dyDescent="0.25">
      <c r="A1115" t="s">
        <v>0</v>
      </c>
      <c r="B1115">
        <v>3</v>
      </c>
      <c r="C1115" t="s">
        <v>5</v>
      </c>
      <c r="D1115">
        <v>1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 t="b">
        <f t="shared" si="17"/>
        <v>1</v>
      </c>
    </row>
    <row r="1116" spans="1:12" x14ac:dyDescent="0.25">
      <c r="A1116" t="s">
        <v>0</v>
      </c>
      <c r="B1116">
        <v>3</v>
      </c>
      <c r="C1116" t="s">
        <v>6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 t="b">
        <f t="shared" si="17"/>
        <v>1</v>
      </c>
    </row>
    <row r="1117" spans="1:12" x14ac:dyDescent="0.25">
      <c r="A1117" t="s">
        <v>0</v>
      </c>
      <c r="B1117">
        <v>3</v>
      </c>
      <c r="C1117" t="s">
        <v>1</v>
      </c>
      <c r="D1117">
        <v>19</v>
      </c>
      <c r="E1117">
        <v>0</v>
      </c>
      <c r="F1117">
        <v>2</v>
      </c>
      <c r="G1117">
        <v>8</v>
      </c>
      <c r="H1117">
        <v>0</v>
      </c>
      <c r="I1117">
        <v>9</v>
      </c>
      <c r="J1117">
        <v>0</v>
      </c>
      <c r="K1117">
        <v>0</v>
      </c>
      <c r="L1117" t="b">
        <f t="shared" si="17"/>
        <v>1</v>
      </c>
    </row>
    <row r="1118" spans="1:12" x14ac:dyDescent="0.25">
      <c r="A1118" t="s">
        <v>0</v>
      </c>
      <c r="B1118">
        <v>3</v>
      </c>
      <c r="C1118" t="s">
        <v>4</v>
      </c>
      <c r="D1118">
        <v>2</v>
      </c>
      <c r="E1118">
        <v>0</v>
      </c>
      <c r="F1118">
        <v>1</v>
      </c>
      <c r="G1118">
        <v>1</v>
      </c>
      <c r="H1118">
        <v>0</v>
      </c>
      <c r="I1118">
        <v>0</v>
      </c>
      <c r="J1118">
        <v>0</v>
      </c>
      <c r="K1118">
        <v>0</v>
      </c>
      <c r="L1118" t="b">
        <f t="shared" si="17"/>
        <v>1</v>
      </c>
    </row>
    <row r="1119" spans="1:12" x14ac:dyDescent="0.25">
      <c r="A1119" t="s">
        <v>0</v>
      </c>
      <c r="B1119">
        <v>4</v>
      </c>
      <c r="C1119" t="s">
        <v>2</v>
      </c>
      <c r="D1119">
        <v>13</v>
      </c>
      <c r="E1119">
        <v>0</v>
      </c>
      <c r="F1119">
        <v>0</v>
      </c>
      <c r="G1119">
        <v>7</v>
      </c>
      <c r="H1119">
        <v>0</v>
      </c>
      <c r="I1119">
        <v>6</v>
      </c>
      <c r="J1119">
        <v>0</v>
      </c>
      <c r="K1119">
        <v>0</v>
      </c>
      <c r="L1119" t="b">
        <f t="shared" si="17"/>
        <v>1</v>
      </c>
    </row>
    <row r="1120" spans="1:12" x14ac:dyDescent="0.25">
      <c r="A1120" t="s">
        <v>0</v>
      </c>
      <c r="B1120">
        <v>4</v>
      </c>
      <c r="C1120" t="s">
        <v>84</v>
      </c>
      <c r="D1120">
        <v>3</v>
      </c>
      <c r="E1120">
        <v>0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1</v>
      </c>
      <c r="L1120" t="b">
        <f t="shared" si="17"/>
        <v>1</v>
      </c>
    </row>
    <row r="1121" spans="1:12" x14ac:dyDescent="0.25">
      <c r="A1121" t="s">
        <v>0</v>
      </c>
      <c r="B1121">
        <v>4</v>
      </c>
      <c r="C1121" t="s">
        <v>6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 t="b">
        <f t="shared" si="17"/>
        <v>1</v>
      </c>
    </row>
    <row r="1122" spans="1:12" x14ac:dyDescent="0.25">
      <c r="A1122" t="s">
        <v>0</v>
      </c>
      <c r="B1122">
        <v>4</v>
      </c>
      <c r="C1122" t="s">
        <v>1</v>
      </c>
      <c r="D1122">
        <v>16</v>
      </c>
      <c r="E1122">
        <v>0</v>
      </c>
      <c r="F1122">
        <v>3</v>
      </c>
      <c r="G1122">
        <v>7</v>
      </c>
      <c r="H1122">
        <v>0</v>
      </c>
      <c r="I1122">
        <v>6</v>
      </c>
      <c r="J1122">
        <v>0</v>
      </c>
      <c r="K1122">
        <v>0</v>
      </c>
      <c r="L1122" t="b">
        <f t="shared" si="17"/>
        <v>1</v>
      </c>
    </row>
    <row r="1123" spans="1:12" x14ac:dyDescent="0.25">
      <c r="A1123" t="s">
        <v>0</v>
      </c>
      <c r="B1123">
        <v>5</v>
      </c>
      <c r="C1123" t="s">
        <v>2</v>
      </c>
      <c r="D1123">
        <v>19</v>
      </c>
      <c r="E1123">
        <v>0</v>
      </c>
      <c r="F1123">
        <v>1</v>
      </c>
      <c r="G1123">
        <v>7</v>
      </c>
      <c r="H1123">
        <v>0</v>
      </c>
      <c r="I1123">
        <v>11</v>
      </c>
      <c r="J1123">
        <v>0</v>
      </c>
      <c r="K1123">
        <v>0</v>
      </c>
      <c r="L1123" t="b">
        <f t="shared" si="17"/>
        <v>1</v>
      </c>
    </row>
    <row r="1124" spans="1:12" x14ac:dyDescent="0.25">
      <c r="A1124" t="s">
        <v>0</v>
      </c>
      <c r="B1124">
        <v>5</v>
      </c>
      <c r="C1124" t="s">
        <v>6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 t="b">
        <f t="shared" si="17"/>
        <v>1</v>
      </c>
    </row>
    <row r="1125" spans="1:12" x14ac:dyDescent="0.25">
      <c r="A1125" t="s">
        <v>0</v>
      </c>
      <c r="B1125">
        <v>5</v>
      </c>
      <c r="C1125" t="s">
        <v>1</v>
      </c>
      <c r="D1125">
        <v>19</v>
      </c>
      <c r="E1125">
        <v>0</v>
      </c>
      <c r="F1125">
        <v>1</v>
      </c>
      <c r="G1125">
        <v>6</v>
      </c>
      <c r="H1125">
        <v>0</v>
      </c>
      <c r="I1125">
        <v>11</v>
      </c>
      <c r="J1125">
        <v>0</v>
      </c>
      <c r="K1125">
        <v>1</v>
      </c>
      <c r="L1125" t="b">
        <f t="shared" si="17"/>
        <v>1</v>
      </c>
    </row>
    <row r="1126" spans="1:12" x14ac:dyDescent="0.25">
      <c r="A1126" t="s">
        <v>0</v>
      </c>
      <c r="B1126">
        <v>5</v>
      </c>
      <c r="C1126" t="s">
        <v>10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 t="b">
        <f t="shared" si="17"/>
        <v>1</v>
      </c>
    </row>
    <row r="1127" spans="1:12" x14ac:dyDescent="0.25">
      <c r="A1127" t="s">
        <v>0</v>
      </c>
      <c r="B1127">
        <v>5</v>
      </c>
      <c r="C1127" t="s">
        <v>11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 t="b">
        <f t="shared" si="17"/>
        <v>1</v>
      </c>
    </row>
    <row r="1128" spans="1:12" x14ac:dyDescent="0.25">
      <c r="A1128" t="s">
        <v>0</v>
      </c>
      <c r="B1128">
        <v>5</v>
      </c>
      <c r="C1128" t="s">
        <v>9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 t="b">
        <f t="shared" si="17"/>
        <v>1</v>
      </c>
    </row>
    <row r="1129" spans="1:12" x14ac:dyDescent="0.25">
      <c r="A1129" t="s">
        <v>0</v>
      </c>
      <c r="B1129">
        <v>6</v>
      </c>
      <c r="C1129" t="s">
        <v>2</v>
      </c>
      <c r="D1129">
        <v>18</v>
      </c>
      <c r="E1129">
        <v>0</v>
      </c>
      <c r="F1129">
        <v>0</v>
      </c>
      <c r="G1129">
        <v>6</v>
      </c>
      <c r="H1129">
        <v>0</v>
      </c>
      <c r="I1129">
        <v>12</v>
      </c>
      <c r="J1129">
        <v>0</v>
      </c>
      <c r="K1129">
        <v>0</v>
      </c>
      <c r="L1129" t="b">
        <f t="shared" si="17"/>
        <v>1</v>
      </c>
    </row>
    <row r="1130" spans="1:12" x14ac:dyDescent="0.25">
      <c r="A1130" t="s">
        <v>0</v>
      </c>
      <c r="B1130">
        <v>6</v>
      </c>
      <c r="C1130" t="s">
        <v>84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 t="b">
        <f t="shared" si="17"/>
        <v>1</v>
      </c>
    </row>
    <row r="1131" spans="1:12" x14ac:dyDescent="0.25">
      <c r="A1131" t="s">
        <v>0</v>
      </c>
      <c r="B1131">
        <v>6</v>
      </c>
      <c r="C1131" t="s">
        <v>5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 t="b">
        <f t="shared" si="17"/>
        <v>1</v>
      </c>
    </row>
    <row r="1132" spans="1:12" x14ac:dyDescent="0.25">
      <c r="A1132" t="s">
        <v>0</v>
      </c>
      <c r="B1132">
        <v>6</v>
      </c>
      <c r="C1132" t="s">
        <v>6</v>
      </c>
      <c r="D1132">
        <v>1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 t="b">
        <f t="shared" si="17"/>
        <v>1</v>
      </c>
    </row>
    <row r="1133" spans="1:12" x14ac:dyDescent="0.25">
      <c r="A1133" t="s">
        <v>0</v>
      </c>
      <c r="B1133">
        <v>6</v>
      </c>
      <c r="C1133" t="s">
        <v>1</v>
      </c>
      <c r="D1133">
        <v>21</v>
      </c>
      <c r="E1133">
        <v>1</v>
      </c>
      <c r="F1133">
        <v>2</v>
      </c>
      <c r="G1133">
        <v>5</v>
      </c>
      <c r="H1133">
        <v>0</v>
      </c>
      <c r="I1133">
        <v>12</v>
      </c>
      <c r="J1133">
        <v>0</v>
      </c>
      <c r="K1133">
        <v>1</v>
      </c>
      <c r="L1133" t="b">
        <f t="shared" si="17"/>
        <v>1</v>
      </c>
    </row>
    <row r="1134" spans="1:12" x14ac:dyDescent="0.25">
      <c r="A1134" t="s">
        <v>0</v>
      </c>
      <c r="B1134">
        <v>6</v>
      </c>
      <c r="C1134" t="s">
        <v>10</v>
      </c>
      <c r="D1134">
        <v>4</v>
      </c>
      <c r="E1134">
        <v>0</v>
      </c>
      <c r="F1134">
        <v>0</v>
      </c>
      <c r="G1134">
        <v>1</v>
      </c>
      <c r="H1134">
        <v>0</v>
      </c>
      <c r="I1134">
        <v>3</v>
      </c>
      <c r="J1134">
        <v>0</v>
      </c>
      <c r="K1134">
        <v>0</v>
      </c>
      <c r="L1134" t="b">
        <f t="shared" si="17"/>
        <v>1</v>
      </c>
    </row>
    <row r="1135" spans="1:12" x14ac:dyDescent="0.25">
      <c r="A1135" t="s">
        <v>0</v>
      </c>
      <c r="B1135">
        <v>6</v>
      </c>
      <c r="C1135" t="s">
        <v>9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 t="b">
        <f t="shared" si="17"/>
        <v>1</v>
      </c>
    </row>
    <row r="1136" spans="1:12" x14ac:dyDescent="0.25">
      <c r="A1136" t="s">
        <v>0</v>
      </c>
      <c r="B1136">
        <v>7</v>
      </c>
      <c r="C1136" t="s">
        <v>2</v>
      </c>
      <c r="D1136">
        <v>11</v>
      </c>
      <c r="E1136">
        <v>0</v>
      </c>
      <c r="F1136">
        <v>1</v>
      </c>
      <c r="G1136">
        <v>6</v>
      </c>
      <c r="H1136">
        <v>0</v>
      </c>
      <c r="I1136">
        <v>4</v>
      </c>
      <c r="J1136">
        <v>0</v>
      </c>
      <c r="K1136">
        <v>0</v>
      </c>
      <c r="L1136" t="b">
        <f t="shared" si="17"/>
        <v>1</v>
      </c>
    </row>
    <row r="1137" spans="1:12" x14ac:dyDescent="0.25">
      <c r="A1137" t="s">
        <v>0</v>
      </c>
      <c r="B1137">
        <v>7</v>
      </c>
      <c r="C1137" t="s">
        <v>3</v>
      </c>
      <c r="D1137">
        <v>3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 t="b">
        <f t="shared" si="17"/>
        <v>1</v>
      </c>
    </row>
    <row r="1138" spans="1:12" x14ac:dyDescent="0.25">
      <c r="A1138" t="s">
        <v>0</v>
      </c>
      <c r="B1138">
        <v>7</v>
      </c>
      <c r="C1138" t="s">
        <v>5</v>
      </c>
      <c r="D1138">
        <v>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 t="b">
        <f t="shared" si="17"/>
        <v>1</v>
      </c>
    </row>
    <row r="1139" spans="1:12" x14ac:dyDescent="0.25">
      <c r="A1139" t="s">
        <v>0</v>
      </c>
      <c r="B1139">
        <v>7</v>
      </c>
      <c r="C1139" t="s">
        <v>6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 t="b">
        <f t="shared" si="17"/>
        <v>1</v>
      </c>
    </row>
    <row r="1140" spans="1:12" x14ac:dyDescent="0.25">
      <c r="A1140" t="s">
        <v>0</v>
      </c>
      <c r="B1140">
        <v>7</v>
      </c>
      <c r="C1140" t="s">
        <v>1</v>
      </c>
      <c r="D1140">
        <v>13</v>
      </c>
      <c r="E1140">
        <v>0</v>
      </c>
      <c r="F1140">
        <v>3</v>
      </c>
      <c r="G1140">
        <v>6</v>
      </c>
      <c r="H1140">
        <v>0</v>
      </c>
      <c r="I1140">
        <v>4</v>
      </c>
      <c r="J1140">
        <v>0</v>
      </c>
      <c r="K1140">
        <v>0</v>
      </c>
      <c r="L1140" t="b">
        <f t="shared" si="17"/>
        <v>1</v>
      </c>
    </row>
    <row r="1141" spans="1:12" x14ac:dyDescent="0.25">
      <c r="A1141" t="s">
        <v>0</v>
      </c>
      <c r="B1141">
        <v>7</v>
      </c>
      <c r="C1141" t="s">
        <v>10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 t="b">
        <f t="shared" si="17"/>
        <v>1</v>
      </c>
    </row>
    <row r="1142" spans="1:12" x14ac:dyDescent="0.25">
      <c r="A1142" t="s">
        <v>0</v>
      </c>
      <c r="B1142">
        <v>7</v>
      </c>
      <c r="C1142" t="s">
        <v>4</v>
      </c>
      <c r="D1142">
        <v>3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1</v>
      </c>
      <c r="L1142" t="b">
        <f t="shared" si="17"/>
        <v>1</v>
      </c>
    </row>
    <row r="1143" spans="1:12" x14ac:dyDescent="0.25">
      <c r="A1143" t="s">
        <v>0</v>
      </c>
      <c r="B1143">
        <v>7</v>
      </c>
      <c r="C1143" t="s">
        <v>9</v>
      </c>
      <c r="D1143">
        <v>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 t="b">
        <f t="shared" si="17"/>
        <v>1</v>
      </c>
    </row>
    <row r="1144" spans="1:12" x14ac:dyDescent="0.25">
      <c r="A1144" t="s">
        <v>0</v>
      </c>
      <c r="B1144">
        <v>8</v>
      </c>
      <c r="C1144" t="s">
        <v>2</v>
      </c>
      <c r="D1144">
        <v>12</v>
      </c>
      <c r="E1144">
        <v>0</v>
      </c>
      <c r="F1144">
        <v>2</v>
      </c>
      <c r="G1144">
        <v>3</v>
      </c>
      <c r="H1144">
        <v>0</v>
      </c>
      <c r="I1144">
        <v>7</v>
      </c>
      <c r="J1144">
        <v>0</v>
      </c>
      <c r="K1144">
        <v>0</v>
      </c>
      <c r="L1144" t="b">
        <f t="shared" si="17"/>
        <v>1</v>
      </c>
    </row>
    <row r="1145" spans="1:12" x14ac:dyDescent="0.25">
      <c r="A1145" t="s">
        <v>0</v>
      </c>
      <c r="B1145">
        <v>8</v>
      </c>
      <c r="C1145" t="s">
        <v>1</v>
      </c>
      <c r="D1145">
        <v>13</v>
      </c>
      <c r="E1145">
        <v>0</v>
      </c>
      <c r="F1145">
        <v>3</v>
      </c>
      <c r="G1145">
        <v>3</v>
      </c>
      <c r="H1145">
        <v>0</v>
      </c>
      <c r="I1145">
        <v>7</v>
      </c>
      <c r="J1145">
        <v>0</v>
      </c>
      <c r="K1145">
        <v>0</v>
      </c>
      <c r="L1145" t="b">
        <f t="shared" si="17"/>
        <v>1</v>
      </c>
    </row>
    <row r="1146" spans="1:12" x14ac:dyDescent="0.25">
      <c r="A1146" t="s">
        <v>0</v>
      </c>
      <c r="B1146">
        <v>8</v>
      </c>
      <c r="C1146" t="s">
        <v>10</v>
      </c>
      <c r="D1146">
        <v>2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 t="b">
        <f t="shared" si="17"/>
        <v>1</v>
      </c>
    </row>
    <row r="1147" spans="1:12" x14ac:dyDescent="0.25">
      <c r="A1147" t="s">
        <v>0</v>
      </c>
      <c r="B1147">
        <v>9</v>
      </c>
      <c r="C1147" t="s">
        <v>2</v>
      </c>
      <c r="D1147">
        <v>20</v>
      </c>
      <c r="E1147">
        <v>0</v>
      </c>
      <c r="F1147">
        <v>2</v>
      </c>
      <c r="G1147">
        <v>7</v>
      </c>
      <c r="H1147">
        <v>0</v>
      </c>
      <c r="I1147">
        <v>11</v>
      </c>
      <c r="J1147">
        <v>0</v>
      </c>
      <c r="K1147">
        <v>0</v>
      </c>
      <c r="L1147" t="b">
        <f t="shared" si="17"/>
        <v>1</v>
      </c>
    </row>
    <row r="1148" spans="1:12" x14ac:dyDescent="0.25">
      <c r="A1148" t="s">
        <v>0</v>
      </c>
      <c r="B1148">
        <v>9</v>
      </c>
      <c r="C1148" t="s">
        <v>84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 t="b">
        <f t="shared" si="17"/>
        <v>1</v>
      </c>
    </row>
    <row r="1149" spans="1:12" x14ac:dyDescent="0.25">
      <c r="A1149" t="s">
        <v>0</v>
      </c>
      <c r="B1149">
        <v>9</v>
      </c>
      <c r="C1149" t="s">
        <v>1</v>
      </c>
      <c r="D1149">
        <v>25</v>
      </c>
      <c r="E1149">
        <v>0</v>
      </c>
      <c r="F1149">
        <v>5</v>
      </c>
      <c r="G1149">
        <v>9</v>
      </c>
      <c r="H1149">
        <v>0</v>
      </c>
      <c r="I1149">
        <v>11</v>
      </c>
      <c r="J1149">
        <v>0</v>
      </c>
      <c r="K1149">
        <v>0</v>
      </c>
      <c r="L1149" t="b">
        <f t="shared" si="17"/>
        <v>1</v>
      </c>
    </row>
    <row r="1150" spans="1:12" x14ac:dyDescent="0.25">
      <c r="A1150" t="s">
        <v>0</v>
      </c>
      <c r="B1150">
        <v>9</v>
      </c>
      <c r="C1150" t="s">
        <v>10</v>
      </c>
      <c r="D1150">
        <v>2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 t="b">
        <f t="shared" si="17"/>
        <v>1</v>
      </c>
    </row>
    <row r="1151" spans="1:12" x14ac:dyDescent="0.25">
      <c r="A1151" t="s">
        <v>0</v>
      </c>
      <c r="B1151">
        <v>10</v>
      </c>
      <c r="C1151" t="s">
        <v>2</v>
      </c>
      <c r="D1151">
        <v>14</v>
      </c>
      <c r="E1151">
        <v>0</v>
      </c>
      <c r="F1151">
        <v>0</v>
      </c>
      <c r="G1151">
        <v>4</v>
      </c>
      <c r="H1151">
        <v>0</v>
      </c>
      <c r="I1151">
        <v>10</v>
      </c>
      <c r="J1151">
        <v>0</v>
      </c>
      <c r="K1151">
        <v>0</v>
      </c>
      <c r="L1151" t="b">
        <f t="shared" si="17"/>
        <v>1</v>
      </c>
    </row>
    <row r="1152" spans="1:12" x14ac:dyDescent="0.25">
      <c r="A1152" t="s">
        <v>0</v>
      </c>
      <c r="B1152">
        <v>10</v>
      </c>
      <c r="C1152" t="s">
        <v>84</v>
      </c>
      <c r="D1152">
        <v>2</v>
      </c>
      <c r="E1152">
        <v>0</v>
      </c>
      <c r="F1152">
        <v>2</v>
      </c>
      <c r="G1152">
        <v>0</v>
      </c>
      <c r="H1152">
        <v>0</v>
      </c>
      <c r="I1152">
        <v>0</v>
      </c>
      <c r="J1152">
        <v>0</v>
      </c>
      <c r="K1152">
        <v>0</v>
      </c>
      <c r="L1152" t="b">
        <f t="shared" si="17"/>
        <v>1</v>
      </c>
    </row>
    <row r="1153" spans="1:12" x14ac:dyDescent="0.25">
      <c r="A1153" t="s">
        <v>0</v>
      </c>
      <c r="B1153">
        <v>10</v>
      </c>
      <c r="C1153" t="s">
        <v>3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 t="b">
        <f t="shared" si="17"/>
        <v>1</v>
      </c>
    </row>
    <row r="1154" spans="1:12" x14ac:dyDescent="0.25">
      <c r="A1154" t="s">
        <v>0</v>
      </c>
      <c r="B1154">
        <v>10</v>
      </c>
      <c r="C1154" t="s">
        <v>5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 t="b">
        <f t="shared" si="17"/>
        <v>1</v>
      </c>
    </row>
    <row r="1155" spans="1:12" x14ac:dyDescent="0.25">
      <c r="A1155" t="s">
        <v>0</v>
      </c>
      <c r="B1155">
        <v>10</v>
      </c>
      <c r="C1155" t="s">
        <v>6</v>
      </c>
      <c r="D1155">
        <v>3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2</v>
      </c>
      <c r="L1155" t="b">
        <f t="shared" si="17"/>
        <v>1</v>
      </c>
    </row>
    <row r="1156" spans="1:12" x14ac:dyDescent="0.25">
      <c r="A1156" t="s">
        <v>0</v>
      </c>
      <c r="B1156">
        <v>10</v>
      </c>
      <c r="C1156" t="s">
        <v>1</v>
      </c>
      <c r="D1156">
        <v>20</v>
      </c>
      <c r="E1156">
        <v>0</v>
      </c>
      <c r="F1156">
        <v>3</v>
      </c>
      <c r="G1156">
        <v>7</v>
      </c>
      <c r="H1156">
        <v>0</v>
      </c>
      <c r="I1156">
        <v>10</v>
      </c>
      <c r="J1156">
        <v>0</v>
      </c>
      <c r="K1156">
        <v>0</v>
      </c>
      <c r="L1156" t="b">
        <f t="shared" ref="L1156:L1219" si="18">SUM(E1156:K1156)=D1156</f>
        <v>1</v>
      </c>
    </row>
    <row r="1157" spans="1:12" x14ac:dyDescent="0.25">
      <c r="A1157" t="s">
        <v>0</v>
      </c>
      <c r="B1157">
        <v>11</v>
      </c>
      <c r="C1157" t="s">
        <v>2</v>
      </c>
      <c r="D1157">
        <v>10</v>
      </c>
      <c r="E1157">
        <v>0</v>
      </c>
      <c r="F1157">
        <v>0</v>
      </c>
      <c r="G1157">
        <v>3</v>
      </c>
      <c r="H1157">
        <v>0</v>
      </c>
      <c r="I1157">
        <v>7</v>
      </c>
      <c r="J1157">
        <v>0</v>
      </c>
      <c r="K1157">
        <v>0</v>
      </c>
      <c r="L1157" t="b">
        <f t="shared" si="18"/>
        <v>1</v>
      </c>
    </row>
    <row r="1158" spans="1:12" x14ac:dyDescent="0.25">
      <c r="A1158" t="s">
        <v>0</v>
      </c>
      <c r="B1158">
        <v>11</v>
      </c>
      <c r="C1158" t="s">
        <v>3</v>
      </c>
      <c r="D1158">
        <v>2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 t="b">
        <f t="shared" si="18"/>
        <v>1</v>
      </c>
    </row>
    <row r="1159" spans="1:12" x14ac:dyDescent="0.25">
      <c r="A1159" t="s">
        <v>0</v>
      </c>
      <c r="B1159">
        <v>11</v>
      </c>
      <c r="C1159" t="s">
        <v>5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 t="b">
        <f t="shared" si="18"/>
        <v>1</v>
      </c>
    </row>
    <row r="1160" spans="1:12" x14ac:dyDescent="0.25">
      <c r="A1160" t="s">
        <v>0</v>
      </c>
      <c r="B1160">
        <v>11</v>
      </c>
      <c r="C1160" t="s">
        <v>6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 t="b">
        <f t="shared" si="18"/>
        <v>1</v>
      </c>
    </row>
    <row r="1161" spans="1:12" x14ac:dyDescent="0.25">
      <c r="A1161" t="s">
        <v>0</v>
      </c>
      <c r="B1161">
        <v>11</v>
      </c>
      <c r="C1161" t="s">
        <v>1</v>
      </c>
      <c r="D1161">
        <v>13</v>
      </c>
      <c r="E1161">
        <v>0</v>
      </c>
      <c r="F1161">
        <v>1</v>
      </c>
      <c r="G1161">
        <v>4</v>
      </c>
      <c r="H1161">
        <v>1</v>
      </c>
      <c r="I1161">
        <v>7</v>
      </c>
      <c r="J1161">
        <v>0</v>
      </c>
      <c r="K1161">
        <v>0</v>
      </c>
      <c r="L1161" t="b">
        <f t="shared" si="18"/>
        <v>1</v>
      </c>
    </row>
    <row r="1162" spans="1:12" x14ac:dyDescent="0.25">
      <c r="A1162" t="s">
        <v>0</v>
      </c>
      <c r="B1162">
        <v>11</v>
      </c>
      <c r="C1162" t="s">
        <v>10</v>
      </c>
      <c r="D1162">
        <v>2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0</v>
      </c>
      <c r="L1162" t="b">
        <f t="shared" si="18"/>
        <v>1</v>
      </c>
    </row>
    <row r="1163" spans="1:12" x14ac:dyDescent="0.25">
      <c r="A1163" t="s">
        <v>0</v>
      </c>
      <c r="B1163">
        <v>11</v>
      </c>
      <c r="C1163" t="s">
        <v>4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 t="b">
        <f t="shared" si="18"/>
        <v>1</v>
      </c>
    </row>
    <row r="1164" spans="1:12" x14ac:dyDescent="0.25">
      <c r="A1164" t="s">
        <v>0</v>
      </c>
      <c r="B1164">
        <v>12</v>
      </c>
      <c r="C1164" t="s">
        <v>2</v>
      </c>
      <c r="D1164">
        <v>13</v>
      </c>
      <c r="E1164">
        <v>0</v>
      </c>
      <c r="F1164">
        <v>0</v>
      </c>
      <c r="G1164">
        <v>5</v>
      </c>
      <c r="H1164">
        <v>0</v>
      </c>
      <c r="I1164">
        <v>8</v>
      </c>
      <c r="J1164">
        <v>0</v>
      </c>
      <c r="K1164">
        <v>0</v>
      </c>
      <c r="L1164" t="b">
        <f t="shared" si="18"/>
        <v>1</v>
      </c>
    </row>
    <row r="1165" spans="1:12" x14ac:dyDescent="0.25">
      <c r="A1165" t="s">
        <v>0</v>
      </c>
      <c r="B1165">
        <v>12</v>
      </c>
      <c r="C1165" t="s">
        <v>6</v>
      </c>
      <c r="D1165">
        <v>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</v>
      </c>
      <c r="L1165" t="b">
        <f t="shared" si="18"/>
        <v>1</v>
      </c>
    </row>
    <row r="1166" spans="1:12" x14ac:dyDescent="0.25">
      <c r="A1166" t="s">
        <v>0</v>
      </c>
      <c r="B1166">
        <v>12</v>
      </c>
      <c r="C1166" t="s">
        <v>1</v>
      </c>
      <c r="D1166">
        <v>17</v>
      </c>
      <c r="E1166">
        <v>0</v>
      </c>
      <c r="F1166">
        <v>3</v>
      </c>
      <c r="G1166">
        <v>5</v>
      </c>
      <c r="H1166">
        <v>0</v>
      </c>
      <c r="I1166">
        <v>8</v>
      </c>
      <c r="J1166">
        <v>0</v>
      </c>
      <c r="K1166">
        <v>1</v>
      </c>
      <c r="L1166" t="b">
        <f t="shared" si="18"/>
        <v>1</v>
      </c>
    </row>
    <row r="1167" spans="1:12" x14ac:dyDescent="0.25">
      <c r="A1167" t="s">
        <v>0</v>
      </c>
      <c r="B1167">
        <v>12</v>
      </c>
      <c r="C1167" t="s">
        <v>10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2</v>
      </c>
      <c r="J1167">
        <v>0</v>
      </c>
      <c r="K1167">
        <v>0</v>
      </c>
      <c r="L1167" t="b">
        <f t="shared" si="18"/>
        <v>1</v>
      </c>
    </row>
    <row r="1168" spans="1:12" x14ac:dyDescent="0.25">
      <c r="A1168" t="s">
        <v>0</v>
      </c>
      <c r="B1168">
        <v>13</v>
      </c>
      <c r="C1168" t="s">
        <v>2</v>
      </c>
      <c r="D1168">
        <v>17</v>
      </c>
      <c r="E1168">
        <v>0</v>
      </c>
      <c r="F1168">
        <v>1</v>
      </c>
      <c r="G1168">
        <v>6</v>
      </c>
      <c r="H1168">
        <v>0</v>
      </c>
      <c r="I1168">
        <v>10</v>
      </c>
      <c r="J1168">
        <v>0</v>
      </c>
      <c r="K1168">
        <v>0</v>
      </c>
      <c r="L1168" t="b">
        <f t="shared" si="18"/>
        <v>1</v>
      </c>
    </row>
    <row r="1169" spans="1:12" x14ac:dyDescent="0.25">
      <c r="A1169" t="s">
        <v>0</v>
      </c>
      <c r="B1169">
        <v>13</v>
      </c>
      <c r="C1169" t="s">
        <v>6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 t="b">
        <f t="shared" si="18"/>
        <v>1</v>
      </c>
    </row>
    <row r="1170" spans="1:12" x14ac:dyDescent="0.25">
      <c r="A1170" t="s">
        <v>0</v>
      </c>
      <c r="B1170">
        <v>13</v>
      </c>
      <c r="C1170" t="s">
        <v>1</v>
      </c>
      <c r="D1170">
        <v>20</v>
      </c>
      <c r="E1170">
        <v>0</v>
      </c>
      <c r="F1170">
        <v>4</v>
      </c>
      <c r="G1170">
        <v>7</v>
      </c>
      <c r="H1170">
        <v>0</v>
      </c>
      <c r="I1170">
        <v>8</v>
      </c>
      <c r="J1170">
        <v>0</v>
      </c>
      <c r="K1170">
        <v>1</v>
      </c>
      <c r="L1170" t="b">
        <f t="shared" si="18"/>
        <v>1</v>
      </c>
    </row>
    <row r="1171" spans="1:12" x14ac:dyDescent="0.25">
      <c r="A1171" t="s">
        <v>0</v>
      </c>
      <c r="B1171">
        <v>13</v>
      </c>
      <c r="C1171" t="s">
        <v>10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 t="b">
        <f t="shared" si="18"/>
        <v>1</v>
      </c>
    </row>
    <row r="1172" spans="1:12" x14ac:dyDescent="0.25">
      <c r="A1172" t="s">
        <v>0</v>
      </c>
      <c r="B1172">
        <v>13</v>
      </c>
      <c r="C1172" t="s">
        <v>9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 t="b">
        <f t="shared" si="18"/>
        <v>1</v>
      </c>
    </row>
    <row r="1173" spans="1:12" x14ac:dyDescent="0.25">
      <c r="A1173" t="s">
        <v>0</v>
      </c>
      <c r="B1173">
        <v>14</v>
      </c>
      <c r="C1173" t="s">
        <v>2</v>
      </c>
      <c r="D1173">
        <v>14</v>
      </c>
      <c r="E1173">
        <v>0</v>
      </c>
      <c r="F1173">
        <v>2</v>
      </c>
      <c r="G1173">
        <v>4</v>
      </c>
      <c r="H1173">
        <v>0</v>
      </c>
      <c r="I1173">
        <v>8</v>
      </c>
      <c r="J1173">
        <v>0</v>
      </c>
      <c r="K1173">
        <v>0</v>
      </c>
      <c r="L1173" t="b">
        <f t="shared" si="18"/>
        <v>1</v>
      </c>
    </row>
    <row r="1174" spans="1:12" x14ac:dyDescent="0.25">
      <c r="A1174" t="s">
        <v>0</v>
      </c>
      <c r="B1174">
        <v>14</v>
      </c>
      <c r="C1174" t="s">
        <v>84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 t="b">
        <f t="shared" si="18"/>
        <v>1</v>
      </c>
    </row>
    <row r="1175" spans="1:12" x14ac:dyDescent="0.25">
      <c r="A1175" t="s">
        <v>0</v>
      </c>
      <c r="B1175">
        <v>14</v>
      </c>
      <c r="C1175" t="s">
        <v>3</v>
      </c>
      <c r="D1175">
        <v>3</v>
      </c>
      <c r="E1175">
        <v>0</v>
      </c>
      <c r="F1175">
        <v>1</v>
      </c>
      <c r="G1175">
        <v>2</v>
      </c>
      <c r="H1175">
        <v>0</v>
      </c>
      <c r="I1175">
        <v>0</v>
      </c>
      <c r="J1175">
        <v>0</v>
      </c>
      <c r="K1175">
        <v>0</v>
      </c>
      <c r="L1175" t="b">
        <f t="shared" si="18"/>
        <v>1</v>
      </c>
    </row>
    <row r="1176" spans="1:12" x14ac:dyDescent="0.25">
      <c r="A1176" t="s">
        <v>0</v>
      </c>
      <c r="B1176">
        <v>14</v>
      </c>
      <c r="C1176" t="s">
        <v>6</v>
      </c>
      <c r="D1176">
        <v>2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 t="b">
        <f t="shared" si="18"/>
        <v>1</v>
      </c>
    </row>
    <row r="1177" spans="1:12" x14ac:dyDescent="0.25">
      <c r="A1177" t="s">
        <v>0</v>
      </c>
      <c r="B1177">
        <v>14</v>
      </c>
      <c r="C1177" t="s">
        <v>1</v>
      </c>
      <c r="D1177">
        <v>21</v>
      </c>
      <c r="E1177">
        <v>0</v>
      </c>
      <c r="F1177">
        <v>2</v>
      </c>
      <c r="G1177">
        <v>9</v>
      </c>
      <c r="H1177">
        <v>1</v>
      </c>
      <c r="I1177">
        <v>8</v>
      </c>
      <c r="J1177">
        <v>0</v>
      </c>
      <c r="K1177">
        <v>1</v>
      </c>
      <c r="L1177" t="b">
        <f t="shared" si="18"/>
        <v>1</v>
      </c>
    </row>
    <row r="1178" spans="1:12" x14ac:dyDescent="0.25">
      <c r="A1178" t="s">
        <v>0</v>
      </c>
      <c r="B1178">
        <v>14</v>
      </c>
      <c r="C1178" t="s">
        <v>10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 t="b">
        <f t="shared" si="18"/>
        <v>1</v>
      </c>
    </row>
    <row r="1179" spans="1:12" x14ac:dyDescent="0.25">
      <c r="A1179" t="s">
        <v>0</v>
      </c>
      <c r="B1179">
        <v>14</v>
      </c>
      <c r="C1179" t="s">
        <v>9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 t="b">
        <f t="shared" si="18"/>
        <v>1</v>
      </c>
    </row>
    <row r="1180" spans="1:12" x14ac:dyDescent="0.25">
      <c r="A1180" t="s">
        <v>0</v>
      </c>
      <c r="B1180">
        <v>15</v>
      </c>
      <c r="C1180" t="s">
        <v>2</v>
      </c>
      <c r="D1180">
        <v>20</v>
      </c>
      <c r="E1180">
        <v>0</v>
      </c>
      <c r="F1180">
        <v>1</v>
      </c>
      <c r="G1180">
        <v>4</v>
      </c>
      <c r="H1180">
        <v>0</v>
      </c>
      <c r="I1180">
        <v>15</v>
      </c>
      <c r="J1180">
        <v>0</v>
      </c>
      <c r="K1180">
        <v>0</v>
      </c>
      <c r="L1180" t="b">
        <f t="shared" si="18"/>
        <v>1</v>
      </c>
    </row>
    <row r="1181" spans="1:12" x14ac:dyDescent="0.25">
      <c r="A1181" t="s">
        <v>0</v>
      </c>
      <c r="B1181">
        <v>15</v>
      </c>
      <c r="C1181" t="s">
        <v>84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 t="b">
        <f t="shared" si="18"/>
        <v>1</v>
      </c>
    </row>
    <row r="1182" spans="1:12" x14ac:dyDescent="0.25">
      <c r="A1182" t="s">
        <v>0</v>
      </c>
      <c r="B1182">
        <v>15</v>
      </c>
      <c r="C1182" t="s">
        <v>6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 t="b">
        <f t="shared" si="18"/>
        <v>1</v>
      </c>
    </row>
    <row r="1183" spans="1:12" x14ac:dyDescent="0.25">
      <c r="A1183" t="s">
        <v>0</v>
      </c>
      <c r="B1183">
        <v>15</v>
      </c>
      <c r="C1183" t="s">
        <v>1</v>
      </c>
      <c r="D1183">
        <v>23</v>
      </c>
      <c r="E1183">
        <v>0</v>
      </c>
      <c r="F1183">
        <v>3</v>
      </c>
      <c r="G1183">
        <v>4</v>
      </c>
      <c r="H1183">
        <v>0</v>
      </c>
      <c r="I1183">
        <v>15</v>
      </c>
      <c r="J1183">
        <v>0</v>
      </c>
      <c r="K1183">
        <v>1</v>
      </c>
      <c r="L1183" t="b">
        <f t="shared" si="18"/>
        <v>1</v>
      </c>
    </row>
    <row r="1184" spans="1:12" x14ac:dyDescent="0.25">
      <c r="A1184" t="s">
        <v>0</v>
      </c>
      <c r="B1184">
        <v>15</v>
      </c>
      <c r="C1184" t="s">
        <v>10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 t="b">
        <f t="shared" si="18"/>
        <v>1</v>
      </c>
    </row>
    <row r="1185" spans="1:12" x14ac:dyDescent="0.25">
      <c r="A1185" t="s">
        <v>0</v>
      </c>
      <c r="B1185">
        <v>15</v>
      </c>
      <c r="C1185" t="s">
        <v>11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 t="b">
        <f t="shared" si="18"/>
        <v>1</v>
      </c>
    </row>
    <row r="1186" spans="1:12" x14ac:dyDescent="0.25">
      <c r="A1186" t="s">
        <v>0</v>
      </c>
      <c r="B1186">
        <v>15</v>
      </c>
      <c r="C1186" t="s">
        <v>9</v>
      </c>
      <c r="D1186">
        <v>2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1</v>
      </c>
      <c r="L1186" t="b">
        <f t="shared" si="18"/>
        <v>1</v>
      </c>
    </row>
    <row r="1187" spans="1:12" x14ac:dyDescent="0.25">
      <c r="A1187" t="s">
        <v>0</v>
      </c>
      <c r="B1187">
        <v>16</v>
      </c>
      <c r="C1187" t="s">
        <v>2</v>
      </c>
      <c r="D1187">
        <v>9</v>
      </c>
      <c r="E1187">
        <v>0</v>
      </c>
      <c r="F1187">
        <v>0</v>
      </c>
      <c r="G1187">
        <v>5</v>
      </c>
      <c r="H1187">
        <v>0</v>
      </c>
      <c r="I1187">
        <v>4</v>
      </c>
      <c r="J1187">
        <v>0</v>
      </c>
      <c r="K1187">
        <v>0</v>
      </c>
      <c r="L1187" t="b">
        <f t="shared" si="18"/>
        <v>1</v>
      </c>
    </row>
    <row r="1188" spans="1:12" x14ac:dyDescent="0.25">
      <c r="A1188" t="s">
        <v>0</v>
      </c>
      <c r="B1188">
        <v>16</v>
      </c>
      <c r="C1188" t="s">
        <v>84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 t="b">
        <f t="shared" si="18"/>
        <v>1</v>
      </c>
    </row>
    <row r="1189" spans="1:12" x14ac:dyDescent="0.25">
      <c r="A1189" t="s">
        <v>0</v>
      </c>
      <c r="B1189">
        <v>16</v>
      </c>
      <c r="C1189" t="s">
        <v>3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b">
        <f t="shared" si="18"/>
        <v>1</v>
      </c>
    </row>
    <row r="1190" spans="1:12" x14ac:dyDescent="0.25">
      <c r="A1190" t="s">
        <v>0</v>
      </c>
      <c r="B1190">
        <v>16</v>
      </c>
      <c r="C1190" t="s">
        <v>5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b">
        <f t="shared" si="18"/>
        <v>1</v>
      </c>
    </row>
    <row r="1191" spans="1:12" x14ac:dyDescent="0.25">
      <c r="A1191" t="s">
        <v>0</v>
      </c>
      <c r="B1191">
        <v>16</v>
      </c>
      <c r="C1191" t="s">
        <v>6</v>
      </c>
      <c r="D1191">
        <v>4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3</v>
      </c>
      <c r="L1191" t="b">
        <f t="shared" si="18"/>
        <v>1</v>
      </c>
    </row>
    <row r="1192" spans="1:12" x14ac:dyDescent="0.25">
      <c r="A1192" t="s">
        <v>0</v>
      </c>
      <c r="B1192">
        <v>16</v>
      </c>
      <c r="C1192" t="s">
        <v>1</v>
      </c>
      <c r="D1192">
        <v>14</v>
      </c>
      <c r="E1192">
        <v>0</v>
      </c>
      <c r="F1192">
        <v>4</v>
      </c>
      <c r="G1192">
        <v>4</v>
      </c>
      <c r="H1192">
        <v>0</v>
      </c>
      <c r="I1192">
        <v>4</v>
      </c>
      <c r="J1192">
        <v>0</v>
      </c>
      <c r="K1192">
        <v>2</v>
      </c>
      <c r="L1192" t="b">
        <f t="shared" si="18"/>
        <v>1</v>
      </c>
    </row>
    <row r="1193" spans="1:12" x14ac:dyDescent="0.25">
      <c r="A1193" t="s">
        <v>0</v>
      </c>
      <c r="B1193">
        <v>16</v>
      </c>
      <c r="C1193" t="s">
        <v>10</v>
      </c>
      <c r="D1193">
        <v>2</v>
      </c>
      <c r="E1193">
        <v>0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 t="b">
        <f t="shared" si="18"/>
        <v>1</v>
      </c>
    </row>
    <row r="1194" spans="1:12" x14ac:dyDescent="0.25">
      <c r="A1194" t="s">
        <v>0</v>
      </c>
      <c r="B1194">
        <v>16</v>
      </c>
      <c r="C1194" t="s">
        <v>11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 t="b">
        <f t="shared" si="18"/>
        <v>1</v>
      </c>
    </row>
    <row r="1195" spans="1:12" x14ac:dyDescent="0.25">
      <c r="A1195" t="s">
        <v>0</v>
      </c>
      <c r="B1195">
        <v>16</v>
      </c>
      <c r="C1195" t="s">
        <v>4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 t="b">
        <f t="shared" si="18"/>
        <v>1</v>
      </c>
    </row>
    <row r="1196" spans="1:12" x14ac:dyDescent="0.25">
      <c r="A1196" t="s">
        <v>0</v>
      </c>
      <c r="B1196">
        <v>16</v>
      </c>
      <c r="C1196" t="s">
        <v>9</v>
      </c>
      <c r="D1196">
        <v>2</v>
      </c>
      <c r="E1196">
        <v>0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0</v>
      </c>
      <c r="L1196" t="b">
        <f t="shared" si="18"/>
        <v>1</v>
      </c>
    </row>
    <row r="1197" spans="1:12" x14ac:dyDescent="0.25">
      <c r="A1197" t="s">
        <v>0</v>
      </c>
      <c r="B1197">
        <v>17</v>
      </c>
      <c r="C1197" t="s">
        <v>2</v>
      </c>
      <c r="D1197">
        <v>6</v>
      </c>
      <c r="E1197">
        <v>0</v>
      </c>
      <c r="F1197">
        <v>1</v>
      </c>
      <c r="G1197">
        <v>1</v>
      </c>
      <c r="H1197">
        <v>0</v>
      </c>
      <c r="I1197">
        <v>4</v>
      </c>
      <c r="J1197">
        <v>0</v>
      </c>
      <c r="K1197">
        <v>0</v>
      </c>
      <c r="L1197" t="b">
        <f t="shared" si="18"/>
        <v>1</v>
      </c>
    </row>
    <row r="1198" spans="1:12" x14ac:dyDescent="0.25">
      <c r="A1198" t="s">
        <v>0</v>
      </c>
      <c r="B1198">
        <v>17</v>
      </c>
      <c r="C1198" t="s">
        <v>1</v>
      </c>
      <c r="D1198">
        <v>8</v>
      </c>
      <c r="E1198">
        <v>0</v>
      </c>
      <c r="F1198">
        <v>2</v>
      </c>
      <c r="G1198">
        <v>2</v>
      </c>
      <c r="H1198">
        <v>0</v>
      </c>
      <c r="I1198">
        <v>4</v>
      </c>
      <c r="J1198">
        <v>0</v>
      </c>
      <c r="K1198">
        <v>0</v>
      </c>
      <c r="L1198" t="b">
        <f t="shared" si="18"/>
        <v>1</v>
      </c>
    </row>
    <row r="1199" spans="1:12" x14ac:dyDescent="0.25">
      <c r="A1199" t="s">
        <v>0</v>
      </c>
      <c r="B1199">
        <v>17</v>
      </c>
      <c r="C1199" t="s">
        <v>10</v>
      </c>
      <c r="D1199">
        <v>3</v>
      </c>
      <c r="E1199">
        <v>0</v>
      </c>
      <c r="F1199">
        <v>0</v>
      </c>
      <c r="G1199">
        <v>1</v>
      </c>
      <c r="H1199">
        <v>0</v>
      </c>
      <c r="I1199">
        <v>2</v>
      </c>
      <c r="J1199">
        <v>0</v>
      </c>
      <c r="K1199">
        <v>0</v>
      </c>
      <c r="L1199" t="b">
        <f t="shared" si="18"/>
        <v>1</v>
      </c>
    </row>
    <row r="1200" spans="1:12" x14ac:dyDescent="0.25">
      <c r="A1200" t="s">
        <v>0</v>
      </c>
      <c r="B1200">
        <v>18</v>
      </c>
      <c r="C1200" t="s">
        <v>2</v>
      </c>
      <c r="D1200">
        <v>13</v>
      </c>
      <c r="E1200">
        <v>0</v>
      </c>
      <c r="F1200">
        <v>0</v>
      </c>
      <c r="G1200">
        <v>2</v>
      </c>
      <c r="H1200">
        <v>0</v>
      </c>
      <c r="I1200">
        <v>11</v>
      </c>
      <c r="J1200">
        <v>0</v>
      </c>
      <c r="K1200">
        <v>0</v>
      </c>
      <c r="L1200" t="b">
        <f t="shared" si="18"/>
        <v>1</v>
      </c>
    </row>
    <row r="1201" spans="1:12" x14ac:dyDescent="0.25">
      <c r="A1201" t="s">
        <v>0</v>
      </c>
      <c r="B1201">
        <v>18</v>
      </c>
      <c r="C1201" t="s">
        <v>3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 t="b">
        <f t="shared" si="18"/>
        <v>1</v>
      </c>
    </row>
    <row r="1202" spans="1:12" x14ac:dyDescent="0.25">
      <c r="A1202" t="s">
        <v>0</v>
      </c>
      <c r="B1202">
        <v>18</v>
      </c>
      <c r="C1202" t="s">
        <v>1</v>
      </c>
      <c r="D1202">
        <v>14</v>
      </c>
      <c r="E1202">
        <v>0</v>
      </c>
      <c r="F1202">
        <v>0</v>
      </c>
      <c r="G1202">
        <v>3</v>
      </c>
      <c r="H1202">
        <v>0</v>
      </c>
      <c r="I1202">
        <v>11</v>
      </c>
      <c r="J1202">
        <v>0</v>
      </c>
      <c r="K1202">
        <v>0</v>
      </c>
      <c r="L1202" t="b">
        <f t="shared" si="18"/>
        <v>1</v>
      </c>
    </row>
    <row r="1203" spans="1:12" x14ac:dyDescent="0.25">
      <c r="A1203" t="s">
        <v>0</v>
      </c>
      <c r="B1203">
        <v>18</v>
      </c>
      <c r="C1203" t="s">
        <v>10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1</v>
      </c>
      <c r="J1203">
        <v>0</v>
      </c>
      <c r="K1203">
        <v>0</v>
      </c>
      <c r="L1203" t="b">
        <f t="shared" si="18"/>
        <v>1</v>
      </c>
    </row>
    <row r="1204" spans="1:12" x14ac:dyDescent="0.25">
      <c r="A1204" t="s">
        <v>0</v>
      </c>
      <c r="B1204">
        <v>18</v>
      </c>
      <c r="C1204" t="s">
        <v>9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 t="b">
        <f t="shared" si="18"/>
        <v>1</v>
      </c>
    </row>
    <row r="1205" spans="1:12" x14ac:dyDescent="0.25">
      <c r="A1205" t="s">
        <v>0</v>
      </c>
      <c r="B1205">
        <v>19</v>
      </c>
      <c r="C1205" t="s">
        <v>2</v>
      </c>
      <c r="D1205">
        <v>20</v>
      </c>
      <c r="E1205">
        <v>0</v>
      </c>
      <c r="F1205">
        <v>1</v>
      </c>
      <c r="G1205">
        <v>5</v>
      </c>
      <c r="H1205">
        <v>0</v>
      </c>
      <c r="I1205">
        <v>14</v>
      </c>
      <c r="J1205">
        <v>0</v>
      </c>
      <c r="K1205">
        <v>0</v>
      </c>
      <c r="L1205" t="b">
        <f t="shared" si="18"/>
        <v>1</v>
      </c>
    </row>
    <row r="1206" spans="1:12" x14ac:dyDescent="0.25">
      <c r="A1206" t="s">
        <v>0</v>
      </c>
      <c r="B1206">
        <v>19</v>
      </c>
      <c r="C1206" t="s">
        <v>84</v>
      </c>
      <c r="D1206">
        <v>1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 t="b">
        <f t="shared" si="18"/>
        <v>1</v>
      </c>
    </row>
    <row r="1207" spans="1:12" x14ac:dyDescent="0.25">
      <c r="A1207" t="s">
        <v>0</v>
      </c>
      <c r="B1207">
        <v>19</v>
      </c>
      <c r="C1207" t="s">
        <v>6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</v>
      </c>
      <c r="L1207" t="b">
        <f t="shared" si="18"/>
        <v>1</v>
      </c>
    </row>
    <row r="1208" spans="1:12" x14ac:dyDescent="0.25">
      <c r="A1208" t="s">
        <v>0</v>
      </c>
      <c r="B1208">
        <v>19</v>
      </c>
      <c r="C1208" t="s">
        <v>1</v>
      </c>
      <c r="D1208">
        <v>23</v>
      </c>
      <c r="E1208">
        <v>0</v>
      </c>
      <c r="F1208">
        <v>1</v>
      </c>
      <c r="G1208">
        <v>5</v>
      </c>
      <c r="H1208">
        <v>0</v>
      </c>
      <c r="I1208">
        <v>14</v>
      </c>
      <c r="J1208">
        <v>0</v>
      </c>
      <c r="K1208">
        <v>3</v>
      </c>
      <c r="L1208" t="b">
        <f t="shared" si="18"/>
        <v>1</v>
      </c>
    </row>
    <row r="1209" spans="1:12" x14ac:dyDescent="0.25">
      <c r="A1209" t="s">
        <v>0</v>
      </c>
      <c r="B1209">
        <v>19</v>
      </c>
      <c r="C1209" t="s">
        <v>10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 t="b">
        <f t="shared" si="18"/>
        <v>1</v>
      </c>
    </row>
    <row r="1210" spans="1:12" x14ac:dyDescent="0.25">
      <c r="A1210" t="s">
        <v>0</v>
      </c>
      <c r="B1210">
        <v>19</v>
      </c>
      <c r="C1210" t="s">
        <v>9</v>
      </c>
      <c r="D1210">
        <v>2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1</v>
      </c>
      <c r="L1210" t="b">
        <f t="shared" si="18"/>
        <v>1</v>
      </c>
    </row>
    <row r="1211" spans="1:12" x14ac:dyDescent="0.25">
      <c r="A1211" t="s">
        <v>0</v>
      </c>
      <c r="B1211">
        <v>20</v>
      </c>
      <c r="C1211" t="s">
        <v>2</v>
      </c>
      <c r="D1211">
        <v>19</v>
      </c>
      <c r="E1211">
        <v>0</v>
      </c>
      <c r="F1211">
        <v>0</v>
      </c>
      <c r="G1211">
        <v>4</v>
      </c>
      <c r="H1211">
        <v>0</v>
      </c>
      <c r="I1211">
        <v>15</v>
      </c>
      <c r="J1211">
        <v>0</v>
      </c>
      <c r="K1211">
        <v>0</v>
      </c>
      <c r="L1211" t="b">
        <f t="shared" si="18"/>
        <v>1</v>
      </c>
    </row>
    <row r="1212" spans="1:12" x14ac:dyDescent="0.25">
      <c r="A1212" t="s">
        <v>0</v>
      </c>
      <c r="B1212">
        <v>20</v>
      </c>
      <c r="C1212" t="s">
        <v>84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 t="b">
        <f t="shared" si="18"/>
        <v>1</v>
      </c>
    </row>
    <row r="1213" spans="1:12" x14ac:dyDescent="0.25">
      <c r="A1213" t="s">
        <v>0</v>
      </c>
      <c r="B1213">
        <v>20</v>
      </c>
      <c r="C1213" t="s">
        <v>3</v>
      </c>
      <c r="D1213">
        <v>2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b">
        <f t="shared" si="18"/>
        <v>1</v>
      </c>
    </row>
    <row r="1214" spans="1:12" x14ac:dyDescent="0.25">
      <c r="A1214" t="s">
        <v>0</v>
      </c>
      <c r="B1214">
        <v>20</v>
      </c>
      <c r="C1214" t="s">
        <v>1</v>
      </c>
      <c r="D1214">
        <v>21</v>
      </c>
      <c r="E1214">
        <v>0</v>
      </c>
      <c r="F1214">
        <v>0</v>
      </c>
      <c r="G1214">
        <v>5</v>
      </c>
      <c r="H1214">
        <v>0</v>
      </c>
      <c r="I1214">
        <v>15</v>
      </c>
      <c r="J1214">
        <v>0</v>
      </c>
      <c r="K1214">
        <v>1</v>
      </c>
      <c r="L1214" t="b">
        <f t="shared" si="18"/>
        <v>1</v>
      </c>
    </row>
    <row r="1215" spans="1:12" x14ac:dyDescent="0.25">
      <c r="A1215" t="s">
        <v>0</v>
      </c>
      <c r="B1215">
        <v>20</v>
      </c>
      <c r="C1215" t="s">
        <v>10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v>2</v>
      </c>
      <c r="J1215">
        <v>0</v>
      </c>
      <c r="K1215">
        <v>0</v>
      </c>
      <c r="L1215" t="b">
        <f t="shared" si="18"/>
        <v>1</v>
      </c>
    </row>
    <row r="1216" spans="1:12" x14ac:dyDescent="0.25">
      <c r="A1216" t="s">
        <v>0</v>
      </c>
      <c r="B1216">
        <v>20</v>
      </c>
      <c r="C1216" t="s">
        <v>4</v>
      </c>
      <c r="D1216">
        <v>2</v>
      </c>
      <c r="E1216">
        <v>0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0</v>
      </c>
      <c r="L1216" t="b">
        <f t="shared" si="18"/>
        <v>1</v>
      </c>
    </row>
    <row r="1217" spans="1:12" x14ac:dyDescent="0.25">
      <c r="A1217" t="s">
        <v>0</v>
      </c>
      <c r="B1217">
        <v>20</v>
      </c>
      <c r="C1217" t="s">
        <v>9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 t="b">
        <f t="shared" si="18"/>
        <v>1</v>
      </c>
    </row>
    <row r="1218" spans="1:12" x14ac:dyDescent="0.25">
      <c r="A1218" t="s">
        <v>0</v>
      </c>
      <c r="B1218">
        <v>21</v>
      </c>
      <c r="C1218" t="s">
        <v>2</v>
      </c>
      <c r="D1218">
        <v>23</v>
      </c>
      <c r="E1218">
        <v>0</v>
      </c>
      <c r="F1218">
        <v>1</v>
      </c>
      <c r="G1218">
        <v>4</v>
      </c>
      <c r="H1218">
        <v>0</v>
      </c>
      <c r="I1218">
        <v>18</v>
      </c>
      <c r="J1218">
        <v>0</v>
      </c>
      <c r="K1218">
        <v>0</v>
      </c>
      <c r="L1218" t="b">
        <f t="shared" si="18"/>
        <v>1</v>
      </c>
    </row>
    <row r="1219" spans="1:12" x14ac:dyDescent="0.25">
      <c r="A1219" t="s">
        <v>0</v>
      </c>
      <c r="B1219">
        <v>21</v>
      </c>
      <c r="C1219" t="s">
        <v>84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 t="b">
        <f t="shared" si="18"/>
        <v>1</v>
      </c>
    </row>
    <row r="1220" spans="1:12" x14ac:dyDescent="0.25">
      <c r="A1220" t="s">
        <v>0</v>
      </c>
      <c r="B1220">
        <v>21</v>
      </c>
      <c r="C1220" t="s">
        <v>3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 t="b">
        <f t="shared" ref="L1220:L1283" si="19">SUM(E1220:K1220)=D1220</f>
        <v>1</v>
      </c>
    </row>
    <row r="1221" spans="1:12" x14ac:dyDescent="0.25">
      <c r="A1221" t="s">
        <v>0</v>
      </c>
      <c r="B1221">
        <v>21</v>
      </c>
      <c r="C1221" t="s">
        <v>1</v>
      </c>
      <c r="D1221">
        <v>30</v>
      </c>
      <c r="E1221">
        <v>0</v>
      </c>
      <c r="F1221">
        <v>7</v>
      </c>
      <c r="G1221">
        <v>4</v>
      </c>
      <c r="H1221">
        <v>0</v>
      </c>
      <c r="I1221">
        <v>18</v>
      </c>
      <c r="J1221">
        <v>0</v>
      </c>
      <c r="K1221">
        <v>1</v>
      </c>
      <c r="L1221" t="b">
        <f t="shared" si="19"/>
        <v>1</v>
      </c>
    </row>
    <row r="1222" spans="1:12" x14ac:dyDescent="0.25">
      <c r="A1222" t="s">
        <v>0</v>
      </c>
      <c r="B1222">
        <v>21</v>
      </c>
      <c r="C1222" t="s">
        <v>10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 t="b">
        <f t="shared" si="19"/>
        <v>1</v>
      </c>
    </row>
    <row r="1223" spans="1:12" x14ac:dyDescent="0.25">
      <c r="A1223" t="s">
        <v>0</v>
      </c>
      <c r="B1223">
        <v>21</v>
      </c>
      <c r="C1223" t="s">
        <v>9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 t="b">
        <f t="shared" si="19"/>
        <v>1</v>
      </c>
    </row>
    <row r="1224" spans="1:12" x14ac:dyDescent="0.25">
      <c r="A1224" t="s">
        <v>0</v>
      </c>
      <c r="B1224">
        <v>22</v>
      </c>
      <c r="C1224" t="s">
        <v>2</v>
      </c>
      <c r="D1224">
        <v>14</v>
      </c>
      <c r="E1224">
        <v>0</v>
      </c>
      <c r="F1224">
        <v>0</v>
      </c>
      <c r="G1224">
        <v>6</v>
      </c>
      <c r="H1224">
        <v>0</v>
      </c>
      <c r="I1224">
        <v>8</v>
      </c>
      <c r="J1224">
        <v>0</v>
      </c>
      <c r="K1224">
        <v>0</v>
      </c>
      <c r="L1224" t="b">
        <f t="shared" si="19"/>
        <v>1</v>
      </c>
    </row>
    <row r="1225" spans="1:12" x14ac:dyDescent="0.25">
      <c r="A1225" t="s">
        <v>0</v>
      </c>
      <c r="B1225">
        <v>22</v>
      </c>
      <c r="C1225" t="s">
        <v>1</v>
      </c>
      <c r="D1225">
        <v>13</v>
      </c>
      <c r="E1225">
        <v>0</v>
      </c>
      <c r="F1225">
        <v>0</v>
      </c>
      <c r="G1225">
        <v>6</v>
      </c>
      <c r="H1225">
        <v>0</v>
      </c>
      <c r="I1225">
        <v>7</v>
      </c>
      <c r="J1225">
        <v>0</v>
      </c>
      <c r="K1225">
        <v>0</v>
      </c>
      <c r="L1225" t="b">
        <f t="shared" si="19"/>
        <v>1</v>
      </c>
    </row>
    <row r="1226" spans="1:12" x14ac:dyDescent="0.25">
      <c r="A1226" t="s">
        <v>0</v>
      </c>
      <c r="B1226">
        <v>22</v>
      </c>
      <c r="C1226" t="s">
        <v>10</v>
      </c>
      <c r="D1226">
        <v>2</v>
      </c>
      <c r="E1226">
        <v>0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 t="b">
        <f t="shared" si="19"/>
        <v>1</v>
      </c>
    </row>
    <row r="1227" spans="1:12" x14ac:dyDescent="0.25">
      <c r="A1227" t="s">
        <v>0</v>
      </c>
      <c r="B1227">
        <v>23</v>
      </c>
      <c r="C1227" t="s">
        <v>2</v>
      </c>
      <c r="D1227">
        <v>12</v>
      </c>
      <c r="E1227">
        <v>0</v>
      </c>
      <c r="F1227">
        <v>0</v>
      </c>
      <c r="G1227">
        <v>2</v>
      </c>
      <c r="H1227">
        <v>0</v>
      </c>
      <c r="I1227">
        <v>10</v>
      </c>
      <c r="J1227">
        <v>0</v>
      </c>
      <c r="K1227">
        <v>0</v>
      </c>
      <c r="L1227" t="b">
        <f t="shared" si="19"/>
        <v>1</v>
      </c>
    </row>
    <row r="1228" spans="1:12" x14ac:dyDescent="0.25">
      <c r="A1228" t="s">
        <v>0</v>
      </c>
      <c r="B1228">
        <v>23</v>
      </c>
      <c r="C1228" t="s">
        <v>1</v>
      </c>
      <c r="D1228">
        <v>13</v>
      </c>
      <c r="E1228">
        <v>0</v>
      </c>
      <c r="F1228">
        <v>1</v>
      </c>
      <c r="G1228">
        <v>2</v>
      </c>
      <c r="H1228">
        <v>0</v>
      </c>
      <c r="I1228">
        <v>10</v>
      </c>
      <c r="J1228">
        <v>0</v>
      </c>
      <c r="K1228">
        <v>0</v>
      </c>
      <c r="L1228" t="b">
        <f t="shared" si="19"/>
        <v>1</v>
      </c>
    </row>
    <row r="1229" spans="1:12" x14ac:dyDescent="0.25">
      <c r="A1229" t="s">
        <v>0</v>
      </c>
      <c r="B1229">
        <v>23</v>
      </c>
      <c r="C1229" t="s">
        <v>10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 t="b">
        <f t="shared" si="19"/>
        <v>1</v>
      </c>
    </row>
    <row r="1230" spans="1:12" x14ac:dyDescent="0.25">
      <c r="A1230" t="s">
        <v>0</v>
      </c>
      <c r="B1230">
        <v>24</v>
      </c>
      <c r="C1230" t="s">
        <v>2</v>
      </c>
      <c r="D1230">
        <v>17</v>
      </c>
      <c r="E1230">
        <v>0</v>
      </c>
      <c r="F1230">
        <v>1</v>
      </c>
      <c r="G1230">
        <v>7</v>
      </c>
      <c r="H1230">
        <v>0</v>
      </c>
      <c r="I1230">
        <v>9</v>
      </c>
      <c r="J1230">
        <v>0</v>
      </c>
      <c r="K1230">
        <v>0</v>
      </c>
      <c r="L1230" t="b">
        <f t="shared" si="19"/>
        <v>1</v>
      </c>
    </row>
    <row r="1231" spans="1:12" x14ac:dyDescent="0.25">
      <c r="A1231" t="s">
        <v>0</v>
      </c>
      <c r="B1231">
        <v>24</v>
      </c>
      <c r="C1231" t="s">
        <v>3</v>
      </c>
      <c r="D1231">
        <v>2</v>
      </c>
      <c r="E1231">
        <v>0</v>
      </c>
      <c r="F1231">
        <v>1</v>
      </c>
      <c r="G1231">
        <v>1</v>
      </c>
      <c r="H1231">
        <v>0</v>
      </c>
      <c r="I1231">
        <v>0</v>
      </c>
      <c r="J1231">
        <v>0</v>
      </c>
      <c r="K1231">
        <v>0</v>
      </c>
      <c r="L1231" t="b">
        <f t="shared" si="19"/>
        <v>1</v>
      </c>
    </row>
    <row r="1232" spans="1:12" x14ac:dyDescent="0.25">
      <c r="A1232" t="s">
        <v>0</v>
      </c>
      <c r="B1232">
        <v>24</v>
      </c>
      <c r="C1232" t="s">
        <v>5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 t="b">
        <f t="shared" si="19"/>
        <v>1</v>
      </c>
    </row>
    <row r="1233" spans="1:12" x14ac:dyDescent="0.25">
      <c r="A1233" t="s">
        <v>0</v>
      </c>
      <c r="B1233">
        <v>24</v>
      </c>
      <c r="C1233" t="s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6</v>
      </c>
      <c r="L1233" t="b">
        <f t="shared" si="19"/>
        <v>1</v>
      </c>
    </row>
    <row r="1234" spans="1:12" x14ac:dyDescent="0.25">
      <c r="A1234" t="s">
        <v>0</v>
      </c>
      <c r="B1234">
        <v>24</v>
      </c>
      <c r="C1234" t="s">
        <v>1</v>
      </c>
      <c r="D1234">
        <v>28</v>
      </c>
      <c r="E1234">
        <v>0</v>
      </c>
      <c r="F1234">
        <v>5</v>
      </c>
      <c r="G1234">
        <v>10</v>
      </c>
      <c r="H1234">
        <v>0</v>
      </c>
      <c r="I1234">
        <v>8</v>
      </c>
      <c r="J1234">
        <v>0</v>
      </c>
      <c r="K1234">
        <v>5</v>
      </c>
      <c r="L1234" t="b">
        <f t="shared" si="19"/>
        <v>1</v>
      </c>
    </row>
    <row r="1235" spans="1:12" x14ac:dyDescent="0.25">
      <c r="A1235" t="s">
        <v>0</v>
      </c>
      <c r="B1235">
        <v>24</v>
      </c>
      <c r="C1235" t="s">
        <v>10</v>
      </c>
      <c r="D1235">
        <v>1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 t="b">
        <f t="shared" si="19"/>
        <v>1</v>
      </c>
    </row>
    <row r="1236" spans="1:12" x14ac:dyDescent="0.25">
      <c r="A1236" t="s">
        <v>0</v>
      </c>
      <c r="B1236">
        <v>24</v>
      </c>
      <c r="C1236" t="s">
        <v>4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 t="b">
        <f t="shared" si="19"/>
        <v>1</v>
      </c>
    </row>
    <row r="1237" spans="1:12" x14ac:dyDescent="0.25">
      <c r="A1237" t="s">
        <v>0</v>
      </c>
      <c r="B1237">
        <v>24</v>
      </c>
      <c r="C1237" t="s">
        <v>9</v>
      </c>
      <c r="D1237">
        <v>4</v>
      </c>
      <c r="E1237">
        <v>0</v>
      </c>
      <c r="F1237">
        <v>3</v>
      </c>
      <c r="G1237">
        <v>0</v>
      </c>
      <c r="H1237">
        <v>0</v>
      </c>
      <c r="I1237">
        <v>0</v>
      </c>
      <c r="J1237">
        <v>0</v>
      </c>
      <c r="K1237">
        <v>1</v>
      </c>
      <c r="L1237" t="b">
        <f t="shared" si="19"/>
        <v>1</v>
      </c>
    </row>
    <row r="1238" spans="1:12" x14ac:dyDescent="0.25">
      <c r="A1238" t="s">
        <v>0</v>
      </c>
      <c r="B1238">
        <v>25</v>
      </c>
      <c r="C1238" t="s">
        <v>2</v>
      </c>
      <c r="D1238">
        <v>4</v>
      </c>
      <c r="E1238">
        <v>0</v>
      </c>
      <c r="F1238">
        <v>0</v>
      </c>
      <c r="G1238">
        <v>1</v>
      </c>
      <c r="H1238">
        <v>0</v>
      </c>
      <c r="I1238">
        <v>3</v>
      </c>
      <c r="J1238">
        <v>0</v>
      </c>
      <c r="K1238">
        <v>0</v>
      </c>
      <c r="L1238" t="b">
        <f t="shared" si="19"/>
        <v>1</v>
      </c>
    </row>
    <row r="1239" spans="1:12" x14ac:dyDescent="0.25">
      <c r="A1239" t="s">
        <v>0</v>
      </c>
      <c r="B1239">
        <v>25</v>
      </c>
      <c r="C1239" t="s">
        <v>1</v>
      </c>
      <c r="D1239">
        <v>4</v>
      </c>
      <c r="E1239">
        <v>0</v>
      </c>
      <c r="F1239">
        <v>0</v>
      </c>
      <c r="G1239">
        <v>1</v>
      </c>
      <c r="H1239">
        <v>0</v>
      </c>
      <c r="I1239">
        <v>3</v>
      </c>
      <c r="J1239">
        <v>0</v>
      </c>
      <c r="K1239">
        <v>0</v>
      </c>
      <c r="L1239" t="b">
        <f t="shared" si="19"/>
        <v>1</v>
      </c>
    </row>
    <row r="1240" spans="1:12" x14ac:dyDescent="0.25">
      <c r="A1240" t="s">
        <v>0</v>
      </c>
      <c r="B1240">
        <v>25</v>
      </c>
      <c r="C1240" t="s">
        <v>10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 t="b">
        <f t="shared" si="19"/>
        <v>1</v>
      </c>
    </row>
    <row r="1241" spans="1:12" x14ac:dyDescent="0.25">
      <c r="A1241" t="s">
        <v>0</v>
      </c>
      <c r="B1241">
        <v>26</v>
      </c>
      <c r="C1241" t="s">
        <v>2</v>
      </c>
      <c r="D1241">
        <v>8</v>
      </c>
      <c r="E1241">
        <v>0</v>
      </c>
      <c r="F1241">
        <v>0</v>
      </c>
      <c r="G1241">
        <v>3</v>
      </c>
      <c r="H1241">
        <v>0</v>
      </c>
      <c r="I1241">
        <v>5</v>
      </c>
      <c r="J1241">
        <v>0</v>
      </c>
      <c r="K1241">
        <v>0</v>
      </c>
      <c r="L1241" t="b">
        <f t="shared" si="19"/>
        <v>1</v>
      </c>
    </row>
    <row r="1242" spans="1:12" x14ac:dyDescent="0.25">
      <c r="A1242" t="s">
        <v>0</v>
      </c>
      <c r="B1242">
        <v>26</v>
      </c>
      <c r="C1242" t="s">
        <v>84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 t="b">
        <f t="shared" si="19"/>
        <v>1</v>
      </c>
    </row>
    <row r="1243" spans="1:12" x14ac:dyDescent="0.25">
      <c r="A1243" t="s">
        <v>0</v>
      </c>
      <c r="B1243">
        <v>26</v>
      </c>
      <c r="C1243" t="s">
        <v>1</v>
      </c>
      <c r="D1243">
        <v>8</v>
      </c>
      <c r="E1243">
        <v>0</v>
      </c>
      <c r="F1243">
        <v>0</v>
      </c>
      <c r="G1243">
        <v>3</v>
      </c>
      <c r="H1243">
        <v>0</v>
      </c>
      <c r="I1243">
        <v>4</v>
      </c>
      <c r="J1243">
        <v>0</v>
      </c>
      <c r="K1243">
        <v>1</v>
      </c>
      <c r="L1243" t="b">
        <f t="shared" si="19"/>
        <v>1</v>
      </c>
    </row>
    <row r="1244" spans="1:12" x14ac:dyDescent="0.25">
      <c r="A1244" t="s">
        <v>0</v>
      </c>
      <c r="B1244">
        <v>26</v>
      </c>
      <c r="C1244" t="s">
        <v>10</v>
      </c>
      <c r="D1244">
        <v>2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 t="b">
        <f t="shared" si="19"/>
        <v>1</v>
      </c>
    </row>
    <row r="1245" spans="1:12" x14ac:dyDescent="0.25">
      <c r="A1245" t="s">
        <v>0</v>
      </c>
      <c r="B1245">
        <v>27</v>
      </c>
      <c r="C1245" t="s">
        <v>2</v>
      </c>
      <c r="D1245">
        <v>13</v>
      </c>
      <c r="E1245">
        <v>0</v>
      </c>
      <c r="F1245">
        <v>0</v>
      </c>
      <c r="G1245">
        <v>4</v>
      </c>
      <c r="H1245">
        <v>0</v>
      </c>
      <c r="I1245">
        <v>9</v>
      </c>
      <c r="J1245">
        <v>0</v>
      </c>
      <c r="K1245">
        <v>0</v>
      </c>
      <c r="L1245" t="b">
        <f t="shared" si="19"/>
        <v>1</v>
      </c>
    </row>
    <row r="1246" spans="1:12" x14ac:dyDescent="0.25">
      <c r="A1246" t="s">
        <v>0</v>
      </c>
      <c r="B1246">
        <v>27</v>
      </c>
      <c r="C1246" t="s">
        <v>3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b">
        <f t="shared" si="19"/>
        <v>1</v>
      </c>
    </row>
    <row r="1247" spans="1:12" x14ac:dyDescent="0.25">
      <c r="A1247" t="s">
        <v>0</v>
      </c>
      <c r="B1247">
        <v>27</v>
      </c>
      <c r="C1247" t="s">
        <v>1</v>
      </c>
      <c r="D1247">
        <v>13</v>
      </c>
      <c r="E1247">
        <v>0</v>
      </c>
      <c r="F1247">
        <v>0</v>
      </c>
      <c r="G1247">
        <v>4</v>
      </c>
      <c r="H1247">
        <v>0</v>
      </c>
      <c r="I1247">
        <v>9</v>
      </c>
      <c r="J1247">
        <v>0</v>
      </c>
      <c r="K1247">
        <v>0</v>
      </c>
      <c r="L1247" t="b">
        <f t="shared" si="19"/>
        <v>1</v>
      </c>
    </row>
    <row r="1248" spans="1:12" x14ac:dyDescent="0.25">
      <c r="A1248" t="s">
        <v>0</v>
      </c>
      <c r="B1248">
        <v>27</v>
      </c>
      <c r="C1248" t="s">
        <v>10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2</v>
      </c>
      <c r="J1248">
        <v>0</v>
      </c>
      <c r="K1248">
        <v>0</v>
      </c>
      <c r="L1248" t="b">
        <f t="shared" si="19"/>
        <v>1</v>
      </c>
    </row>
    <row r="1249" spans="1:12" x14ac:dyDescent="0.25">
      <c r="A1249" t="s">
        <v>0</v>
      </c>
      <c r="B1249">
        <v>27</v>
      </c>
      <c r="C1249" t="s">
        <v>4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 t="b">
        <f t="shared" si="19"/>
        <v>1</v>
      </c>
    </row>
    <row r="1250" spans="1:12" x14ac:dyDescent="0.25">
      <c r="A1250" t="s">
        <v>0</v>
      </c>
      <c r="B1250">
        <v>28</v>
      </c>
      <c r="C1250" t="s">
        <v>2</v>
      </c>
      <c r="D1250">
        <v>17</v>
      </c>
      <c r="E1250">
        <v>0</v>
      </c>
      <c r="F1250">
        <v>0</v>
      </c>
      <c r="G1250">
        <v>7</v>
      </c>
      <c r="H1250">
        <v>0</v>
      </c>
      <c r="I1250">
        <v>10</v>
      </c>
      <c r="J1250">
        <v>0</v>
      </c>
      <c r="K1250">
        <v>0</v>
      </c>
      <c r="L1250" t="b">
        <f t="shared" si="19"/>
        <v>1</v>
      </c>
    </row>
    <row r="1251" spans="1:12" x14ac:dyDescent="0.25">
      <c r="A1251" t="s">
        <v>0</v>
      </c>
      <c r="B1251">
        <v>28</v>
      </c>
      <c r="C1251" t="s">
        <v>6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 t="b">
        <f t="shared" si="19"/>
        <v>1</v>
      </c>
    </row>
    <row r="1252" spans="1:12" x14ac:dyDescent="0.25">
      <c r="A1252" t="s">
        <v>0</v>
      </c>
      <c r="B1252">
        <v>28</v>
      </c>
      <c r="C1252" t="s">
        <v>1</v>
      </c>
      <c r="D1252">
        <v>20</v>
      </c>
      <c r="E1252">
        <v>0</v>
      </c>
      <c r="F1252">
        <v>3</v>
      </c>
      <c r="G1252">
        <v>6</v>
      </c>
      <c r="H1252">
        <v>0</v>
      </c>
      <c r="I1252">
        <v>10</v>
      </c>
      <c r="J1252">
        <v>0</v>
      </c>
      <c r="K1252">
        <v>1</v>
      </c>
      <c r="L1252" t="b">
        <f t="shared" si="19"/>
        <v>1</v>
      </c>
    </row>
    <row r="1253" spans="1:12" x14ac:dyDescent="0.25">
      <c r="A1253" t="s">
        <v>0</v>
      </c>
      <c r="B1253">
        <v>28</v>
      </c>
      <c r="C1253" t="s">
        <v>10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 t="b">
        <f t="shared" si="19"/>
        <v>1</v>
      </c>
    </row>
    <row r="1254" spans="1:12" x14ac:dyDescent="0.25">
      <c r="A1254" t="s">
        <v>0</v>
      </c>
      <c r="B1254">
        <v>29</v>
      </c>
      <c r="C1254" t="s">
        <v>2</v>
      </c>
      <c r="D1254">
        <v>19</v>
      </c>
      <c r="E1254">
        <v>0</v>
      </c>
      <c r="F1254">
        <v>0</v>
      </c>
      <c r="G1254">
        <v>5</v>
      </c>
      <c r="H1254">
        <v>0</v>
      </c>
      <c r="I1254">
        <v>14</v>
      </c>
      <c r="J1254">
        <v>0</v>
      </c>
      <c r="K1254">
        <v>0</v>
      </c>
      <c r="L1254" t="b">
        <f t="shared" si="19"/>
        <v>1</v>
      </c>
    </row>
    <row r="1255" spans="1:12" x14ac:dyDescent="0.25">
      <c r="A1255" t="s">
        <v>0</v>
      </c>
      <c r="B1255">
        <v>29</v>
      </c>
      <c r="C1255" t="s">
        <v>1</v>
      </c>
      <c r="D1255">
        <v>17</v>
      </c>
      <c r="E1255">
        <v>0</v>
      </c>
      <c r="F1255">
        <v>0</v>
      </c>
      <c r="G1255">
        <v>5</v>
      </c>
      <c r="H1255">
        <v>0</v>
      </c>
      <c r="I1255">
        <v>12</v>
      </c>
      <c r="J1255">
        <v>0</v>
      </c>
      <c r="K1255">
        <v>0</v>
      </c>
      <c r="L1255" t="b">
        <f t="shared" si="19"/>
        <v>1</v>
      </c>
    </row>
    <row r="1256" spans="1:12" x14ac:dyDescent="0.25">
      <c r="A1256" t="s">
        <v>0</v>
      </c>
      <c r="B1256">
        <v>29</v>
      </c>
      <c r="C1256" t="s">
        <v>4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 t="b">
        <f t="shared" si="19"/>
        <v>1</v>
      </c>
    </row>
    <row r="1257" spans="1:12" x14ac:dyDescent="0.25">
      <c r="A1257" t="s">
        <v>0</v>
      </c>
      <c r="B1257">
        <v>30</v>
      </c>
      <c r="C1257" t="s">
        <v>2</v>
      </c>
      <c r="D1257">
        <v>18</v>
      </c>
      <c r="E1257">
        <v>0</v>
      </c>
      <c r="F1257">
        <v>0</v>
      </c>
      <c r="G1257">
        <v>5</v>
      </c>
      <c r="H1257">
        <v>0</v>
      </c>
      <c r="I1257">
        <v>13</v>
      </c>
      <c r="J1257">
        <v>0</v>
      </c>
      <c r="K1257">
        <v>0</v>
      </c>
      <c r="L1257" t="b">
        <f t="shared" si="19"/>
        <v>1</v>
      </c>
    </row>
    <row r="1258" spans="1:12" x14ac:dyDescent="0.25">
      <c r="A1258" t="s">
        <v>0</v>
      </c>
      <c r="B1258">
        <v>30</v>
      </c>
      <c r="C1258" t="s">
        <v>3</v>
      </c>
      <c r="D1258">
        <v>5</v>
      </c>
      <c r="E1258">
        <v>1</v>
      </c>
      <c r="F1258">
        <v>1</v>
      </c>
      <c r="G1258">
        <v>3</v>
      </c>
      <c r="H1258">
        <v>0</v>
      </c>
      <c r="I1258">
        <v>0</v>
      </c>
      <c r="J1258">
        <v>0</v>
      </c>
      <c r="K1258">
        <v>0</v>
      </c>
      <c r="L1258" t="b">
        <f t="shared" si="19"/>
        <v>1</v>
      </c>
    </row>
    <row r="1259" spans="1:12" x14ac:dyDescent="0.25">
      <c r="A1259" t="s">
        <v>0</v>
      </c>
      <c r="B1259">
        <v>30</v>
      </c>
      <c r="C1259" t="s">
        <v>1</v>
      </c>
      <c r="D1259">
        <v>25</v>
      </c>
      <c r="E1259">
        <v>0</v>
      </c>
      <c r="F1259">
        <v>3</v>
      </c>
      <c r="G1259">
        <v>9</v>
      </c>
      <c r="H1259">
        <v>0</v>
      </c>
      <c r="I1259">
        <v>13</v>
      </c>
      <c r="J1259">
        <v>0</v>
      </c>
      <c r="K1259">
        <v>0</v>
      </c>
      <c r="L1259" t="b">
        <f t="shared" si="19"/>
        <v>1</v>
      </c>
    </row>
    <row r="1260" spans="1:12" x14ac:dyDescent="0.25">
      <c r="A1260" t="s">
        <v>0</v>
      </c>
      <c r="B1260">
        <v>30</v>
      </c>
      <c r="C1260" t="s">
        <v>10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2</v>
      </c>
      <c r="J1260">
        <v>0</v>
      </c>
      <c r="K1260">
        <v>0</v>
      </c>
      <c r="L1260" t="b">
        <f t="shared" si="19"/>
        <v>1</v>
      </c>
    </row>
    <row r="1261" spans="1:12" x14ac:dyDescent="0.25">
      <c r="A1261" t="s">
        <v>0</v>
      </c>
      <c r="B1261">
        <v>30</v>
      </c>
      <c r="C1261" t="s">
        <v>4</v>
      </c>
      <c r="D1261">
        <v>2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0</v>
      </c>
      <c r="L1261" t="b">
        <f t="shared" si="19"/>
        <v>1</v>
      </c>
    </row>
    <row r="1262" spans="1:12" x14ac:dyDescent="0.25">
      <c r="A1262" t="s">
        <v>0</v>
      </c>
      <c r="B1262">
        <v>31</v>
      </c>
      <c r="C1262" t="s">
        <v>2</v>
      </c>
      <c r="D1262">
        <v>26</v>
      </c>
      <c r="E1262">
        <v>0</v>
      </c>
      <c r="F1262">
        <v>2</v>
      </c>
      <c r="G1262">
        <v>8</v>
      </c>
      <c r="H1262">
        <v>0</v>
      </c>
      <c r="I1262">
        <v>16</v>
      </c>
      <c r="J1262">
        <v>0</v>
      </c>
      <c r="K1262">
        <v>0</v>
      </c>
      <c r="L1262" t="b">
        <f t="shared" si="19"/>
        <v>1</v>
      </c>
    </row>
    <row r="1263" spans="1:12" x14ac:dyDescent="0.25">
      <c r="A1263" t="s">
        <v>0</v>
      </c>
      <c r="B1263">
        <v>31</v>
      </c>
      <c r="C1263" t="s">
        <v>3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b">
        <f t="shared" si="19"/>
        <v>1</v>
      </c>
    </row>
    <row r="1264" spans="1:12" x14ac:dyDescent="0.25">
      <c r="A1264" t="s">
        <v>0</v>
      </c>
      <c r="B1264">
        <v>31</v>
      </c>
      <c r="C1264" t="s">
        <v>6</v>
      </c>
      <c r="D1264">
        <v>3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2</v>
      </c>
      <c r="L1264" t="b">
        <f t="shared" si="19"/>
        <v>1</v>
      </c>
    </row>
    <row r="1265" spans="1:12" x14ac:dyDescent="0.25">
      <c r="A1265" t="s">
        <v>0</v>
      </c>
      <c r="B1265">
        <v>31</v>
      </c>
      <c r="C1265" t="s">
        <v>1</v>
      </c>
      <c r="D1265">
        <v>28</v>
      </c>
      <c r="E1265">
        <v>0</v>
      </c>
      <c r="F1265">
        <v>3</v>
      </c>
      <c r="G1265">
        <v>8</v>
      </c>
      <c r="H1265">
        <v>0</v>
      </c>
      <c r="I1265">
        <v>16</v>
      </c>
      <c r="J1265">
        <v>0</v>
      </c>
      <c r="K1265">
        <v>1</v>
      </c>
      <c r="L1265" t="b">
        <f t="shared" si="19"/>
        <v>1</v>
      </c>
    </row>
    <row r="1266" spans="1:12" x14ac:dyDescent="0.25">
      <c r="A1266" t="s">
        <v>0</v>
      </c>
      <c r="B1266">
        <v>31</v>
      </c>
      <c r="C1266" t="s">
        <v>10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 t="b">
        <f t="shared" si="19"/>
        <v>1</v>
      </c>
    </row>
    <row r="1267" spans="1:12" x14ac:dyDescent="0.25">
      <c r="A1267" t="s">
        <v>0</v>
      </c>
      <c r="B1267">
        <v>31</v>
      </c>
      <c r="C1267" t="s">
        <v>4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 t="b">
        <f t="shared" si="19"/>
        <v>1</v>
      </c>
    </row>
    <row r="1268" spans="1:12" x14ac:dyDescent="0.25">
      <c r="A1268" t="s">
        <v>0</v>
      </c>
      <c r="B1268">
        <v>31</v>
      </c>
      <c r="C1268" t="s">
        <v>9</v>
      </c>
      <c r="D1268">
        <v>2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1</v>
      </c>
      <c r="L1268" t="b">
        <f t="shared" si="19"/>
        <v>1</v>
      </c>
    </row>
    <row r="1269" spans="1:12" x14ac:dyDescent="0.25">
      <c r="A1269" t="s">
        <v>0</v>
      </c>
      <c r="B1269">
        <v>32</v>
      </c>
      <c r="C1269" t="s">
        <v>2</v>
      </c>
      <c r="D1269">
        <v>10</v>
      </c>
      <c r="E1269">
        <v>0</v>
      </c>
      <c r="F1269">
        <v>0</v>
      </c>
      <c r="G1269">
        <v>4</v>
      </c>
      <c r="H1269">
        <v>0</v>
      </c>
      <c r="I1269">
        <v>6</v>
      </c>
      <c r="J1269">
        <v>0</v>
      </c>
      <c r="K1269">
        <v>0</v>
      </c>
      <c r="L1269" t="b">
        <f t="shared" si="19"/>
        <v>1</v>
      </c>
    </row>
    <row r="1270" spans="1:12" x14ac:dyDescent="0.25">
      <c r="A1270" t="s">
        <v>0</v>
      </c>
      <c r="B1270">
        <v>32</v>
      </c>
      <c r="C1270" t="s">
        <v>3</v>
      </c>
      <c r="D1270">
        <v>4</v>
      </c>
      <c r="E1270">
        <v>2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 t="b">
        <f t="shared" si="19"/>
        <v>1</v>
      </c>
    </row>
    <row r="1271" spans="1:12" x14ac:dyDescent="0.25">
      <c r="A1271" t="s">
        <v>0</v>
      </c>
      <c r="B1271">
        <v>32</v>
      </c>
      <c r="C1271" t="s">
        <v>6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 t="b">
        <f t="shared" si="19"/>
        <v>1</v>
      </c>
    </row>
    <row r="1272" spans="1:12" x14ac:dyDescent="0.25">
      <c r="A1272" t="s">
        <v>0</v>
      </c>
      <c r="B1272">
        <v>32</v>
      </c>
      <c r="C1272" t="s">
        <v>1</v>
      </c>
      <c r="D1272">
        <v>18</v>
      </c>
      <c r="E1272">
        <v>0</v>
      </c>
      <c r="F1272">
        <v>4</v>
      </c>
      <c r="G1272">
        <v>6</v>
      </c>
      <c r="H1272">
        <v>0</v>
      </c>
      <c r="I1272">
        <v>6</v>
      </c>
      <c r="J1272">
        <v>0</v>
      </c>
      <c r="K1272">
        <v>2</v>
      </c>
      <c r="L1272" t="b">
        <f t="shared" si="19"/>
        <v>1</v>
      </c>
    </row>
    <row r="1273" spans="1:12" x14ac:dyDescent="0.25">
      <c r="A1273" t="s">
        <v>0</v>
      </c>
      <c r="B1273">
        <v>32</v>
      </c>
      <c r="C1273" t="s">
        <v>11</v>
      </c>
      <c r="D1273">
        <v>1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 t="b">
        <f t="shared" si="19"/>
        <v>1</v>
      </c>
    </row>
    <row r="1274" spans="1:12" x14ac:dyDescent="0.25">
      <c r="A1274" t="s">
        <v>0</v>
      </c>
      <c r="B1274">
        <v>32</v>
      </c>
      <c r="C1274" t="s">
        <v>4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 t="b">
        <f t="shared" si="19"/>
        <v>1</v>
      </c>
    </row>
    <row r="1275" spans="1:12" x14ac:dyDescent="0.25">
      <c r="A1275" t="s">
        <v>0</v>
      </c>
      <c r="B1275">
        <v>32</v>
      </c>
      <c r="C1275" t="s">
        <v>9</v>
      </c>
      <c r="D1275">
        <v>2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1</v>
      </c>
      <c r="L1275" t="b">
        <f t="shared" si="19"/>
        <v>1</v>
      </c>
    </row>
    <row r="1276" spans="1:12" x14ac:dyDescent="0.25">
      <c r="A1276" t="s">
        <v>0</v>
      </c>
      <c r="B1276">
        <v>33</v>
      </c>
      <c r="C1276" t="s">
        <v>2</v>
      </c>
      <c r="D1276">
        <v>20</v>
      </c>
      <c r="E1276">
        <v>0</v>
      </c>
      <c r="F1276">
        <v>0</v>
      </c>
      <c r="G1276">
        <v>6</v>
      </c>
      <c r="H1276">
        <v>0</v>
      </c>
      <c r="I1276">
        <v>14</v>
      </c>
      <c r="J1276">
        <v>0</v>
      </c>
      <c r="K1276">
        <v>0</v>
      </c>
      <c r="L1276" t="b">
        <f t="shared" si="19"/>
        <v>1</v>
      </c>
    </row>
    <row r="1277" spans="1:12" x14ac:dyDescent="0.25">
      <c r="A1277" t="s">
        <v>0</v>
      </c>
      <c r="B1277">
        <v>33</v>
      </c>
      <c r="C1277" t="s">
        <v>84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 t="b">
        <f t="shared" si="19"/>
        <v>1</v>
      </c>
    </row>
    <row r="1278" spans="1:12" x14ac:dyDescent="0.25">
      <c r="A1278" t="s">
        <v>0</v>
      </c>
      <c r="B1278">
        <v>33</v>
      </c>
      <c r="C1278" t="s">
        <v>3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 t="b">
        <f t="shared" si="19"/>
        <v>1</v>
      </c>
    </row>
    <row r="1279" spans="1:12" x14ac:dyDescent="0.25">
      <c r="A1279" t="s">
        <v>0</v>
      </c>
      <c r="B1279">
        <v>33</v>
      </c>
      <c r="C1279" t="s">
        <v>6</v>
      </c>
      <c r="D1279">
        <v>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 t="b">
        <f t="shared" si="19"/>
        <v>1</v>
      </c>
    </row>
    <row r="1280" spans="1:12" x14ac:dyDescent="0.25">
      <c r="A1280" t="s">
        <v>0</v>
      </c>
      <c r="B1280">
        <v>33</v>
      </c>
      <c r="C1280" t="s">
        <v>1</v>
      </c>
      <c r="D1280">
        <v>31</v>
      </c>
      <c r="E1280">
        <v>0</v>
      </c>
      <c r="F1280">
        <v>3</v>
      </c>
      <c r="G1280">
        <v>9</v>
      </c>
      <c r="H1280">
        <v>0</v>
      </c>
      <c r="I1280">
        <v>13</v>
      </c>
      <c r="J1280">
        <v>0</v>
      </c>
      <c r="K1280">
        <v>6</v>
      </c>
      <c r="L1280" t="b">
        <f t="shared" si="19"/>
        <v>1</v>
      </c>
    </row>
    <row r="1281" spans="1:12" x14ac:dyDescent="0.25">
      <c r="A1281" t="s">
        <v>0</v>
      </c>
      <c r="B1281">
        <v>34</v>
      </c>
      <c r="C1281" t="s">
        <v>2</v>
      </c>
      <c r="D1281">
        <v>16</v>
      </c>
      <c r="E1281">
        <v>0</v>
      </c>
      <c r="F1281">
        <v>0</v>
      </c>
      <c r="G1281">
        <v>4</v>
      </c>
      <c r="H1281">
        <v>0</v>
      </c>
      <c r="I1281">
        <v>12</v>
      </c>
      <c r="J1281">
        <v>0</v>
      </c>
      <c r="K1281">
        <v>0</v>
      </c>
      <c r="L1281" t="b">
        <f t="shared" si="19"/>
        <v>1</v>
      </c>
    </row>
    <row r="1282" spans="1:12" x14ac:dyDescent="0.25">
      <c r="A1282" t="s">
        <v>0</v>
      </c>
      <c r="B1282">
        <v>34</v>
      </c>
      <c r="C1282" t="s">
        <v>84</v>
      </c>
      <c r="D1282">
        <v>2</v>
      </c>
      <c r="E1282">
        <v>0</v>
      </c>
      <c r="F1282">
        <v>2</v>
      </c>
      <c r="G1282">
        <v>0</v>
      </c>
      <c r="H1282">
        <v>0</v>
      </c>
      <c r="I1282">
        <v>0</v>
      </c>
      <c r="J1282">
        <v>0</v>
      </c>
      <c r="K1282">
        <v>0</v>
      </c>
      <c r="L1282" t="b">
        <f t="shared" si="19"/>
        <v>1</v>
      </c>
    </row>
    <row r="1283" spans="1:12" x14ac:dyDescent="0.25">
      <c r="A1283" t="s">
        <v>0</v>
      </c>
      <c r="B1283">
        <v>34</v>
      </c>
      <c r="C1283" t="s">
        <v>3</v>
      </c>
      <c r="D1283">
        <v>1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 t="b">
        <f t="shared" si="19"/>
        <v>1</v>
      </c>
    </row>
    <row r="1284" spans="1:12" x14ac:dyDescent="0.25">
      <c r="A1284" t="s">
        <v>0</v>
      </c>
      <c r="B1284">
        <v>34</v>
      </c>
      <c r="C1284" t="s">
        <v>6</v>
      </c>
      <c r="D1284">
        <v>3</v>
      </c>
      <c r="E1284">
        <v>0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1</v>
      </c>
      <c r="L1284" t="b">
        <f t="shared" ref="L1284:L1324" si="20">SUM(E1284:K1284)=D1284</f>
        <v>1</v>
      </c>
    </row>
    <row r="1285" spans="1:12" x14ac:dyDescent="0.25">
      <c r="A1285" t="s">
        <v>0</v>
      </c>
      <c r="B1285">
        <v>34</v>
      </c>
      <c r="C1285" t="s">
        <v>1</v>
      </c>
      <c r="D1285">
        <v>27</v>
      </c>
      <c r="E1285">
        <v>0</v>
      </c>
      <c r="F1285">
        <v>4</v>
      </c>
      <c r="G1285">
        <v>11</v>
      </c>
      <c r="H1285">
        <v>0</v>
      </c>
      <c r="I1285">
        <v>12</v>
      </c>
      <c r="J1285">
        <v>0</v>
      </c>
      <c r="K1285">
        <v>0</v>
      </c>
      <c r="L1285" t="b">
        <f t="shared" si="20"/>
        <v>1</v>
      </c>
    </row>
    <row r="1286" spans="1:12" x14ac:dyDescent="0.25">
      <c r="A1286" t="s">
        <v>0</v>
      </c>
      <c r="B1286">
        <v>34</v>
      </c>
      <c r="C1286" t="s">
        <v>10</v>
      </c>
      <c r="D1286">
        <v>5</v>
      </c>
      <c r="E1286">
        <v>0</v>
      </c>
      <c r="F1286">
        <v>0</v>
      </c>
      <c r="G1286">
        <v>5</v>
      </c>
      <c r="H1286">
        <v>0</v>
      </c>
      <c r="I1286">
        <v>0</v>
      </c>
      <c r="J1286">
        <v>0</v>
      </c>
      <c r="K1286">
        <v>0</v>
      </c>
      <c r="L1286" t="b">
        <f t="shared" si="20"/>
        <v>1</v>
      </c>
    </row>
    <row r="1287" spans="1:12" x14ac:dyDescent="0.25">
      <c r="A1287" t="s">
        <v>0</v>
      </c>
      <c r="B1287">
        <v>34</v>
      </c>
      <c r="C1287" t="s">
        <v>4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 t="b">
        <f t="shared" si="20"/>
        <v>1</v>
      </c>
    </row>
    <row r="1288" spans="1:12" x14ac:dyDescent="0.25">
      <c r="A1288" t="s">
        <v>0</v>
      </c>
      <c r="B1288">
        <v>34</v>
      </c>
      <c r="C1288" t="s">
        <v>9</v>
      </c>
      <c r="D1288">
        <v>1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 t="b">
        <f t="shared" si="20"/>
        <v>1</v>
      </c>
    </row>
    <row r="1289" spans="1:12" x14ac:dyDescent="0.25">
      <c r="A1289" t="s">
        <v>0</v>
      </c>
      <c r="B1289">
        <v>35</v>
      </c>
      <c r="C1289" t="s">
        <v>2</v>
      </c>
      <c r="D1289">
        <v>8</v>
      </c>
      <c r="E1289">
        <v>0</v>
      </c>
      <c r="F1289">
        <v>0</v>
      </c>
      <c r="G1289">
        <v>3</v>
      </c>
      <c r="H1289">
        <v>0</v>
      </c>
      <c r="I1289">
        <v>5</v>
      </c>
      <c r="J1289">
        <v>0</v>
      </c>
      <c r="K1289">
        <v>0</v>
      </c>
      <c r="L1289" t="b">
        <f t="shared" si="20"/>
        <v>1</v>
      </c>
    </row>
    <row r="1290" spans="1:12" x14ac:dyDescent="0.25">
      <c r="A1290" t="s">
        <v>0</v>
      </c>
      <c r="B1290">
        <v>35</v>
      </c>
      <c r="C1290" t="s">
        <v>1</v>
      </c>
      <c r="D1290">
        <v>10</v>
      </c>
      <c r="E1290">
        <v>0</v>
      </c>
      <c r="F1290">
        <v>2</v>
      </c>
      <c r="G1290">
        <v>3</v>
      </c>
      <c r="H1290">
        <v>0</v>
      </c>
      <c r="I1290">
        <v>5</v>
      </c>
      <c r="J1290">
        <v>0</v>
      </c>
      <c r="K1290">
        <v>0</v>
      </c>
      <c r="L1290" t="b">
        <f t="shared" si="20"/>
        <v>1</v>
      </c>
    </row>
    <row r="1291" spans="1:12" x14ac:dyDescent="0.25">
      <c r="A1291" t="s">
        <v>0</v>
      </c>
      <c r="B1291">
        <v>35</v>
      </c>
      <c r="C1291" t="s">
        <v>10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 t="b">
        <f t="shared" si="20"/>
        <v>1</v>
      </c>
    </row>
    <row r="1292" spans="1:12" x14ac:dyDescent="0.25">
      <c r="A1292" t="s">
        <v>0</v>
      </c>
      <c r="B1292">
        <v>36</v>
      </c>
      <c r="C1292" t="s">
        <v>2</v>
      </c>
      <c r="D1292">
        <v>17</v>
      </c>
      <c r="E1292">
        <v>0</v>
      </c>
      <c r="F1292">
        <v>0</v>
      </c>
      <c r="G1292">
        <v>3</v>
      </c>
      <c r="H1292">
        <v>0</v>
      </c>
      <c r="I1292">
        <v>14</v>
      </c>
      <c r="J1292">
        <v>0</v>
      </c>
      <c r="K1292">
        <v>0</v>
      </c>
      <c r="L1292" t="b">
        <f t="shared" si="20"/>
        <v>1</v>
      </c>
    </row>
    <row r="1293" spans="1:12" x14ac:dyDescent="0.25">
      <c r="A1293" t="s">
        <v>0</v>
      </c>
      <c r="B1293">
        <v>36</v>
      </c>
      <c r="C1293" t="s">
        <v>84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 t="b">
        <f t="shared" si="20"/>
        <v>1</v>
      </c>
    </row>
    <row r="1294" spans="1:12" x14ac:dyDescent="0.25">
      <c r="A1294" t="s">
        <v>0</v>
      </c>
      <c r="B1294">
        <v>36</v>
      </c>
      <c r="C1294" t="s">
        <v>3</v>
      </c>
      <c r="D1294">
        <v>2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  <c r="L1294" t="b">
        <f t="shared" si="20"/>
        <v>1</v>
      </c>
    </row>
    <row r="1295" spans="1:12" x14ac:dyDescent="0.25">
      <c r="A1295" t="s">
        <v>0</v>
      </c>
      <c r="B1295">
        <v>36</v>
      </c>
      <c r="C1295" t="s">
        <v>6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 t="b">
        <f t="shared" si="20"/>
        <v>1</v>
      </c>
    </row>
    <row r="1296" spans="1:12" x14ac:dyDescent="0.25">
      <c r="A1296" t="s">
        <v>0</v>
      </c>
      <c r="B1296">
        <v>36</v>
      </c>
      <c r="C1296" t="s">
        <v>1</v>
      </c>
      <c r="D1296">
        <v>20</v>
      </c>
      <c r="E1296">
        <v>0</v>
      </c>
      <c r="F1296">
        <v>1</v>
      </c>
      <c r="G1296">
        <v>4</v>
      </c>
      <c r="H1296">
        <v>0</v>
      </c>
      <c r="I1296">
        <v>14</v>
      </c>
      <c r="J1296">
        <v>0</v>
      </c>
      <c r="K1296">
        <v>1</v>
      </c>
      <c r="L1296" t="b">
        <f t="shared" si="20"/>
        <v>1</v>
      </c>
    </row>
    <row r="1297" spans="1:12" x14ac:dyDescent="0.25">
      <c r="A1297" t="s">
        <v>0</v>
      </c>
      <c r="B1297">
        <v>36</v>
      </c>
      <c r="C1297" t="s">
        <v>10</v>
      </c>
      <c r="D1297">
        <v>2</v>
      </c>
      <c r="E1297">
        <v>0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</v>
      </c>
      <c r="L1297" t="b">
        <f t="shared" si="20"/>
        <v>1</v>
      </c>
    </row>
    <row r="1298" spans="1:12" x14ac:dyDescent="0.25">
      <c r="A1298" t="s">
        <v>0</v>
      </c>
      <c r="B1298">
        <v>37</v>
      </c>
      <c r="C1298" t="s">
        <v>2</v>
      </c>
      <c r="D1298">
        <v>18</v>
      </c>
      <c r="E1298">
        <v>0</v>
      </c>
      <c r="F1298">
        <v>1</v>
      </c>
      <c r="G1298">
        <v>5</v>
      </c>
      <c r="H1298">
        <v>0</v>
      </c>
      <c r="I1298">
        <v>12</v>
      </c>
      <c r="J1298">
        <v>0</v>
      </c>
      <c r="K1298">
        <v>0</v>
      </c>
      <c r="L1298" t="b">
        <f t="shared" si="20"/>
        <v>1</v>
      </c>
    </row>
    <row r="1299" spans="1:12" x14ac:dyDescent="0.25">
      <c r="A1299" t="s">
        <v>0</v>
      </c>
      <c r="B1299">
        <v>37</v>
      </c>
      <c r="C1299" t="s">
        <v>84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 t="b">
        <f t="shared" si="20"/>
        <v>1</v>
      </c>
    </row>
    <row r="1300" spans="1:12" x14ac:dyDescent="0.25">
      <c r="A1300" t="s">
        <v>0</v>
      </c>
      <c r="B1300">
        <v>37</v>
      </c>
      <c r="C1300" t="s">
        <v>3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 t="b">
        <f t="shared" si="20"/>
        <v>1</v>
      </c>
    </row>
    <row r="1301" spans="1:12" x14ac:dyDescent="0.25">
      <c r="A1301" t="s">
        <v>0</v>
      </c>
      <c r="B1301">
        <v>37</v>
      </c>
      <c r="C1301" t="s">
        <v>6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</v>
      </c>
      <c r="L1301" t="b">
        <f t="shared" si="20"/>
        <v>1</v>
      </c>
    </row>
    <row r="1302" spans="1:12" x14ac:dyDescent="0.25">
      <c r="A1302" t="s">
        <v>0</v>
      </c>
      <c r="B1302">
        <v>37</v>
      </c>
      <c r="C1302" t="s">
        <v>1</v>
      </c>
      <c r="D1302">
        <v>21</v>
      </c>
      <c r="E1302">
        <v>0</v>
      </c>
      <c r="F1302">
        <v>1</v>
      </c>
      <c r="G1302">
        <v>5</v>
      </c>
      <c r="H1302">
        <v>0</v>
      </c>
      <c r="I1302">
        <v>12</v>
      </c>
      <c r="J1302">
        <v>0</v>
      </c>
      <c r="K1302">
        <v>3</v>
      </c>
      <c r="L1302" t="b">
        <f t="shared" si="20"/>
        <v>1</v>
      </c>
    </row>
    <row r="1303" spans="1:12" x14ac:dyDescent="0.25">
      <c r="A1303" t="s">
        <v>0</v>
      </c>
      <c r="B1303">
        <v>37</v>
      </c>
      <c r="C1303" t="s">
        <v>10</v>
      </c>
      <c r="D1303">
        <v>2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 t="b">
        <f t="shared" si="20"/>
        <v>1</v>
      </c>
    </row>
    <row r="1304" spans="1:12" x14ac:dyDescent="0.25">
      <c r="A1304" t="s">
        <v>0</v>
      </c>
      <c r="B1304">
        <v>37</v>
      </c>
      <c r="C1304" t="s">
        <v>11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 t="b">
        <f t="shared" si="20"/>
        <v>1</v>
      </c>
    </row>
    <row r="1305" spans="1:12" x14ac:dyDescent="0.25">
      <c r="A1305" t="s">
        <v>0</v>
      </c>
      <c r="B1305">
        <v>37</v>
      </c>
      <c r="C1305" t="s">
        <v>9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 t="b">
        <f t="shared" si="20"/>
        <v>1</v>
      </c>
    </row>
    <row r="1306" spans="1:12" x14ac:dyDescent="0.25">
      <c r="A1306" t="s">
        <v>0</v>
      </c>
      <c r="B1306">
        <v>38</v>
      </c>
      <c r="C1306" t="s">
        <v>2</v>
      </c>
      <c r="D1306">
        <v>24</v>
      </c>
      <c r="E1306">
        <v>0</v>
      </c>
      <c r="F1306">
        <v>0</v>
      </c>
      <c r="G1306">
        <v>9</v>
      </c>
      <c r="H1306">
        <v>0</v>
      </c>
      <c r="I1306">
        <v>15</v>
      </c>
      <c r="J1306">
        <v>0</v>
      </c>
      <c r="K1306">
        <v>0</v>
      </c>
      <c r="L1306" t="b">
        <f t="shared" si="20"/>
        <v>1</v>
      </c>
    </row>
    <row r="1307" spans="1:12" x14ac:dyDescent="0.25">
      <c r="A1307" t="s">
        <v>0</v>
      </c>
      <c r="B1307">
        <v>38</v>
      </c>
      <c r="C1307" t="s">
        <v>3</v>
      </c>
      <c r="D1307">
        <v>1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 t="b">
        <f t="shared" si="20"/>
        <v>1</v>
      </c>
    </row>
    <row r="1308" spans="1:12" x14ac:dyDescent="0.25">
      <c r="A1308" t="s">
        <v>0</v>
      </c>
      <c r="B1308">
        <v>38</v>
      </c>
      <c r="C1308" t="s">
        <v>6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 t="b">
        <f t="shared" si="20"/>
        <v>1</v>
      </c>
    </row>
    <row r="1309" spans="1:12" x14ac:dyDescent="0.25">
      <c r="A1309" t="s">
        <v>0</v>
      </c>
      <c r="B1309">
        <v>38</v>
      </c>
      <c r="C1309" t="s">
        <v>1</v>
      </c>
      <c r="D1309">
        <v>26</v>
      </c>
      <c r="E1309">
        <v>0</v>
      </c>
      <c r="F1309">
        <v>2</v>
      </c>
      <c r="G1309">
        <v>10</v>
      </c>
      <c r="H1309">
        <v>0</v>
      </c>
      <c r="I1309">
        <v>14</v>
      </c>
      <c r="J1309">
        <v>0</v>
      </c>
      <c r="K1309">
        <v>0</v>
      </c>
      <c r="L1309" t="b">
        <f t="shared" si="20"/>
        <v>1</v>
      </c>
    </row>
    <row r="1310" spans="1:12" x14ac:dyDescent="0.25">
      <c r="A1310" t="s">
        <v>0</v>
      </c>
      <c r="B1310">
        <v>39</v>
      </c>
      <c r="C1310" t="s">
        <v>2</v>
      </c>
      <c r="D1310">
        <v>14</v>
      </c>
      <c r="E1310">
        <v>0</v>
      </c>
      <c r="F1310">
        <v>0</v>
      </c>
      <c r="G1310">
        <v>5</v>
      </c>
      <c r="H1310">
        <v>0</v>
      </c>
      <c r="I1310">
        <v>9</v>
      </c>
      <c r="J1310">
        <v>0</v>
      </c>
      <c r="K1310">
        <v>0</v>
      </c>
      <c r="L1310" t="b">
        <f t="shared" si="20"/>
        <v>1</v>
      </c>
    </row>
    <row r="1311" spans="1:12" x14ac:dyDescent="0.25">
      <c r="A1311" t="s">
        <v>0</v>
      </c>
      <c r="B1311">
        <v>39</v>
      </c>
      <c r="C1311" t="s">
        <v>6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 t="b">
        <f t="shared" si="20"/>
        <v>1</v>
      </c>
    </row>
    <row r="1312" spans="1:12" x14ac:dyDescent="0.25">
      <c r="A1312" t="s">
        <v>0</v>
      </c>
      <c r="B1312">
        <v>39</v>
      </c>
      <c r="C1312" t="s">
        <v>1</v>
      </c>
      <c r="D1312">
        <v>15</v>
      </c>
      <c r="E1312">
        <v>0</v>
      </c>
      <c r="F1312">
        <v>1</v>
      </c>
      <c r="G1312">
        <v>4</v>
      </c>
      <c r="H1312">
        <v>0</v>
      </c>
      <c r="I1312">
        <v>9</v>
      </c>
      <c r="J1312">
        <v>0</v>
      </c>
      <c r="K1312">
        <v>1</v>
      </c>
      <c r="L1312" t="b">
        <f t="shared" si="20"/>
        <v>1</v>
      </c>
    </row>
    <row r="1313" spans="1:12" x14ac:dyDescent="0.25">
      <c r="A1313" t="s">
        <v>0</v>
      </c>
      <c r="B1313">
        <v>39</v>
      </c>
      <c r="C1313" t="s">
        <v>10</v>
      </c>
      <c r="D1313">
        <v>2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 t="b">
        <f t="shared" si="20"/>
        <v>1</v>
      </c>
    </row>
    <row r="1314" spans="1:12" x14ac:dyDescent="0.25">
      <c r="A1314" t="s">
        <v>0</v>
      </c>
      <c r="B1314">
        <v>39</v>
      </c>
      <c r="C1314" t="s">
        <v>9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 t="b">
        <f t="shared" si="20"/>
        <v>1</v>
      </c>
    </row>
    <row r="1315" spans="1:12" x14ac:dyDescent="0.25">
      <c r="A1315" t="s">
        <v>0</v>
      </c>
      <c r="B1315">
        <v>40</v>
      </c>
      <c r="C1315" t="s">
        <v>2</v>
      </c>
      <c r="D1315">
        <v>14</v>
      </c>
      <c r="E1315">
        <v>0</v>
      </c>
      <c r="F1315">
        <v>0</v>
      </c>
      <c r="G1315">
        <v>2</v>
      </c>
      <c r="H1315">
        <v>0</v>
      </c>
      <c r="I1315">
        <v>12</v>
      </c>
      <c r="J1315">
        <v>0</v>
      </c>
      <c r="K1315">
        <v>0</v>
      </c>
      <c r="L1315" t="b">
        <f t="shared" si="20"/>
        <v>1</v>
      </c>
    </row>
    <row r="1316" spans="1:12" x14ac:dyDescent="0.25">
      <c r="A1316" t="s">
        <v>0</v>
      </c>
      <c r="B1316">
        <v>40</v>
      </c>
      <c r="C1316" t="s">
        <v>1</v>
      </c>
      <c r="D1316">
        <v>15</v>
      </c>
      <c r="E1316">
        <v>0</v>
      </c>
      <c r="F1316">
        <v>0</v>
      </c>
      <c r="G1316">
        <v>4</v>
      </c>
      <c r="H1316">
        <v>0</v>
      </c>
      <c r="I1316">
        <v>11</v>
      </c>
      <c r="J1316">
        <v>0</v>
      </c>
      <c r="K1316">
        <v>0</v>
      </c>
      <c r="L1316" t="b">
        <f t="shared" si="20"/>
        <v>1</v>
      </c>
    </row>
    <row r="1317" spans="1:12" x14ac:dyDescent="0.25">
      <c r="A1317" t="s">
        <v>0</v>
      </c>
      <c r="B1317">
        <v>40</v>
      </c>
      <c r="C1317" t="s">
        <v>11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 t="b">
        <f t="shared" si="20"/>
        <v>1</v>
      </c>
    </row>
    <row r="1318" spans="1:12" x14ac:dyDescent="0.25">
      <c r="A1318" t="s">
        <v>0</v>
      </c>
      <c r="B1318">
        <v>41</v>
      </c>
      <c r="C1318" t="s">
        <v>2</v>
      </c>
      <c r="D1318">
        <v>20</v>
      </c>
      <c r="E1318">
        <v>0</v>
      </c>
      <c r="F1318">
        <v>0</v>
      </c>
      <c r="G1318">
        <v>3</v>
      </c>
      <c r="H1318">
        <v>0</v>
      </c>
      <c r="I1318">
        <v>17</v>
      </c>
      <c r="J1318">
        <v>0</v>
      </c>
      <c r="K1318">
        <v>0</v>
      </c>
      <c r="L1318" t="b">
        <f t="shared" si="20"/>
        <v>1</v>
      </c>
    </row>
    <row r="1319" spans="1:12" x14ac:dyDescent="0.25">
      <c r="A1319" t="s">
        <v>0</v>
      </c>
      <c r="B1319">
        <v>41</v>
      </c>
      <c r="C1319" t="s">
        <v>1</v>
      </c>
      <c r="D1319">
        <v>20</v>
      </c>
      <c r="E1319">
        <v>0</v>
      </c>
      <c r="F1319">
        <v>0</v>
      </c>
      <c r="G1319">
        <v>3</v>
      </c>
      <c r="H1319">
        <v>0</v>
      </c>
      <c r="I1319">
        <v>17</v>
      </c>
      <c r="J1319">
        <v>0</v>
      </c>
      <c r="K1319">
        <v>0</v>
      </c>
      <c r="L1319" t="b">
        <f t="shared" si="20"/>
        <v>1</v>
      </c>
    </row>
    <row r="1320" spans="1:12" x14ac:dyDescent="0.25">
      <c r="A1320" t="s">
        <v>0</v>
      </c>
      <c r="B1320">
        <v>41</v>
      </c>
      <c r="C1320" t="s">
        <v>10</v>
      </c>
      <c r="D1320">
        <v>4</v>
      </c>
      <c r="E1320">
        <v>0</v>
      </c>
      <c r="F1320">
        <v>0</v>
      </c>
      <c r="G1320">
        <v>2</v>
      </c>
      <c r="H1320">
        <v>0</v>
      </c>
      <c r="I1320">
        <v>2</v>
      </c>
      <c r="J1320">
        <v>0</v>
      </c>
      <c r="K1320">
        <v>0</v>
      </c>
      <c r="L1320" t="b">
        <f t="shared" si="20"/>
        <v>1</v>
      </c>
    </row>
    <row r="1321" spans="1:12" x14ac:dyDescent="0.25">
      <c r="A1321" t="s">
        <v>0</v>
      </c>
      <c r="B1321">
        <v>42</v>
      </c>
      <c r="C1321" t="s">
        <v>2</v>
      </c>
      <c r="D1321">
        <v>3</v>
      </c>
      <c r="E1321">
        <v>0</v>
      </c>
      <c r="F1321">
        <v>0</v>
      </c>
      <c r="G1321">
        <v>1</v>
      </c>
      <c r="H1321">
        <v>0</v>
      </c>
      <c r="I1321">
        <v>2</v>
      </c>
      <c r="J1321">
        <v>0</v>
      </c>
      <c r="K1321">
        <v>0</v>
      </c>
      <c r="L1321" t="b">
        <f t="shared" si="20"/>
        <v>1</v>
      </c>
    </row>
    <row r="1322" spans="1:12" x14ac:dyDescent="0.25">
      <c r="A1322" t="s">
        <v>0</v>
      </c>
      <c r="B1322">
        <v>42</v>
      </c>
      <c r="C1322" t="s">
        <v>3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 t="b">
        <f t="shared" si="20"/>
        <v>1</v>
      </c>
    </row>
    <row r="1323" spans="1:12" x14ac:dyDescent="0.25">
      <c r="A1323" t="s">
        <v>0</v>
      </c>
      <c r="B1323">
        <v>42</v>
      </c>
      <c r="C1323" t="s">
        <v>6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 t="b">
        <f t="shared" si="20"/>
        <v>1</v>
      </c>
    </row>
    <row r="1324" spans="1:12" x14ac:dyDescent="0.25">
      <c r="A1324" t="s">
        <v>0</v>
      </c>
      <c r="B1324">
        <v>42</v>
      </c>
      <c r="C1324" t="s">
        <v>1</v>
      </c>
      <c r="D1324">
        <v>4</v>
      </c>
      <c r="E1324">
        <v>0</v>
      </c>
      <c r="F1324">
        <v>0</v>
      </c>
      <c r="G1324">
        <v>2</v>
      </c>
      <c r="H1324">
        <v>0</v>
      </c>
      <c r="I1324">
        <v>2</v>
      </c>
      <c r="J1324">
        <v>0</v>
      </c>
      <c r="K1324">
        <v>0</v>
      </c>
      <c r="L1324" t="b">
        <f t="shared" si="2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97"/>
  <sheetViews>
    <sheetView tabSelected="1" topLeftCell="M1" zoomScale="85" zoomScaleNormal="85" workbookViewId="0">
      <selection activeCell="Y16" sqref="Y16"/>
    </sheetView>
  </sheetViews>
  <sheetFormatPr defaultRowHeight="15" x14ac:dyDescent="0.25"/>
  <cols>
    <col min="1" max="1" width="15.140625" bestFit="1" customWidth="1"/>
    <col min="2" max="2" width="13.7109375" bestFit="1" customWidth="1"/>
  </cols>
  <sheetData>
    <row r="1" spans="1:34" x14ac:dyDescent="0.25">
      <c r="A1" t="s">
        <v>83</v>
      </c>
      <c r="B1" t="s">
        <v>80</v>
      </c>
      <c r="D1" t="s">
        <v>118</v>
      </c>
      <c r="W1" t="s">
        <v>119</v>
      </c>
      <c r="Y1" t="s">
        <v>13</v>
      </c>
      <c r="Z1" t="s">
        <v>60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</row>
    <row r="2" spans="1:34" x14ac:dyDescent="0.25">
      <c r="B2" t="s">
        <v>79</v>
      </c>
      <c r="C2" t="s">
        <v>13</v>
      </c>
      <c r="D2" t="s">
        <v>60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V2" t="s">
        <v>120</v>
      </c>
      <c r="W2" t="s">
        <v>21</v>
      </c>
      <c r="X2" t="s">
        <v>61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</row>
    <row r="3" spans="1:34" x14ac:dyDescent="0.25">
      <c r="A3" t="s">
        <v>21</v>
      </c>
      <c r="B3" t="str">
        <f>X2</f>
        <v>z-gadol pashta</v>
      </c>
      <c r="C3">
        <f t="shared" ref="C3:C17" si="0">SUM(D3:K3)</f>
        <v>1</v>
      </c>
      <c r="D3">
        <f>Z2</f>
        <v>0</v>
      </c>
      <c r="E3">
        <f t="shared" ref="E3:K3" si="1">AA2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1</v>
      </c>
      <c r="K3">
        <f t="shared" si="1"/>
        <v>0</v>
      </c>
      <c r="L3" t="b">
        <f t="shared" ref="L3:L17" si="2">SUM(D3:K3)=Y2</f>
        <v>1</v>
      </c>
      <c r="W3" t="s">
        <v>21</v>
      </c>
      <c r="X3" t="s">
        <v>62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</row>
    <row r="4" spans="1:34" x14ac:dyDescent="0.25">
      <c r="A4" t="s">
        <v>21</v>
      </c>
      <c r="B4" t="str">
        <f t="shared" ref="B4:B17" si="3">X3</f>
        <v>pashta pashta</v>
      </c>
      <c r="C4">
        <f t="shared" si="0"/>
        <v>1</v>
      </c>
      <c r="D4">
        <f t="shared" ref="D4:D17" si="4">Z3</f>
        <v>0</v>
      </c>
      <c r="E4">
        <f t="shared" ref="E4:E17" si="5">AA3</f>
        <v>0</v>
      </c>
      <c r="F4">
        <f t="shared" ref="F4:F17" si="6">AB3</f>
        <v>1</v>
      </c>
      <c r="G4">
        <f t="shared" ref="G4:G17" si="7">AC3</f>
        <v>0</v>
      </c>
      <c r="H4">
        <f t="shared" ref="H4:H17" si="8">AD3</f>
        <v>0</v>
      </c>
      <c r="I4">
        <f t="shared" ref="I4:I17" si="9">AE3</f>
        <v>0</v>
      </c>
      <c r="J4">
        <f t="shared" ref="J4:J17" si="10">AF3</f>
        <v>0</v>
      </c>
      <c r="K4">
        <f t="shared" ref="K4:K17" si="11">AG3</f>
        <v>0</v>
      </c>
      <c r="L4" t="b">
        <f t="shared" si="2"/>
        <v>1</v>
      </c>
      <c r="W4" t="s">
        <v>21</v>
      </c>
      <c r="X4" t="s">
        <v>11</v>
      </c>
      <c r="Y4">
        <v>3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34" x14ac:dyDescent="0.25">
      <c r="A5" t="s">
        <v>21</v>
      </c>
      <c r="B5" t="str">
        <f t="shared" si="3"/>
        <v>shalshelet</v>
      </c>
      <c r="C5">
        <f t="shared" si="0"/>
        <v>3</v>
      </c>
      <c r="D5">
        <f t="shared" si="4"/>
        <v>0</v>
      </c>
      <c r="E5">
        <f t="shared" si="5"/>
        <v>0</v>
      </c>
      <c r="F5">
        <f t="shared" si="6"/>
        <v>3</v>
      </c>
      <c r="G5">
        <f t="shared" si="7"/>
        <v>0</v>
      </c>
      <c r="H5">
        <f t="shared" si="8"/>
        <v>0</v>
      </c>
      <c r="I5">
        <f t="shared" si="9"/>
        <v>0</v>
      </c>
      <c r="J5">
        <f t="shared" si="10"/>
        <v>0</v>
      </c>
      <c r="K5">
        <f t="shared" si="11"/>
        <v>0</v>
      </c>
      <c r="L5" t="b">
        <f t="shared" si="2"/>
        <v>1</v>
      </c>
      <c r="W5" t="s">
        <v>21</v>
      </c>
      <c r="X5" t="s">
        <v>5</v>
      </c>
      <c r="Y5">
        <v>29</v>
      </c>
      <c r="Z5">
        <v>0</v>
      </c>
      <c r="AA5">
        <v>0</v>
      </c>
      <c r="AB5">
        <v>15</v>
      </c>
      <c r="AC5">
        <v>0</v>
      </c>
      <c r="AD5">
        <v>0</v>
      </c>
      <c r="AE5">
        <v>5</v>
      </c>
      <c r="AF5">
        <v>9</v>
      </c>
      <c r="AG5">
        <v>0</v>
      </c>
      <c r="AH5">
        <v>1</v>
      </c>
    </row>
    <row r="6" spans="1:34" x14ac:dyDescent="0.25">
      <c r="A6" t="s">
        <v>21</v>
      </c>
      <c r="B6" t="str">
        <f t="shared" si="3"/>
        <v>pazer</v>
      </c>
      <c r="C6">
        <f t="shared" si="0"/>
        <v>29</v>
      </c>
      <c r="D6">
        <f t="shared" si="4"/>
        <v>0</v>
      </c>
      <c r="E6">
        <f t="shared" si="5"/>
        <v>0</v>
      </c>
      <c r="F6">
        <f t="shared" si="6"/>
        <v>15</v>
      </c>
      <c r="G6">
        <f t="shared" si="7"/>
        <v>0</v>
      </c>
      <c r="H6">
        <f t="shared" si="8"/>
        <v>0</v>
      </c>
      <c r="I6">
        <f t="shared" si="9"/>
        <v>5</v>
      </c>
      <c r="J6">
        <f t="shared" si="10"/>
        <v>9</v>
      </c>
      <c r="K6">
        <f t="shared" si="11"/>
        <v>0</v>
      </c>
      <c r="L6" t="b">
        <f t="shared" si="2"/>
        <v>1</v>
      </c>
      <c r="W6" t="s">
        <v>21</v>
      </c>
      <c r="X6" t="s">
        <v>63</v>
      </c>
      <c r="Y6">
        <v>52</v>
      </c>
      <c r="Z6">
        <v>0</v>
      </c>
      <c r="AA6">
        <v>0</v>
      </c>
      <c r="AB6">
        <v>29</v>
      </c>
      <c r="AC6">
        <v>0</v>
      </c>
      <c r="AD6">
        <v>0</v>
      </c>
      <c r="AE6">
        <v>8</v>
      </c>
      <c r="AF6">
        <v>15</v>
      </c>
      <c r="AG6">
        <v>0</v>
      </c>
      <c r="AH6">
        <v>1</v>
      </c>
    </row>
    <row r="7" spans="1:34" x14ac:dyDescent="0.25">
      <c r="A7" t="s">
        <v>21</v>
      </c>
      <c r="B7" t="str">
        <f t="shared" si="3"/>
        <v>telisha-gedola</v>
      </c>
      <c r="C7">
        <f t="shared" si="0"/>
        <v>52</v>
      </c>
      <c r="D7">
        <f t="shared" si="4"/>
        <v>0</v>
      </c>
      <c r="E7">
        <f t="shared" si="5"/>
        <v>0</v>
      </c>
      <c r="F7">
        <f t="shared" si="6"/>
        <v>29</v>
      </c>
      <c r="G7">
        <f t="shared" si="7"/>
        <v>0</v>
      </c>
      <c r="H7">
        <f t="shared" si="8"/>
        <v>0</v>
      </c>
      <c r="I7">
        <f t="shared" si="9"/>
        <v>8</v>
      </c>
      <c r="J7">
        <f t="shared" si="10"/>
        <v>15</v>
      </c>
      <c r="K7">
        <f t="shared" si="11"/>
        <v>0</v>
      </c>
      <c r="L7" t="b">
        <f t="shared" si="2"/>
        <v>1</v>
      </c>
      <c r="W7" t="s">
        <v>21</v>
      </c>
      <c r="X7" t="s">
        <v>22</v>
      </c>
      <c r="Y7">
        <v>72</v>
      </c>
      <c r="Z7">
        <v>0</v>
      </c>
      <c r="AA7">
        <v>0</v>
      </c>
      <c r="AB7">
        <v>11</v>
      </c>
      <c r="AC7">
        <v>0</v>
      </c>
      <c r="AD7">
        <v>0</v>
      </c>
      <c r="AE7">
        <v>0</v>
      </c>
      <c r="AF7">
        <v>61</v>
      </c>
      <c r="AG7">
        <v>0</v>
      </c>
      <c r="AH7">
        <v>1</v>
      </c>
    </row>
    <row r="8" spans="1:34" x14ac:dyDescent="0.25">
      <c r="A8" t="s">
        <v>21</v>
      </c>
      <c r="B8" t="str">
        <f t="shared" si="3"/>
        <v>segol</v>
      </c>
      <c r="C8">
        <f t="shared" si="0"/>
        <v>72</v>
      </c>
      <c r="D8">
        <f t="shared" si="4"/>
        <v>0</v>
      </c>
      <c r="E8">
        <f t="shared" si="5"/>
        <v>0</v>
      </c>
      <c r="F8">
        <f t="shared" si="6"/>
        <v>11</v>
      </c>
      <c r="G8">
        <f t="shared" si="7"/>
        <v>0</v>
      </c>
      <c r="H8">
        <f t="shared" si="8"/>
        <v>0</v>
      </c>
      <c r="I8">
        <f t="shared" si="9"/>
        <v>0</v>
      </c>
      <c r="J8">
        <f t="shared" si="10"/>
        <v>61</v>
      </c>
      <c r="K8">
        <f t="shared" si="11"/>
        <v>0</v>
      </c>
      <c r="L8" t="b">
        <f t="shared" si="2"/>
        <v>1</v>
      </c>
      <c r="W8" t="s">
        <v>21</v>
      </c>
      <c r="X8" t="s">
        <v>4</v>
      </c>
      <c r="Y8">
        <v>73</v>
      </c>
      <c r="Z8">
        <v>0</v>
      </c>
      <c r="AA8">
        <v>0</v>
      </c>
      <c r="AB8">
        <v>19</v>
      </c>
      <c r="AC8">
        <v>1</v>
      </c>
      <c r="AD8">
        <v>0</v>
      </c>
      <c r="AE8">
        <v>0</v>
      </c>
      <c r="AF8">
        <v>53</v>
      </c>
      <c r="AG8">
        <v>0</v>
      </c>
      <c r="AH8">
        <v>1</v>
      </c>
    </row>
    <row r="9" spans="1:34" x14ac:dyDescent="0.25">
      <c r="A9" t="s">
        <v>21</v>
      </c>
      <c r="B9" t="str">
        <f t="shared" si="3"/>
        <v>tsinnor</v>
      </c>
      <c r="C9">
        <f t="shared" si="0"/>
        <v>73</v>
      </c>
      <c r="D9">
        <f t="shared" si="4"/>
        <v>0</v>
      </c>
      <c r="E9">
        <f t="shared" si="5"/>
        <v>0</v>
      </c>
      <c r="F9">
        <f t="shared" si="6"/>
        <v>19</v>
      </c>
      <c r="G9">
        <f t="shared" si="7"/>
        <v>1</v>
      </c>
      <c r="H9">
        <f t="shared" si="8"/>
        <v>0</v>
      </c>
      <c r="I9">
        <f t="shared" si="9"/>
        <v>0</v>
      </c>
      <c r="J9">
        <f t="shared" si="10"/>
        <v>53</v>
      </c>
      <c r="K9">
        <f t="shared" si="11"/>
        <v>0</v>
      </c>
      <c r="L9" t="b">
        <f t="shared" si="2"/>
        <v>1</v>
      </c>
      <c r="W9" t="s">
        <v>21</v>
      </c>
      <c r="X9" t="s">
        <v>64</v>
      </c>
      <c r="Y9">
        <v>93</v>
      </c>
      <c r="Z9">
        <v>0</v>
      </c>
      <c r="AA9">
        <v>0</v>
      </c>
      <c r="AB9">
        <v>48</v>
      </c>
      <c r="AC9">
        <v>0</v>
      </c>
      <c r="AD9">
        <v>0</v>
      </c>
      <c r="AE9">
        <v>19</v>
      </c>
      <c r="AF9">
        <v>24</v>
      </c>
      <c r="AG9">
        <v>2</v>
      </c>
      <c r="AH9">
        <v>1</v>
      </c>
    </row>
    <row r="10" spans="1:34" x14ac:dyDescent="0.25">
      <c r="A10" t="s">
        <v>21</v>
      </c>
      <c r="B10" t="str">
        <f t="shared" si="3"/>
        <v>telisha-qetana</v>
      </c>
      <c r="C10">
        <f t="shared" si="0"/>
        <v>93</v>
      </c>
      <c r="D10">
        <f t="shared" si="4"/>
        <v>0</v>
      </c>
      <c r="E10">
        <f t="shared" si="5"/>
        <v>0</v>
      </c>
      <c r="F10">
        <f t="shared" si="6"/>
        <v>48</v>
      </c>
      <c r="G10">
        <f t="shared" si="7"/>
        <v>0</v>
      </c>
      <c r="H10">
        <f t="shared" si="8"/>
        <v>0</v>
      </c>
      <c r="I10">
        <f t="shared" si="9"/>
        <v>19</v>
      </c>
      <c r="J10">
        <f t="shared" si="10"/>
        <v>24</v>
      </c>
      <c r="K10">
        <f t="shared" si="11"/>
        <v>2</v>
      </c>
      <c r="L10" t="b">
        <f t="shared" si="2"/>
        <v>1</v>
      </c>
      <c r="W10" t="s">
        <v>21</v>
      </c>
      <c r="X10" t="s">
        <v>23</v>
      </c>
      <c r="Y10">
        <v>113</v>
      </c>
      <c r="Z10">
        <v>0</v>
      </c>
      <c r="AA10">
        <v>0</v>
      </c>
      <c r="AB10">
        <v>66</v>
      </c>
      <c r="AC10">
        <v>0</v>
      </c>
      <c r="AD10">
        <v>0</v>
      </c>
      <c r="AE10">
        <v>29</v>
      </c>
      <c r="AF10">
        <v>18</v>
      </c>
      <c r="AG10">
        <v>0</v>
      </c>
      <c r="AH10">
        <v>1</v>
      </c>
    </row>
    <row r="11" spans="1:34" x14ac:dyDescent="0.25">
      <c r="A11" t="s">
        <v>21</v>
      </c>
      <c r="B11" t="str">
        <f t="shared" si="3"/>
        <v>tarsin</v>
      </c>
      <c r="C11">
        <f t="shared" si="0"/>
        <v>113</v>
      </c>
      <c r="D11">
        <f t="shared" si="4"/>
        <v>0</v>
      </c>
      <c r="E11">
        <f t="shared" si="5"/>
        <v>0</v>
      </c>
      <c r="F11">
        <f t="shared" si="6"/>
        <v>66</v>
      </c>
      <c r="G11">
        <f t="shared" si="7"/>
        <v>0</v>
      </c>
      <c r="H11">
        <f t="shared" si="8"/>
        <v>0</v>
      </c>
      <c r="I11">
        <f t="shared" si="9"/>
        <v>29</v>
      </c>
      <c r="J11">
        <f t="shared" si="10"/>
        <v>18</v>
      </c>
      <c r="K11">
        <f t="shared" si="11"/>
        <v>0</v>
      </c>
      <c r="L11" t="b">
        <f t="shared" si="2"/>
        <v>1</v>
      </c>
      <c r="W11" t="s">
        <v>21</v>
      </c>
      <c r="X11" t="s">
        <v>65</v>
      </c>
      <c r="Y11">
        <v>175</v>
      </c>
      <c r="Z11">
        <v>0</v>
      </c>
      <c r="AA11">
        <v>0</v>
      </c>
      <c r="AB11">
        <v>62</v>
      </c>
      <c r="AC11">
        <v>0</v>
      </c>
      <c r="AD11">
        <v>0</v>
      </c>
      <c r="AE11">
        <v>58</v>
      </c>
      <c r="AF11">
        <v>44</v>
      </c>
      <c r="AG11">
        <v>11</v>
      </c>
      <c r="AH11">
        <v>1</v>
      </c>
    </row>
    <row r="12" spans="1:34" x14ac:dyDescent="0.25">
      <c r="A12" t="s">
        <v>21</v>
      </c>
      <c r="B12" t="str">
        <f t="shared" si="3"/>
        <v>zaqef-gadol</v>
      </c>
      <c r="C12">
        <f t="shared" si="0"/>
        <v>175</v>
      </c>
      <c r="D12">
        <f t="shared" si="4"/>
        <v>0</v>
      </c>
      <c r="E12">
        <f t="shared" si="5"/>
        <v>0</v>
      </c>
      <c r="F12">
        <f t="shared" si="6"/>
        <v>62</v>
      </c>
      <c r="G12">
        <f t="shared" si="7"/>
        <v>0</v>
      </c>
      <c r="H12">
        <f t="shared" si="8"/>
        <v>0</v>
      </c>
      <c r="I12">
        <f t="shared" si="9"/>
        <v>58</v>
      </c>
      <c r="J12">
        <f t="shared" si="10"/>
        <v>44</v>
      </c>
      <c r="K12">
        <f t="shared" si="11"/>
        <v>11</v>
      </c>
      <c r="L12" t="b">
        <f t="shared" si="2"/>
        <v>1</v>
      </c>
      <c r="W12" t="s">
        <v>21</v>
      </c>
      <c r="X12" t="s">
        <v>8</v>
      </c>
      <c r="Y12">
        <v>244</v>
      </c>
      <c r="Z12">
        <v>0</v>
      </c>
      <c r="AA12">
        <v>0</v>
      </c>
      <c r="AB12">
        <v>155</v>
      </c>
      <c r="AC12">
        <v>1</v>
      </c>
      <c r="AD12">
        <v>0</v>
      </c>
      <c r="AE12">
        <v>46</v>
      </c>
      <c r="AF12">
        <v>41</v>
      </c>
      <c r="AG12">
        <v>1</v>
      </c>
      <c r="AH12">
        <v>1</v>
      </c>
    </row>
    <row r="13" spans="1:34" x14ac:dyDescent="0.25">
      <c r="A13" t="s">
        <v>21</v>
      </c>
      <c r="B13" t="str">
        <f t="shared" si="3"/>
        <v>azla</v>
      </c>
      <c r="C13">
        <f t="shared" si="0"/>
        <v>244</v>
      </c>
      <c r="D13">
        <f t="shared" si="4"/>
        <v>0</v>
      </c>
      <c r="E13">
        <f t="shared" si="5"/>
        <v>0</v>
      </c>
      <c r="F13">
        <f t="shared" si="6"/>
        <v>155</v>
      </c>
      <c r="G13">
        <f t="shared" si="7"/>
        <v>1</v>
      </c>
      <c r="H13">
        <f t="shared" si="8"/>
        <v>0</v>
      </c>
      <c r="I13">
        <f t="shared" si="9"/>
        <v>46</v>
      </c>
      <c r="J13">
        <f t="shared" si="10"/>
        <v>41</v>
      </c>
      <c r="K13">
        <f t="shared" si="11"/>
        <v>1</v>
      </c>
      <c r="L13" t="b">
        <f t="shared" si="2"/>
        <v>1</v>
      </c>
      <c r="W13" t="s">
        <v>21</v>
      </c>
      <c r="X13" t="s">
        <v>6</v>
      </c>
      <c r="Y13">
        <v>457</v>
      </c>
      <c r="Z13">
        <v>0</v>
      </c>
      <c r="AA13">
        <v>0</v>
      </c>
      <c r="AB13">
        <v>254</v>
      </c>
      <c r="AC13">
        <v>1</v>
      </c>
      <c r="AD13">
        <v>0</v>
      </c>
      <c r="AE13">
        <v>102</v>
      </c>
      <c r="AF13">
        <v>89</v>
      </c>
      <c r="AG13">
        <v>11</v>
      </c>
      <c r="AH13">
        <v>1</v>
      </c>
    </row>
    <row r="14" spans="1:34" x14ac:dyDescent="0.25">
      <c r="A14" t="s">
        <v>21</v>
      </c>
      <c r="B14" t="str">
        <f t="shared" si="3"/>
        <v>qadma</v>
      </c>
      <c r="C14">
        <f t="shared" si="0"/>
        <v>457</v>
      </c>
      <c r="D14">
        <f t="shared" si="4"/>
        <v>0</v>
      </c>
      <c r="E14">
        <f t="shared" si="5"/>
        <v>0</v>
      </c>
      <c r="F14">
        <f t="shared" si="6"/>
        <v>254</v>
      </c>
      <c r="G14">
        <f t="shared" si="7"/>
        <v>1</v>
      </c>
      <c r="H14">
        <f t="shared" si="8"/>
        <v>0</v>
      </c>
      <c r="I14">
        <f t="shared" si="9"/>
        <v>102</v>
      </c>
      <c r="J14">
        <f t="shared" si="10"/>
        <v>89</v>
      </c>
      <c r="K14">
        <f t="shared" si="11"/>
        <v>11</v>
      </c>
      <c r="L14" t="b">
        <f t="shared" si="2"/>
        <v>1</v>
      </c>
      <c r="W14" t="s">
        <v>21</v>
      </c>
      <c r="X14" t="s">
        <v>1</v>
      </c>
      <c r="Y14">
        <v>610</v>
      </c>
      <c r="Z14">
        <v>0</v>
      </c>
      <c r="AA14">
        <v>0</v>
      </c>
      <c r="AB14">
        <v>168</v>
      </c>
      <c r="AC14">
        <v>2</v>
      </c>
      <c r="AD14">
        <v>0</v>
      </c>
      <c r="AE14">
        <v>79</v>
      </c>
      <c r="AF14">
        <v>356</v>
      </c>
      <c r="AG14">
        <v>5</v>
      </c>
      <c r="AH14">
        <v>1</v>
      </c>
    </row>
    <row r="15" spans="1:34" x14ac:dyDescent="0.25">
      <c r="A15" t="s">
        <v>21</v>
      </c>
      <c r="B15" t="str">
        <f t="shared" si="3"/>
        <v>revia</v>
      </c>
      <c r="C15">
        <f t="shared" si="0"/>
        <v>610</v>
      </c>
      <c r="D15">
        <f t="shared" si="4"/>
        <v>0</v>
      </c>
      <c r="E15">
        <f t="shared" si="5"/>
        <v>0</v>
      </c>
      <c r="F15">
        <f t="shared" si="6"/>
        <v>168</v>
      </c>
      <c r="G15">
        <f t="shared" si="7"/>
        <v>2</v>
      </c>
      <c r="H15">
        <f t="shared" si="8"/>
        <v>0</v>
      </c>
      <c r="I15">
        <f t="shared" si="9"/>
        <v>79</v>
      </c>
      <c r="J15">
        <f t="shared" si="10"/>
        <v>356</v>
      </c>
      <c r="K15">
        <f t="shared" si="11"/>
        <v>5</v>
      </c>
      <c r="L15" t="b">
        <f t="shared" si="2"/>
        <v>1</v>
      </c>
      <c r="W15" t="s">
        <v>21</v>
      </c>
      <c r="X15" t="s">
        <v>24</v>
      </c>
      <c r="Y15">
        <v>1700</v>
      </c>
      <c r="Z15">
        <v>0</v>
      </c>
      <c r="AA15">
        <v>0</v>
      </c>
      <c r="AB15">
        <v>401</v>
      </c>
      <c r="AC15">
        <v>35</v>
      </c>
      <c r="AD15">
        <v>1</v>
      </c>
      <c r="AE15">
        <v>201</v>
      </c>
      <c r="AF15">
        <v>186</v>
      </c>
      <c r="AG15">
        <v>876</v>
      </c>
      <c r="AH15">
        <v>1</v>
      </c>
    </row>
    <row r="16" spans="1:34" x14ac:dyDescent="0.25">
      <c r="A16" t="s">
        <v>21</v>
      </c>
      <c r="B16" t="str">
        <f t="shared" si="3"/>
        <v>pashta</v>
      </c>
      <c r="C16">
        <f t="shared" si="0"/>
        <v>1700</v>
      </c>
      <c r="D16">
        <f t="shared" si="4"/>
        <v>0</v>
      </c>
      <c r="E16">
        <f t="shared" si="5"/>
        <v>0</v>
      </c>
      <c r="F16">
        <f t="shared" si="6"/>
        <v>401</v>
      </c>
      <c r="G16">
        <f t="shared" si="7"/>
        <v>35</v>
      </c>
      <c r="H16">
        <f t="shared" si="8"/>
        <v>1</v>
      </c>
      <c r="I16">
        <f t="shared" si="9"/>
        <v>201</v>
      </c>
      <c r="J16">
        <f t="shared" si="10"/>
        <v>186</v>
      </c>
      <c r="K16">
        <f t="shared" si="11"/>
        <v>876</v>
      </c>
      <c r="L16" t="b">
        <f t="shared" si="2"/>
        <v>1</v>
      </c>
      <c r="W16" t="s">
        <v>21</v>
      </c>
      <c r="X16" t="s">
        <v>66</v>
      </c>
      <c r="Y16">
        <v>1877</v>
      </c>
      <c r="Z16">
        <v>0</v>
      </c>
      <c r="AA16">
        <v>0</v>
      </c>
      <c r="AB16">
        <v>212</v>
      </c>
      <c r="AC16">
        <v>12</v>
      </c>
      <c r="AD16">
        <v>0</v>
      </c>
      <c r="AE16">
        <v>49</v>
      </c>
      <c r="AF16">
        <v>1224</v>
      </c>
      <c r="AG16">
        <v>380</v>
      </c>
      <c r="AH16">
        <v>1</v>
      </c>
    </row>
    <row r="17" spans="1:34" x14ac:dyDescent="0.25">
      <c r="A17" t="s">
        <v>21</v>
      </c>
      <c r="B17" t="str">
        <f t="shared" si="3"/>
        <v>zaqef-qatan</v>
      </c>
      <c r="C17">
        <f t="shared" si="0"/>
        <v>1877</v>
      </c>
      <c r="D17">
        <f t="shared" si="4"/>
        <v>0</v>
      </c>
      <c r="E17">
        <f t="shared" si="5"/>
        <v>0</v>
      </c>
      <c r="F17">
        <f t="shared" si="6"/>
        <v>212</v>
      </c>
      <c r="G17">
        <f t="shared" si="7"/>
        <v>12</v>
      </c>
      <c r="H17">
        <f t="shared" si="8"/>
        <v>0</v>
      </c>
      <c r="I17">
        <f t="shared" si="9"/>
        <v>49</v>
      </c>
      <c r="J17">
        <f t="shared" si="10"/>
        <v>1224</v>
      </c>
      <c r="K17">
        <f t="shared" si="11"/>
        <v>380</v>
      </c>
      <c r="L17" t="b">
        <f t="shared" si="2"/>
        <v>1</v>
      </c>
      <c r="W17" t="s">
        <v>25</v>
      </c>
      <c r="X17" t="s">
        <v>68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2</v>
      </c>
    </row>
    <row r="18" spans="1:34" x14ac:dyDescent="0.25">
      <c r="C18">
        <f>SUM(C3:C17)</f>
        <v>5500</v>
      </c>
      <c r="D18" t="s">
        <v>60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W18" t="s">
        <v>25</v>
      </c>
      <c r="X18" t="s">
        <v>67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2</v>
      </c>
    </row>
    <row r="19" spans="1:34" x14ac:dyDescent="0.25">
      <c r="A19" t="s">
        <v>25</v>
      </c>
      <c r="B19" t="str">
        <f>X17</f>
        <v>z-qatan tsinnor</v>
      </c>
      <c r="C19">
        <f>SUM(D19:K19)</f>
        <v>1</v>
      </c>
      <c r="D19">
        <f>Z17</f>
        <v>0</v>
      </c>
      <c r="E19">
        <f t="shared" ref="E19:K19" si="12">AA17</f>
        <v>0</v>
      </c>
      <c r="F19">
        <f t="shared" si="12"/>
        <v>0</v>
      </c>
      <c r="G19">
        <f t="shared" si="12"/>
        <v>0</v>
      </c>
      <c r="H19">
        <f t="shared" si="12"/>
        <v>0</v>
      </c>
      <c r="I19">
        <f t="shared" si="12"/>
        <v>0</v>
      </c>
      <c r="J19">
        <f t="shared" si="12"/>
        <v>1</v>
      </c>
      <c r="K19">
        <f t="shared" si="12"/>
        <v>0</v>
      </c>
      <c r="L19" t="b">
        <f t="shared" ref="L19:L35" si="13">SUM(D19:K19)=Y17</f>
        <v>1</v>
      </c>
      <c r="W19" t="s">
        <v>25</v>
      </c>
      <c r="X19" t="s">
        <v>62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</row>
    <row r="20" spans="1:34" x14ac:dyDescent="0.25">
      <c r="A20" t="s">
        <v>25</v>
      </c>
      <c r="B20" t="str">
        <f t="shared" ref="B20:B36" si="14">X18</f>
        <v>pazer azla</v>
      </c>
      <c r="C20">
        <f t="shared" ref="C20:C36" si="15">SUM(D20:K20)</f>
        <v>1</v>
      </c>
      <c r="D20">
        <f t="shared" ref="D20:D36" si="16">Z18</f>
        <v>0</v>
      </c>
      <c r="E20">
        <f t="shared" ref="E20:E36" si="17">AA18</f>
        <v>0</v>
      </c>
      <c r="F20">
        <f t="shared" ref="F20:F36" si="18">AB18</f>
        <v>0</v>
      </c>
      <c r="G20">
        <f t="shared" ref="G20:G36" si="19">AC18</f>
        <v>0</v>
      </c>
      <c r="H20">
        <f t="shared" ref="H20:H36" si="20">AD18</f>
        <v>0</v>
      </c>
      <c r="I20">
        <f t="shared" ref="I20:I36" si="21">AE18</f>
        <v>0</v>
      </c>
      <c r="J20">
        <f t="shared" ref="J20:J36" si="22">AF18</f>
        <v>1</v>
      </c>
      <c r="K20">
        <f t="shared" ref="K20:K36" si="23">AG18</f>
        <v>0</v>
      </c>
      <c r="L20" t="b">
        <f t="shared" si="13"/>
        <v>1</v>
      </c>
      <c r="W20" t="s">
        <v>25</v>
      </c>
      <c r="X20" t="s">
        <v>71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</row>
    <row r="21" spans="1:34" x14ac:dyDescent="0.25">
      <c r="A21" t="s">
        <v>25</v>
      </c>
      <c r="B21" t="str">
        <f t="shared" si="14"/>
        <v>pashta pashta</v>
      </c>
      <c r="C21">
        <f t="shared" si="15"/>
        <v>1</v>
      </c>
      <c r="D21">
        <f t="shared" si="16"/>
        <v>0</v>
      </c>
      <c r="E21">
        <f t="shared" si="17"/>
        <v>0</v>
      </c>
      <c r="F21">
        <f t="shared" si="18"/>
        <v>1</v>
      </c>
      <c r="G21">
        <f t="shared" si="19"/>
        <v>0</v>
      </c>
      <c r="H21">
        <f t="shared" si="20"/>
        <v>0</v>
      </c>
      <c r="I21">
        <f t="shared" si="21"/>
        <v>0</v>
      </c>
      <c r="J21">
        <f t="shared" si="22"/>
        <v>0</v>
      </c>
      <c r="K21">
        <f t="shared" si="23"/>
        <v>0</v>
      </c>
      <c r="L21" t="b">
        <f t="shared" si="13"/>
        <v>1</v>
      </c>
      <c r="W21" t="s">
        <v>25</v>
      </c>
      <c r="X21" t="s">
        <v>70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</row>
    <row r="22" spans="1:34" x14ac:dyDescent="0.25">
      <c r="A22" t="s">
        <v>25</v>
      </c>
      <c r="B22" t="str">
        <f t="shared" si="14"/>
        <v>z-qatan azla</v>
      </c>
      <c r="C22">
        <f t="shared" si="15"/>
        <v>1</v>
      </c>
      <c r="D22">
        <f t="shared" si="16"/>
        <v>0</v>
      </c>
      <c r="E22">
        <f t="shared" si="17"/>
        <v>0</v>
      </c>
      <c r="F22">
        <f t="shared" si="18"/>
        <v>1</v>
      </c>
      <c r="G22">
        <f t="shared" si="19"/>
        <v>0</v>
      </c>
      <c r="H22">
        <f t="shared" si="20"/>
        <v>0</v>
      </c>
      <c r="I22">
        <f t="shared" si="21"/>
        <v>0</v>
      </c>
      <c r="J22">
        <f t="shared" si="22"/>
        <v>0</v>
      </c>
      <c r="K22">
        <f t="shared" si="23"/>
        <v>0</v>
      </c>
      <c r="L22" t="b">
        <f t="shared" si="13"/>
        <v>1</v>
      </c>
      <c r="W22" t="s">
        <v>25</v>
      </c>
      <c r="X22" t="s">
        <v>69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</row>
    <row r="23" spans="1:34" x14ac:dyDescent="0.25">
      <c r="A23" t="s">
        <v>25</v>
      </c>
      <c r="B23" t="str">
        <f t="shared" si="14"/>
        <v>azla pashta</v>
      </c>
      <c r="C23">
        <f t="shared" si="15"/>
        <v>1</v>
      </c>
      <c r="D23">
        <f t="shared" si="16"/>
        <v>0</v>
      </c>
      <c r="E23">
        <f t="shared" si="17"/>
        <v>0</v>
      </c>
      <c r="F23">
        <f t="shared" si="18"/>
        <v>1</v>
      </c>
      <c r="G23">
        <f t="shared" si="19"/>
        <v>0</v>
      </c>
      <c r="H23">
        <f t="shared" si="20"/>
        <v>0</v>
      </c>
      <c r="I23">
        <f t="shared" si="21"/>
        <v>0</v>
      </c>
      <c r="J23">
        <f t="shared" si="22"/>
        <v>0</v>
      </c>
      <c r="K23">
        <f t="shared" si="23"/>
        <v>0</v>
      </c>
      <c r="L23" t="b">
        <f t="shared" si="13"/>
        <v>1</v>
      </c>
      <c r="W23" t="s">
        <v>25</v>
      </c>
      <c r="X23" t="s">
        <v>5</v>
      </c>
      <c r="Y23">
        <v>29</v>
      </c>
      <c r="Z23">
        <v>0</v>
      </c>
      <c r="AA23">
        <v>0</v>
      </c>
      <c r="AB23">
        <v>18</v>
      </c>
      <c r="AC23">
        <v>0</v>
      </c>
      <c r="AD23">
        <v>0</v>
      </c>
      <c r="AE23">
        <v>5</v>
      </c>
      <c r="AF23">
        <v>5</v>
      </c>
      <c r="AG23">
        <v>1</v>
      </c>
      <c r="AH23">
        <v>2</v>
      </c>
    </row>
    <row r="24" spans="1:34" x14ac:dyDescent="0.25">
      <c r="A24" t="s">
        <v>25</v>
      </c>
      <c r="B24" t="str">
        <f t="shared" si="14"/>
        <v>pazer z-qatan</v>
      </c>
      <c r="C24">
        <f t="shared" si="15"/>
        <v>2</v>
      </c>
      <c r="D24">
        <f t="shared" si="16"/>
        <v>0</v>
      </c>
      <c r="E24">
        <f t="shared" si="17"/>
        <v>0</v>
      </c>
      <c r="F24">
        <f t="shared" si="18"/>
        <v>0</v>
      </c>
      <c r="G24">
        <f t="shared" si="19"/>
        <v>0</v>
      </c>
      <c r="H24">
        <f t="shared" si="20"/>
        <v>0</v>
      </c>
      <c r="I24">
        <f t="shared" si="21"/>
        <v>0</v>
      </c>
      <c r="J24">
        <f t="shared" si="22"/>
        <v>2</v>
      </c>
      <c r="K24">
        <f t="shared" si="23"/>
        <v>0</v>
      </c>
      <c r="L24" t="b">
        <f t="shared" si="13"/>
        <v>1</v>
      </c>
      <c r="W24" t="s">
        <v>25</v>
      </c>
      <c r="X24" t="s">
        <v>63</v>
      </c>
      <c r="Y24">
        <v>44</v>
      </c>
      <c r="Z24">
        <v>0</v>
      </c>
      <c r="AA24">
        <v>0</v>
      </c>
      <c r="AB24">
        <v>12</v>
      </c>
      <c r="AC24">
        <v>0</v>
      </c>
      <c r="AD24">
        <v>0</v>
      </c>
      <c r="AE24">
        <v>10</v>
      </c>
      <c r="AF24">
        <v>22</v>
      </c>
      <c r="AG24">
        <v>0</v>
      </c>
      <c r="AH24">
        <v>2</v>
      </c>
    </row>
    <row r="25" spans="1:34" x14ac:dyDescent="0.25">
      <c r="A25" t="s">
        <v>25</v>
      </c>
      <c r="B25" t="str">
        <f t="shared" si="14"/>
        <v>pazer</v>
      </c>
      <c r="C25">
        <f t="shared" si="15"/>
        <v>29</v>
      </c>
      <c r="D25">
        <f t="shared" si="16"/>
        <v>0</v>
      </c>
      <c r="E25">
        <f t="shared" si="17"/>
        <v>0</v>
      </c>
      <c r="F25">
        <f t="shared" si="18"/>
        <v>18</v>
      </c>
      <c r="G25">
        <f t="shared" si="19"/>
        <v>0</v>
      </c>
      <c r="H25">
        <f t="shared" si="20"/>
        <v>0</v>
      </c>
      <c r="I25">
        <f t="shared" si="21"/>
        <v>5</v>
      </c>
      <c r="J25">
        <f t="shared" si="22"/>
        <v>5</v>
      </c>
      <c r="K25">
        <f t="shared" si="23"/>
        <v>1</v>
      </c>
      <c r="L25" t="b">
        <f t="shared" si="13"/>
        <v>1</v>
      </c>
      <c r="W25" t="s">
        <v>25</v>
      </c>
      <c r="X25" t="s">
        <v>4</v>
      </c>
      <c r="Y25">
        <v>81</v>
      </c>
      <c r="Z25">
        <v>0</v>
      </c>
      <c r="AA25">
        <v>0</v>
      </c>
      <c r="AB25">
        <v>20</v>
      </c>
      <c r="AC25">
        <v>1</v>
      </c>
      <c r="AD25">
        <v>1</v>
      </c>
      <c r="AE25">
        <v>0</v>
      </c>
      <c r="AF25">
        <v>59</v>
      </c>
      <c r="AG25">
        <v>0</v>
      </c>
      <c r="AH25">
        <v>2</v>
      </c>
    </row>
    <row r="26" spans="1:34" x14ac:dyDescent="0.25">
      <c r="A26" t="s">
        <v>25</v>
      </c>
      <c r="B26" t="str">
        <f t="shared" si="14"/>
        <v>telisha-gedola</v>
      </c>
      <c r="C26">
        <f t="shared" si="15"/>
        <v>44</v>
      </c>
      <c r="D26">
        <f t="shared" si="16"/>
        <v>0</v>
      </c>
      <c r="E26">
        <f t="shared" si="17"/>
        <v>0</v>
      </c>
      <c r="F26">
        <f t="shared" si="18"/>
        <v>12</v>
      </c>
      <c r="G26">
        <f t="shared" si="19"/>
        <v>0</v>
      </c>
      <c r="H26">
        <f t="shared" si="20"/>
        <v>0</v>
      </c>
      <c r="I26">
        <f t="shared" si="21"/>
        <v>10</v>
      </c>
      <c r="J26">
        <f t="shared" si="22"/>
        <v>22</v>
      </c>
      <c r="K26">
        <f t="shared" si="23"/>
        <v>0</v>
      </c>
      <c r="L26" t="b">
        <f t="shared" si="13"/>
        <v>1</v>
      </c>
      <c r="W26" t="s">
        <v>25</v>
      </c>
      <c r="X26" t="s">
        <v>22</v>
      </c>
      <c r="Y26">
        <v>82</v>
      </c>
      <c r="Z26">
        <v>0</v>
      </c>
      <c r="AA26">
        <v>0</v>
      </c>
      <c r="AB26">
        <v>12</v>
      </c>
      <c r="AC26">
        <v>1</v>
      </c>
      <c r="AD26">
        <v>0</v>
      </c>
      <c r="AE26">
        <v>1</v>
      </c>
      <c r="AF26">
        <v>68</v>
      </c>
      <c r="AG26">
        <v>0</v>
      </c>
      <c r="AH26">
        <v>2</v>
      </c>
    </row>
    <row r="27" spans="1:34" x14ac:dyDescent="0.25">
      <c r="A27" t="s">
        <v>25</v>
      </c>
      <c r="B27" t="str">
        <f t="shared" si="14"/>
        <v>tsinnor</v>
      </c>
      <c r="C27">
        <f t="shared" si="15"/>
        <v>81</v>
      </c>
      <c r="D27">
        <f t="shared" si="16"/>
        <v>0</v>
      </c>
      <c r="E27">
        <f t="shared" si="17"/>
        <v>0</v>
      </c>
      <c r="F27">
        <f t="shared" si="18"/>
        <v>20</v>
      </c>
      <c r="G27">
        <f t="shared" si="19"/>
        <v>1</v>
      </c>
      <c r="H27">
        <f t="shared" si="20"/>
        <v>1</v>
      </c>
      <c r="I27">
        <f t="shared" si="21"/>
        <v>0</v>
      </c>
      <c r="J27">
        <f t="shared" si="22"/>
        <v>59</v>
      </c>
      <c r="K27">
        <f t="shared" si="23"/>
        <v>0</v>
      </c>
      <c r="L27" t="b">
        <f t="shared" si="13"/>
        <v>1</v>
      </c>
      <c r="W27" t="s">
        <v>25</v>
      </c>
      <c r="X27" t="s">
        <v>64</v>
      </c>
      <c r="Y27">
        <v>90</v>
      </c>
      <c r="Z27">
        <v>0</v>
      </c>
      <c r="AA27">
        <v>2</v>
      </c>
      <c r="AB27">
        <v>45</v>
      </c>
      <c r="AC27">
        <v>1</v>
      </c>
      <c r="AD27">
        <v>0</v>
      </c>
      <c r="AE27">
        <v>17</v>
      </c>
      <c r="AF27">
        <v>24</v>
      </c>
      <c r="AG27">
        <v>1</v>
      </c>
      <c r="AH27">
        <v>2</v>
      </c>
    </row>
    <row r="28" spans="1:34" x14ac:dyDescent="0.25">
      <c r="A28" t="s">
        <v>25</v>
      </c>
      <c r="B28" t="str">
        <f t="shared" si="14"/>
        <v>segol</v>
      </c>
      <c r="C28">
        <f t="shared" si="15"/>
        <v>82</v>
      </c>
      <c r="D28">
        <f t="shared" si="16"/>
        <v>0</v>
      </c>
      <c r="E28">
        <f t="shared" si="17"/>
        <v>0</v>
      </c>
      <c r="F28">
        <f t="shared" si="18"/>
        <v>12</v>
      </c>
      <c r="G28">
        <f t="shared" si="19"/>
        <v>1</v>
      </c>
      <c r="H28">
        <f t="shared" si="20"/>
        <v>0</v>
      </c>
      <c r="I28">
        <f t="shared" si="21"/>
        <v>1</v>
      </c>
      <c r="J28">
        <f t="shared" si="22"/>
        <v>68</v>
      </c>
      <c r="K28">
        <f t="shared" si="23"/>
        <v>0</v>
      </c>
      <c r="L28" t="b">
        <f t="shared" si="13"/>
        <v>1</v>
      </c>
      <c r="W28" t="s">
        <v>25</v>
      </c>
      <c r="X28" t="s">
        <v>65</v>
      </c>
      <c r="Y28">
        <v>99</v>
      </c>
      <c r="Z28">
        <v>0</v>
      </c>
      <c r="AA28">
        <v>0</v>
      </c>
      <c r="AB28">
        <v>26</v>
      </c>
      <c r="AC28">
        <v>0</v>
      </c>
      <c r="AD28">
        <v>0</v>
      </c>
      <c r="AE28">
        <v>42</v>
      </c>
      <c r="AF28">
        <v>23</v>
      </c>
      <c r="AG28">
        <v>8</v>
      </c>
      <c r="AH28">
        <v>2</v>
      </c>
    </row>
    <row r="29" spans="1:34" x14ac:dyDescent="0.25">
      <c r="A29" t="s">
        <v>25</v>
      </c>
      <c r="B29" t="str">
        <f t="shared" si="14"/>
        <v>telisha-qetana</v>
      </c>
      <c r="C29">
        <f t="shared" si="15"/>
        <v>90</v>
      </c>
      <c r="D29">
        <f t="shared" si="16"/>
        <v>0</v>
      </c>
      <c r="E29">
        <f t="shared" si="17"/>
        <v>2</v>
      </c>
      <c r="F29">
        <f t="shared" si="18"/>
        <v>45</v>
      </c>
      <c r="G29">
        <f t="shared" si="19"/>
        <v>1</v>
      </c>
      <c r="H29">
        <f t="shared" si="20"/>
        <v>0</v>
      </c>
      <c r="I29">
        <f t="shared" si="21"/>
        <v>17</v>
      </c>
      <c r="J29">
        <f t="shared" si="22"/>
        <v>24</v>
      </c>
      <c r="K29">
        <f t="shared" si="23"/>
        <v>1</v>
      </c>
      <c r="L29" t="b">
        <f t="shared" si="13"/>
        <v>1</v>
      </c>
      <c r="W29" t="s">
        <v>25</v>
      </c>
      <c r="X29" t="s">
        <v>23</v>
      </c>
      <c r="Y29">
        <v>100</v>
      </c>
      <c r="Z29">
        <v>0</v>
      </c>
      <c r="AA29">
        <v>0</v>
      </c>
      <c r="AB29">
        <v>67</v>
      </c>
      <c r="AC29">
        <v>0</v>
      </c>
      <c r="AD29">
        <v>0</v>
      </c>
      <c r="AE29">
        <v>12</v>
      </c>
      <c r="AF29">
        <v>18</v>
      </c>
      <c r="AG29">
        <v>3</v>
      </c>
      <c r="AH29">
        <v>2</v>
      </c>
    </row>
    <row r="30" spans="1:34" x14ac:dyDescent="0.25">
      <c r="A30" t="s">
        <v>25</v>
      </c>
      <c r="B30" t="str">
        <f t="shared" si="14"/>
        <v>zaqef-gadol</v>
      </c>
      <c r="C30">
        <f t="shared" si="15"/>
        <v>99</v>
      </c>
      <c r="D30">
        <f t="shared" si="16"/>
        <v>0</v>
      </c>
      <c r="E30">
        <f t="shared" si="17"/>
        <v>0</v>
      </c>
      <c r="F30">
        <f t="shared" si="18"/>
        <v>26</v>
      </c>
      <c r="G30">
        <f t="shared" si="19"/>
        <v>0</v>
      </c>
      <c r="H30">
        <f t="shared" si="20"/>
        <v>0</v>
      </c>
      <c r="I30">
        <f t="shared" si="21"/>
        <v>42</v>
      </c>
      <c r="J30">
        <f t="shared" si="22"/>
        <v>23</v>
      </c>
      <c r="K30">
        <f t="shared" si="23"/>
        <v>8</v>
      </c>
      <c r="L30" t="b">
        <f t="shared" si="13"/>
        <v>1</v>
      </c>
      <c r="W30" t="s">
        <v>25</v>
      </c>
      <c r="X30" t="s">
        <v>8</v>
      </c>
      <c r="Y30">
        <v>229</v>
      </c>
      <c r="Z30">
        <v>0</v>
      </c>
      <c r="AA30">
        <v>0</v>
      </c>
      <c r="AB30">
        <v>139</v>
      </c>
      <c r="AC30">
        <v>0</v>
      </c>
      <c r="AD30">
        <v>2</v>
      </c>
      <c r="AE30">
        <v>49</v>
      </c>
      <c r="AF30">
        <v>35</v>
      </c>
      <c r="AG30">
        <v>4</v>
      </c>
      <c r="AH30">
        <v>2</v>
      </c>
    </row>
    <row r="31" spans="1:34" x14ac:dyDescent="0.25">
      <c r="A31" t="s">
        <v>25</v>
      </c>
      <c r="B31" t="str">
        <f t="shared" si="14"/>
        <v>tarsin</v>
      </c>
      <c r="C31">
        <f t="shared" si="15"/>
        <v>100</v>
      </c>
      <c r="D31">
        <f t="shared" si="16"/>
        <v>0</v>
      </c>
      <c r="E31">
        <f t="shared" si="17"/>
        <v>0</v>
      </c>
      <c r="F31">
        <f t="shared" si="18"/>
        <v>67</v>
      </c>
      <c r="G31">
        <f t="shared" si="19"/>
        <v>0</v>
      </c>
      <c r="H31">
        <f t="shared" si="20"/>
        <v>0</v>
      </c>
      <c r="I31">
        <f t="shared" si="21"/>
        <v>12</v>
      </c>
      <c r="J31">
        <f t="shared" si="22"/>
        <v>18</v>
      </c>
      <c r="K31">
        <f t="shared" si="23"/>
        <v>3</v>
      </c>
      <c r="L31" t="b">
        <f t="shared" si="13"/>
        <v>1</v>
      </c>
      <c r="W31" t="s">
        <v>25</v>
      </c>
      <c r="X31" t="s">
        <v>6</v>
      </c>
      <c r="Y31">
        <v>410</v>
      </c>
      <c r="Z31">
        <v>0</v>
      </c>
      <c r="AA31">
        <v>0</v>
      </c>
      <c r="AB31">
        <v>215</v>
      </c>
      <c r="AC31">
        <v>2</v>
      </c>
      <c r="AD31">
        <v>1</v>
      </c>
      <c r="AE31">
        <v>101</v>
      </c>
      <c r="AF31">
        <v>80</v>
      </c>
      <c r="AG31">
        <v>11</v>
      </c>
      <c r="AH31">
        <v>2</v>
      </c>
    </row>
    <row r="32" spans="1:34" x14ac:dyDescent="0.25">
      <c r="A32" t="s">
        <v>25</v>
      </c>
      <c r="B32" t="str">
        <f t="shared" si="14"/>
        <v>azla</v>
      </c>
      <c r="C32">
        <f t="shared" si="15"/>
        <v>229</v>
      </c>
      <c r="D32">
        <f t="shared" si="16"/>
        <v>0</v>
      </c>
      <c r="E32">
        <f t="shared" si="17"/>
        <v>0</v>
      </c>
      <c r="F32">
        <f t="shared" si="18"/>
        <v>139</v>
      </c>
      <c r="G32">
        <f t="shared" si="19"/>
        <v>0</v>
      </c>
      <c r="H32">
        <f t="shared" si="20"/>
        <v>2</v>
      </c>
      <c r="I32">
        <f t="shared" si="21"/>
        <v>49</v>
      </c>
      <c r="J32">
        <f t="shared" si="22"/>
        <v>35</v>
      </c>
      <c r="K32">
        <f t="shared" si="23"/>
        <v>4</v>
      </c>
      <c r="L32" t="b">
        <f t="shared" si="13"/>
        <v>1</v>
      </c>
      <c r="W32" t="s">
        <v>25</v>
      </c>
      <c r="X32" t="s">
        <v>1</v>
      </c>
      <c r="Y32">
        <v>507</v>
      </c>
      <c r="Z32">
        <v>0</v>
      </c>
      <c r="AA32">
        <v>0</v>
      </c>
      <c r="AB32">
        <v>140</v>
      </c>
      <c r="AC32">
        <v>0</v>
      </c>
      <c r="AD32">
        <v>0</v>
      </c>
      <c r="AE32">
        <v>56</v>
      </c>
      <c r="AF32">
        <v>310</v>
      </c>
      <c r="AG32">
        <v>1</v>
      </c>
      <c r="AH32">
        <v>2</v>
      </c>
    </row>
    <row r="33" spans="1:34" x14ac:dyDescent="0.25">
      <c r="A33" t="s">
        <v>25</v>
      </c>
      <c r="B33" t="str">
        <f t="shared" si="14"/>
        <v>qadma</v>
      </c>
      <c r="C33">
        <f t="shared" si="15"/>
        <v>410</v>
      </c>
      <c r="D33">
        <f t="shared" si="16"/>
        <v>0</v>
      </c>
      <c r="E33">
        <f t="shared" si="17"/>
        <v>0</v>
      </c>
      <c r="F33">
        <f t="shared" si="18"/>
        <v>215</v>
      </c>
      <c r="G33">
        <f t="shared" si="19"/>
        <v>2</v>
      </c>
      <c r="H33">
        <f t="shared" si="20"/>
        <v>1</v>
      </c>
      <c r="I33">
        <f t="shared" si="21"/>
        <v>101</v>
      </c>
      <c r="J33">
        <f t="shared" si="22"/>
        <v>80</v>
      </c>
      <c r="K33">
        <f t="shared" si="23"/>
        <v>11</v>
      </c>
      <c r="L33" t="b">
        <f t="shared" si="13"/>
        <v>1</v>
      </c>
      <c r="W33" t="s">
        <v>25</v>
      </c>
      <c r="X33" t="s">
        <v>24</v>
      </c>
      <c r="Y33">
        <v>1339</v>
      </c>
      <c r="Z33">
        <v>0</v>
      </c>
      <c r="AA33">
        <v>0</v>
      </c>
      <c r="AB33">
        <v>301</v>
      </c>
      <c r="AC33">
        <v>40</v>
      </c>
      <c r="AD33">
        <v>4</v>
      </c>
      <c r="AE33">
        <v>128</v>
      </c>
      <c r="AF33">
        <v>159</v>
      </c>
      <c r="AG33">
        <v>707</v>
      </c>
      <c r="AH33">
        <v>2</v>
      </c>
    </row>
    <row r="34" spans="1:34" x14ac:dyDescent="0.25">
      <c r="A34" t="s">
        <v>25</v>
      </c>
      <c r="B34" t="str">
        <f t="shared" si="14"/>
        <v>revia</v>
      </c>
      <c r="C34">
        <f t="shared" si="15"/>
        <v>507</v>
      </c>
      <c r="D34">
        <f t="shared" si="16"/>
        <v>0</v>
      </c>
      <c r="E34">
        <f t="shared" si="17"/>
        <v>0</v>
      </c>
      <c r="F34">
        <f t="shared" si="18"/>
        <v>140</v>
      </c>
      <c r="G34">
        <f t="shared" si="19"/>
        <v>0</v>
      </c>
      <c r="H34">
        <f t="shared" si="20"/>
        <v>0</v>
      </c>
      <c r="I34">
        <f t="shared" si="21"/>
        <v>56</v>
      </c>
      <c r="J34">
        <f t="shared" si="22"/>
        <v>310</v>
      </c>
      <c r="K34">
        <f t="shared" si="23"/>
        <v>1</v>
      </c>
      <c r="L34" t="b">
        <f t="shared" si="13"/>
        <v>1</v>
      </c>
      <c r="W34" t="s">
        <v>25</v>
      </c>
      <c r="X34" t="s">
        <v>66</v>
      </c>
      <c r="Y34">
        <v>1477</v>
      </c>
      <c r="Z34">
        <v>0</v>
      </c>
      <c r="AA34">
        <v>0</v>
      </c>
      <c r="AB34">
        <v>195</v>
      </c>
      <c r="AC34">
        <v>14</v>
      </c>
      <c r="AD34">
        <v>0</v>
      </c>
      <c r="AE34">
        <v>49</v>
      </c>
      <c r="AF34">
        <v>920</v>
      </c>
      <c r="AG34">
        <v>299</v>
      </c>
      <c r="AH34">
        <v>2</v>
      </c>
    </row>
    <row r="35" spans="1:34" x14ac:dyDescent="0.25">
      <c r="A35" t="s">
        <v>25</v>
      </c>
      <c r="B35" t="str">
        <f t="shared" si="14"/>
        <v>pashta</v>
      </c>
      <c r="C35">
        <f t="shared" si="15"/>
        <v>1339</v>
      </c>
      <c r="D35">
        <f t="shared" si="16"/>
        <v>0</v>
      </c>
      <c r="E35">
        <f t="shared" si="17"/>
        <v>0</v>
      </c>
      <c r="F35">
        <f t="shared" si="18"/>
        <v>301</v>
      </c>
      <c r="G35">
        <f t="shared" si="19"/>
        <v>40</v>
      </c>
      <c r="H35">
        <f t="shared" si="20"/>
        <v>4</v>
      </c>
      <c r="I35">
        <f t="shared" si="21"/>
        <v>128</v>
      </c>
      <c r="J35">
        <f t="shared" si="22"/>
        <v>159</v>
      </c>
      <c r="K35">
        <f t="shared" si="23"/>
        <v>707</v>
      </c>
      <c r="L35" t="b">
        <f t="shared" si="13"/>
        <v>1</v>
      </c>
      <c r="W35" t="s">
        <v>26</v>
      </c>
      <c r="X35" t="s">
        <v>11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</v>
      </c>
    </row>
    <row r="36" spans="1:34" x14ac:dyDescent="0.25">
      <c r="A36" t="s">
        <v>25</v>
      </c>
      <c r="B36" t="str">
        <f t="shared" si="14"/>
        <v>zaqef-qatan</v>
      </c>
      <c r="C36">
        <f t="shared" si="15"/>
        <v>1477</v>
      </c>
      <c r="D36">
        <f t="shared" si="16"/>
        <v>0</v>
      </c>
      <c r="E36">
        <f t="shared" si="17"/>
        <v>0</v>
      </c>
      <c r="F36">
        <f t="shared" si="18"/>
        <v>195</v>
      </c>
      <c r="G36">
        <f t="shared" si="19"/>
        <v>14</v>
      </c>
      <c r="H36">
        <f t="shared" si="20"/>
        <v>0</v>
      </c>
      <c r="I36">
        <f t="shared" si="21"/>
        <v>49</v>
      </c>
      <c r="J36">
        <f t="shared" si="22"/>
        <v>920</v>
      </c>
      <c r="K36">
        <f t="shared" si="23"/>
        <v>299</v>
      </c>
      <c r="L36" t="b">
        <f>SUM(D36:K36)=Y34</f>
        <v>1</v>
      </c>
      <c r="W36" t="s">
        <v>26</v>
      </c>
      <c r="X36" t="s">
        <v>5</v>
      </c>
      <c r="Y36">
        <v>27</v>
      </c>
      <c r="Z36">
        <v>0</v>
      </c>
      <c r="AA36">
        <v>0</v>
      </c>
      <c r="AB36">
        <v>12</v>
      </c>
      <c r="AC36">
        <v>0</v>
      </c>
      <c r="AD36">
        <v>0</v>
      </c>
      <c r="AE36">
        <v>8</v>
      </c>
      <c r="AF36">
        <v>7</v>
      </c>
      <c r="AG36">
        <v>0</v>
      </c>
      <c r="AH36">
        <v>3</v>
      </c>
    </row>
    <row r="37" spans="1:34" x14ac:dyDescent="0.25">
      <c r="C37">
        <f>SUM(C19:C36)</f>
        <v>4494</v>
      </c>
      <c r="D37" t="s">
        <v>60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W37" t="s">
        <v>26</v>
      </c>
      <c r="X37" t="s">
        <v>22</v>
      </c>
      <c r="Y37">
        <v>55</v>
      </c>
      <c r="Z37">
        <v>0</v>
      </c>
      <c r="AA37">
        <v>0</v>
      </c>
      <c r="AB37">
        <v>7</v>
      </c>
      <c r="AC37">
        <v>1</v>
      </c>
      <c r="AD37">
        <v>0</v>
      </c>
      <c r="AE37">
        <v>0</v>
      </c>
      <c r="AF37">
        <v>47</v>
      </c>
      <c r="AG37">
        <v>0</v>
      </c>
      <c r="AH37">
        <v>3</v>
      </c>
    </row>
    <row r="38" spans="1:34" x14ac:dyDescent="0.25">
      <c r="A38" t="s">
        <v>26</v>
      </c>
      <c r="B38" t="str">
        <f t="shared" ref="B38:B50" si="24">X35</f>
        <v>shalshelet</v>
      </c>
      <c r="C38">
        <f t="shared" ref="C38:C50" si="25">SUM(D38:K38)</f>
        <v>1</v>
      </c>
      <c r="D38">
        <f t="shared" ref="D38:D50" si="26">Z35</f>
        <v>0</v>
      </c>
      <c r="E38">
        <f t="shared" ref="E38:E50" si="27">AA35</f>
        <v>0</v>
      </c>
      <c r="F38">
        <f t="shared" ref="F38:F50" si="28">AB35</f>
        <v>1</v>
      </c>
      <c r="G38">
        <f t="shared" ref="G38:G50" si="29">AC35</f>
        <v>0</v>
      </c>
      <c r="H38">
        <f t="shared" ref="H38:H50" si="30">AD35</f>
        <v>0</v>
      </c>
      <c r="I38">
        <f t="shared" ref="I38:I50" si="31">AE35</f>
        <v>0</v>
      </c>
      <c r="J38">
        <f t="shared" ref="J38:J50" si="32">AF35</f>
        <v>0</v>
      </c>
      <c r="K38">
        <f t="shared" ref="K38:K50" si="33">AG35</f>
        <v>0</v>
      </c>
      <c r="L38" t="b">
        <f t="shared" ref="L38:L50" si="34">SUM(D38:K38)=Y35</f>
        <v>1</v>
      </c>
      <c r="W38" t="s">
        <v>26</v>
      </c>
      <c r="X38" t="s">
        <v>65</v>
      </c>
      <c r="Y38">
        <v>55</v>
      </c>
      <c r="Z38">
        <v>0</v>
      </c>
      <c r="AA38">
        <v>0</v>
      </c>
      <c r="AB38">
        <v>20</v>
      </c>
      <c r="AC38">
        <v>1</v>
      </c>
      <c r="AD38">
        <v>0</v>
      </c>
      <c r="AE38">
        <v>14</v>
      </c>
      <c r="AF38">
        <v>15</v>
      </c>
      <c r="AG38">
        <v>5</v>
      </c>
      <c r="AH38">
        <v>3</v>
      </c>
    </row>
    <row r="39" spans="1:34" x14ac:dyDescent="0.25">
      <c r="A39" t="s">
        <v>26</v>
      </c>
      <c r="B39" t="str">
        <f t="shared" si="24"/>
        <v>pazer</v>
      </c>
      <c r="C39">
        <f t="shared" si="25"/>
        <v>27</v>
      </c>
      <c r="D39">
        <f t="shared" si="26"/>
        <v>0</v>
      </c>
      <c r="E39">
        <f t="shared" si="27"/>
        <v>0</v>
      </c>
      <c r="F39">
        <f t="shared" si="28"/>
        <v>12</v>
      </c>
      <c r="G39">
        <f t="shared" si="29"/>
        <v>0</v>
      </c>
      <c r="H39">
        <f t="shared" si="30"/>
        <v>0</v>
      </c>
      <c r="I39">
        <f t="shared" si="31"/>
        <v>8</v>
      </c>
      <c r="J39">
        <f t="shared" si="32"/>
        <v>7</v>
      </c>
      <c r="K39">
        <f t="shared" si="33"/>
        <v>0</v>
      </c>
      <c r="L39" t="b">
        <f t="shared" si="34"/>
        <v>1</v>
      </c>
      <c r="W39" t="s">
        <v>26</v>
      </c>
      <c r="X39" t="s">
        <v>4</v>
      </c>
      <c r="Y39">
        <v>56</v>
      </c>
      <c r="Z39">
        <v>0</v>
      </c>
      <c r="AA39">
        <v>0</v>
      </c>
      <c r="AB39">
        <v>16</v>
      </c>
      <c r="AC39">
        <v>2</v>
      </c>
      <c r="AD39">
        <v>0</v>
      </c>
      <c r="AE39">
        <v>0</v>
      </c>
      <c r="AF39">
        <v>38</v>
      </c>
      <c r="AG39">
        <v>0</v>
      </c>
      <c r="AH39">
        <v>3</v>
      </c>
    </row>
    <row r="40" spans="1:34" x14ac:dyDescent="0.25">
      <c r="A40" t="s">
        <v>26</v>
      </c>
      <c r="B40" t="str">
        <f t="shared" si="24"/>
        <v>segol</v>
      </c>
      <c r="C40">
        <f t="shared" si="25"/>
        <v>55</v>
      </c>
      <c r="D40">
        <f t="shared" si="26"/>
        <v>0</v>
      </c>
      <c r="E40">
        <f t="shared" si="27"/>
        <v>0</v>
      </c>
      <c r="F40">
        <f t="shared" si="28"/>
        <v>7</v>
      </c>
      <c r="G40">
        <f t="shared" si="29"/>
        <v>1</v>
      </c>
      <c r="H40">
        <f t="shared" si="30"/>
        <v>0</v>
      </c>
      <c r="I40">
        <f t="shared" si="31"/>
        <v>0</v>
      </c>
      <c r="J40">
        <f t="shared" si="32"/>
        <v>47</v>
      </c>
      <c r="K40">
        <f t="shared" si="33"/>
        <v>0</v>
      </c>
      <c r="L40" t="b">
        <f t="shared" si="34"/>
        <v>1</v>
      </c>
      <c r="W40" t="s">
        <v>26</v>
      </c>
      <c r="X40" t="s">
        <v>63</v>
      </c>
      <c r="Y40">
        <v>57</v>
      </c>
      <c r="Z40">
        <v>0</v>
      </c>
      <c r="AA40">
        <v>0</v>
      </c>
      <c r="AB40">
        <v>24</v>
      </c>
      <c r="AC40">
        <v>0</v>
      </c>
      <c r="AD40">
        <v>0</v>
      </c>
      <c r="AE40">
        <v>12</v>
      </c>
      <c r="AF40">
        <v>19</v>
      </c>
      <c r="AG40">
        <v>2</v>
      </c>
      <c r="AH40">
        <v>3</v>
      </c>
    </row>
    <row r="41" spans="1:34" x14ac:dyDescent="0.25">
      <c r="A41" t="s">
        <v>26</v>
      </c>
      <c r="B41" t="str">
        <f t="shared" si="24"/>
        <v>zaqef-gadol</v>
      </c>
      <c r="C41">
        <f t="shared" si="25"/>
        <v>55</v>
      </c>
      <c r="D41">
        <f t="shared" si="26"/>
        <v>0</v>
      </c>
      <c r="E41">
        <f t="shared" si="27"/>
        <v>0</v>
      </c>
      <c r="F41">
        <f t="shared" si="28"/>
        <v>20</v>
      </c>
      <c r="G41">
        <f t="shared" si="29"/>
        <v>1</v>
      </c>
      <c r="H41">
        <f t="shared" si="30"/>
        <v>0</v>
      </c>
      <c r="I41">
        <f t="shared" si="31"/>
        <v>14</v>
      </c>
      <c r="J41">
        <f t="shared" si="32"/>
        <v>15</v>
      </c>
      <c r="K41">
        <f t="shared" si="33"/>
        <v>5</v>
      </c>
      <c r="L41" t="b">
        <f t="shared" si="34"/>
        <v>1</v>
      </c>
      <c r="W41" t="s">
        <v>26</v>
      </c>
      <c r="X41" t="s">
        <v>64</v>
      </c>
      <c r="Y41">
        <v>71</v>
      </c>
      <c r="Z41">
        <v>0</v>
      </c>
      <c r="AA41">
        <v>0</v>
      </c>
      <c r="AB41">
        <v>39</v>
      </c>
      <c r="AC41">
        <v>0</v>
      </c>
      <c r="AD41">
        <v>0</v>
      </c>
      <c r="AE41">
        <v>10</v>
      </c>
      <c r="AF41">
        <v>22</v>
      </c>
      <c r="AG41">
        <v>0</v>
      </c>
      <c r="AH41">
        <v>3</v>
      </c>
    </row>
    <row r="42" spans="1:34" x14ac:dyDescent="0.25">
      <c r="A42" t="s">
        <v>26</v>
      </c>
      <c r="B42" t="str">
        <f t="shared" si="24"/>
        <v>tsinnor</v>
      </c>
      <c r="C42">
        <f t="shared" si="25"/>
        <v>56</v>
      </c>
      <c r="D42">
        <f t="shared" si="26"/>
        <v>0</v>
      </c>
      <c r="E42">
        <f t="shared" si="27"/>
        <v>0</v>
      </c>
      <c r="F42">
        <f t="shared" si="28"/>
        <v>16</v>
      </c>
      <c r="G42">
        <f t="shared" si="29"/>
        <v>2</v>
      </c>
      <c r="H42">
        <f t="shared" si="30"/>
        <v>0</v>
      </c>
      <c r="I42">
        <f t="shared" si="31"/>
        <v>0</v>
      </c>
      <c r="J42">
        <f t="shared" si="32"/>
        <v>38</v>
      </c>
      <c r="K42">
        <f t="shared" si="33"/>
        <v>0</v>
      </c>
      <c r="L42" t="b">
        <f t="shared" si="34"/>
        <v>1</v>
      </c>
      <c r="W42" t="s">
        <v>26</v>
      </c>
      <c r="X42" t="s">
        <v>23</v>
      </c>
      <c r="Y42">
        <v>76</v>
      </c>
      <c r="Z42">
        <v>0</v>
      </c>
      <c r="AA42">
        <v>0</v>
      </c>
      <c r="AB42">
        <v>48</v>
      </c>
      <c r="AC42">
        <v>0</v>
      </c>
      <c r="AD42">
        <v>0</v>
      </c>
      <c r="AE42">
        <v>11</v>
      </c>
      <c r="AF42">
        <v>15</v>
      </c>
      <c r="AG42">
        <v>2</v>
      </c>
      <c r="AH42">
        <v>3</v>
      </c>
    </row>
    <row r="43" spans="1:34" x14ac:dyDescent="0.25">
      <c r="A43" t="s">
        <v>26</v>
      </c>
      <c r="B43" t="str">
        <f t="shared" si="24"/>
        <v>telisha-gedola</v>
      </c>
      <c r="C43">
        <f t="shared" si="25"/>
        <v>57</v>
      </c>
      <c r="D43">
        <f t="shared" si="26"/>
        <v>0</v>
      </c>
      <c r="E43">
        <f t="shared" si="27"/>
        <v>0</v>
      </c>
      <c r="F43">
        <f t="shared" si="28"/>
        <v>24</v>
      </c>
      <c r="G43">
        <f t="shared" si="29"/>
        <v>0</v>
      </c>
      <c r="H43">
        <f t="shared" si="30"/>
        <v>0</v>
      </c>
      <c r="I43">
        <f t="shared" si="31"/>
        <v>12</v>
      </c>
      <c r="J43">
        <f t="shared" si="32"/>
        <v>19</v>
      </c>
      <c r="K43">
        <f t="shared" si="33"/>
        <v>2</v>
      </c>
      <c r="L43" t="b">
        <f t="shared" si="34"/>
        <v>1</v>
      </c>
      <c r="W43" t="s">
        <v>26</v>
      </c>
      <c r="X43" t="s">
        <v>8</v>
      </c>
      <c r="Y43">
        <v>175</v>
      </c>
      <c r="Z43">
        <v>0</v>
      </c>
      <c r="AA43">
        <v>0</v>
      </c>
      <c r="AB43">
        <v>110</v>
      </c>
      <c r="AC43">
        <v>0</v>
      </c>
      <c r="AD43">
        <v>0</v>
      </c>
      <c r="AE43">
        <v>27</v>
      </c>
      <c r="AF43">
        <v>35</v>
      </c>
      <c r="AG43">
        <v>2</v>
      </c>
      <c r="AH43">
        <v>3</v>
      </c>
    </row>
    <row r="44" spans="1:34" x14ac:dyDescent="0.25">
      <c r="A44" t="s">
        <v>26</v>
      </c>
      <c r="B44" t="str">
        <f t="shared" si="24"/>
        <v>telisha-qetana</v>
      </c>
      <c r="C44">
        <f t="shared" si="25"/>
        <v>71</v>
      </c>
      <c r="D44">
        <f t="shared" si="26"/>
        <v>0</v>
      </c>
      <c r="E44">
        <f t="shared" si="27"/>
        <v>0</v>
      </c>
      <c r="F44">
        <f t="shared" si="28"/>
        <v>39</v>
      </c>
      <c r="G44">
        <f t="shared" si="29"/>
        <v>0</v>
      </c>
      <c r="H44">
        <f t="shared" si="30"/>
        <v>0</v>
      </c>
      <c r="I44">
        <f t="shared" si="31"/>
        <v>10</v>
      </c>
      <c r="J44">
        <f t="shared" si="32"/>
        <v>22</v>
      </c>
      <c r="K44">
        <f t="shared" si="33"/>
        <v>0</v>
      </c>
      <c r="L44" t="b">
        <f t="shared" si="34"/>
        <v>1</v>
      </c>
      <c r="W44" t="s">
        <v>26</v>
      </c>
      <c r="X44" t="s">
        <v>1</v>
      </c>
      <c r="Y44">
        <v>313</v>
      </c>
      <c r="Z44">
        <v>0</v>
      </c>
      <c r="AA44">
        <v>0</v>
      </c>
      <c r="AB44">
        <v>96</v>
      </c>
      <c r="AC44">
        <v>0</v>
      </c>
      <c r="AD44">
        <v>0</v>
      </c>
      <c r="AE44">
        <v>20</v>
      </c>
      <c r="AF44">
        <v>197</v>
      </c>
      <c r="AG44">
        <v>0</v>
      </c>
      <c r="AH44">
        <v>3</v>
      </c>
    </row>
    <row r="45" spans="1:34" x14ac:dyDescent="0.25">
      <c r="A45" t="s">
        <v>26</v>
      </c>
      <c r="B45" t="str">
        <f t="shared" si="24"/>
        <v>tarsin</v>
      </c>
      <c r="C45">
        <f t="shared" si="25"/>
        <v>76</v>
      </c>
      <c r="D45">
        <f t="shared" si="26"/>
        <v>0</v>
      </c>
      <c r="E45">
        <f t="shared" si="27"/>
        <v>0</v>
      </c>
      <c r="F45">
        <f t="shared" si="28"/>
        <v>48</v>
      </c>
      <c r="G45">
        <f t="shared" si="29"/>
        <v>0</v>
      </c>
      <c r="H45">
        <f t="shared" si="30"/>
        <v>0</v>
      </c>
      <c r="I45">
        <f t="shared" si="31"/>
        <v>11</v>
      </c>
      <c r="J45">
        <f t="shared" si="32"/>
        <v>15</v>
      </c>
      <c r="K45">
        <f t="shared" si="33"/>
        <v>2</v>
      </c>
      <c r="L45" t="b">
        <f t="shared" si="34"/>
        <v>1</v>
      </c>
      <c r="W45" t="s">
        <v>26</v>
      </c>
      <c r="X45" t="s">
        <v>6</v>
      </c>
      <c r="Y45">
        <v>334</v>
      </c>
      <c r="Z45">
        <v>0</v>
      </c>
      <c r="AA45">
        <v>0</v>
      </c>
      <c r="AB45">
        <v>182</v>
      </c>
      <c r="AC45">
        <v>0</v>
      </c>
      <c r="AD45">
        <v>0</v>
      </c>
      <c r="AE45">
        <v>70</v>
      </c>
      <c r="AF45">
        <v>76</v>
      </c>
      <c r="AG45">
        <v>6</v>
      </c>
      <c r="AH45">
        <v>3</v>
      </c>
    </row>
    <row r="46" spans="1:34" x14ac:dyDescent="0.25">
      <c r="A46" t="s">
        <v>26</v>
      </c>
      <c r="B46" t="str">
        <f t="shared" si="24"/>
        <v>azla</v>
      </c>
      <c r="C46">
        <v>175</v>
      </c>
      <c r="D46">
        <f t="shared" si="26"/>
        <v>0</v>
      </c>
      <c r="E46">
        <f t="shared" si="27"/>
        <v>0</v>
      </c>
      <c r="F46">
        <f t="shared" si="28"/>
        <v>110</v>
      </c>
      <c r="G46">
        <f t="shared" si="29"/>
        <v>0</v>
      </c>
      <c r="H46">
        <f t="shared" si="30"/>
        <v>0</v>
      </c>
      <c r="I46">
        <f t="shared" si="31"/>
        <v>27</v>
      </c>
      <c r="J46">
        <f t="shared" si="32"/>
        <v>35</v>
      </c>
      <c r="K46">
        <f t="shared" si="33"/>
        <v>2</v>
      </c>
      <c r="L46" t="b">
        <f t="shared" si="34"/>
        <v>0</v>
      </c>
      <c r="W46" t="s">
        <v>26</v>
      </c>
      <c r="X46" t="s">
        <v>24</v>
      </c>
      <c r="Y46">
        <v>900</v>
      </c>
      <c r="Z46">
        <v>0</v>
      </c>
      <c r="AA46">
        <v>0</v>
      </c>
      <c r="AB46">
        <v>225</v>
      </c>
      <c r="AC46">
        <v>32</v>
      </c>
      <c r="AD46">
        <v>0</v>
      </c>
      <c r="AE46">
        <v>70</v>
      </c>
      <c r="AF46">
        <v>105</v>
      </c>
      <c r="AG46">
        <v>468</v>
      </c>
      <c r="AH46">
        <v>3</v>
      </c>
    </row>
    <row r="47" spans="1:34" x14ac:dyDescent="0.25">
      <c r="A47" t="s">
        <v>26</v>
      </c>
      <c r="B47" t="str">
        <f t="shared" si="24"/>
        <v>revia</v>
      </c>
      <c r="C47">
        <f t="shared" si="25"/>
        <v>313</v>
      </c>
      <c r="D47">
        <f t="shared" si="26"/>
        <v>0</v>
      </c>
      <c r="E47">
        <f t="shared" si="27"/>
        <v>0</v>
      </c>
      <c r="F47">
        <f t="shared" si="28"/>
        <v>96</v>
      </c>
      <c r="G47">
        <f t="shared" si="29"/>
        <v>0</v>
      </c>
      <c r="H47">
        <f t="shared" si="30"/>
        <v>0</v>
      </c>
      <c r="I47">
        <f t="shared" si="31"/>
        <v>20</v>
      </c>
      <c r="J47">
        <f t="shared" si="32"/>
        <v>197</v>
      </c>
      <c r="K47">
        <f t="shared" si="33"/>
        <v>0</v>
      </c>
      <c r="L47" t="b">
        <f t="shared" si="34"/>
        <v>1</v>
      </c>
      <c r="W47" t="s">
        <v>26</v>
      </c>
      <c r="X47" t="s">
        <v>66</v>
      </c>
      <c r="Y47">
        <v>987</v>
      </c>
      <c r="Z47">
        <v>0</v>
      </c>
      <c r="AA47">
        <v>0</v>
      </c>
      <c r="AB47">
        <v>131</v>
      </c>
      <c r="AC47">
        <v>12</v>
      </c>
      <c r="AD47">
        <v>0</v>
      </c>
      <c r="AE47">
        <v>30</v>
      </c>
      <c r="AF47">
        <v>612</v>
      </c>
      <c r="AG47">
        <v>202</v>
      </c>
      <c r="AH47">
        <v>3</v>
      </c>
    </row>
    <row r="48" spans="1:34" x14ac:dyDescent="0.25">
      <c r="A48" t="s">
        <v>26</v>
      </c>
      <c r="B48" t="str">
        <f t="shared" si="24"/>
        <v>qadma</v>
      </c>
      <c r="C48">
        <f t="shared" si="25"/>
        <v>334</v>
      </c>
      <c r="D48">
        <f t="shared" si="26"/>
        <v>0</v>
      </c>
      <c r="E48">
        <f t="shared" si="27"/>
        <v>0</v>
      </c>
      <c r="F48">
        <f t="shared" si="28"/>
        <v>182</v>
      </c>
      <c r="G48">
        <f t="shared" si="29"/>
        <v>0</v>
      </c>
      <c r="H48">
        <f t="shared" si="30"/>
        <v>0</v>
      </c>
      <c r="I48">
        <f t="shared" si="31"/>
        <v>70</v>
      </c>
      <c r="J48">
        <f t="shared" si="32"/>
        <v>76</v>
      </c>
      <c r="K48">
        <f t="shared" si="33"/>
        <v>6</v>
      </c>
      <c r="L48" t="b">
        <f t="shared" si="34"/>
        <v>1</v>
      </c>
      <c r="W48" t="s">
        <v>27</v>
      </c>
      <c r="X48" t="s">
        <v>72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</row>
    <row r="49" spans="1:34" x14ac:dyDescent="0.25">
      <c r="A49" t="s">
        <v>26</v>
      </c>
      <c r="B49" t="str">
        <f t="shared" si="24"/>
        <v>pashta</v>
      </c>
      <c r="C49">
        <f t="shared" si="25"/>
        <v>900</v>
      </c>
      <c r="D49">
        <f t="shared" si="26"/>
        <v>0</v>
      </c>
      <c r="E49">
        <f t="shared" si="27"/>
        <v>0</v>
      </c>
      <c r="F49">
        <f t="shared" si="28"/>
        <v>225</v>
      </c>
      <c r="G49">
        <f t="shared" si="29"/>
        <v>32</v>
      </c>
      <c r="H49">
        <f t="shared" si="30"/>
        <v>0</v>
      </c>
      <c r="I49">
        <f t="shared" si="31"/>
        <v>70</v>
      </c>
      <c r="J49">
        <f t="shared" si="32"/>
        <v>105</v>
      </c>
      <c r="K49">
        <f t="shared" si="33"/>
        <v>468</v>
      </c>
      <c r="L49" t="b">
        <f t="shared" si="34"/>
        <v>1</v>
      </c>
      <c r="W49" t="s">
        <v>27</v>
      </c>
      <c r="X49" t="s">
        <v>5</v>
      </c>
      <c r="Y49">
        <v>36</v>
      </c>
      <c r="Z49">
        <v>0</v>
      </c>
      <c r="AA49">
        <v>0</v>
      </c>
      <c r="AB49">
        <v>14</v>
      </c>
      <c r="AC49">
        <v>0</v>
      </c>
      <c r="AD49">
        <v>0</v>
      </c>
      <c r="AE49">
        <v>1</v>
      </c>
      <c r="AF49">
        <v>21</v>
      </c>
      <c r="AG49">
        <v>0</v>
      </c>
      <c r="AH49">
        <v>4</v>
      </c>
    </row>
    <row r="50" spans="1:34" x14ac:dyDescent="0.25">
      <c r="A50" t="s">
        <v>26</v>
      </c>
      <c r="B50" t="str">
        <f t="shared" si="24"/>
        <v>zaqef-qatan</v>
      </c>
      <c r="C50">
        <f t="shared" si="25"/>
        <v>987</v>
      </c>
      <c r="D50">
        <f t="shared" si="26"/>
        <v>0</v>
      </c>
      <c r="E50">
        <f t="shared" si="27"/>
        <v>0</v>
      </c>
      <c r="F50">
        <f t="shared" si="28"/>
        <v>131</v>
      </c>
      <c r="G50">
        <f t="shared" si="29"/>
        <v>12</v>
      </c>
      <c r="H50">
        <f t="shared" si="30"/>
        <v>0</v>
      </c>
      <c r="I50">
        <f t="shared" si="31"/>
        <v>30</v>
      </c>
      <c r="J50">
        <f t="shared" si="32"/>
        <v>612</v>
      </c>
      <c r="K50">
        <f t="shared" si="33"/>
        <v>202</v>
      </c>
      <c r="L50" t="b">
        <f t="shared" si="34"/>
        <v>1</v>
      </c>
      <c r="W50" t="s">
        <v>27</v>
      </c>
      <c r="X50" t="s">
        <v>63</v>
      </c>
      <c r="Y50">
        <v>50</v>
      </c>
      <c r="Z50">
        <v>0</v>
      </c>
      <c r="AA50">
        <v>0</v>
      </c>
      <c r="AB50">
        <v>14</v>
      </c>
      <c r="AC50">
        <v>0</v>
      </c>
      <c r="AD50">
        <v>0</v>
      </c>
      <c r="AE50">
        <v>15</v>
      </c>
      <c r="AF50">
        <v>21</v>
      </c>
      <c r="AG50">
        <v>0</v>
      </c>
      <c r="AH50">
        <v>4</v>
      </c>
    </row>
    <row r="51" spans="1:34" x14ac:dyDescent="0.25">
      <c r="C51">
        <f>SUM(C38:C50)</f>
        <v>3107</v>
      </c>
      <c r="D51" t="s">
        <v>60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W51" t="s">
        <v>27</v>
      </c>
      <c r="X51" t="s">
        <v>64</v>
      </c>
      <c r="Y51">
        <v>88</v>
      </c>
      <c r="Z51">
        <v>0</v>
      </c>
      <c r="AA51">
        <v>1</v>
      </c>
      <c r="AB51">
        <v>43</v>
      </c>
      <c r="AC51">
        <v>0</v>
      </c>
      <c r="AD51">
        <v>0</v>
      </c>
      <c r="AE51">
        <v>15</v>
      </c>
      <c r="AF51">
        <v>29</v>
      </c>
      <c r="AG51">
        <v>0</v>
      </c>
      <c r="AH51">
        <v>4</v>
      </c>
    </row>
    <row r="52" spans="1:34" x14ac:dyDescent="0.25">
      <c r="A52" t="s">
        <v>27</v>
      </c>
      <c r="B52" t="str">
        <f>X48</f>
        <v>qarne-farah</v>
      </c>
      <c r="C52">
        <f t="shared" ref="C52:C64" si="35">SUM(D52:K52)</f>
        <v>1</v>
      </c>
      <c r="D52">
        <f t="shared" ref="D52:K64" si="36">Z48</f>
        <v>0</v>
      </c>
      <c r="E52">
        <f t="shared" si="36"/>
        <v>1</v>
      </c>
      <c r="F52">
        <f t="shared" si="36"/>
        <v>0</v>
      </c>
      <c r="G52">
        <f t="shared" si="36"/>
        <v>0</v>
      </c>
      <c r="H52">
        <f t="shared" si="36"/>
        <v>0</v>
      </c>
      <c r="I52">
        <f t="shared" si="36"/>
        <v>0</v>
      </c>
      <c r="J52">
        <f t="shared" si="36"/>
        <v>0</v>
      </c>
      <c r="K52">
        <f t="shared" si="36"/>
        <v>0</v>
      </c>
      <c r="L52" t="b">
        <f t="shared" ref="L52:L63" si="37">SUM(D52:K52)=C52</f>
        <v>1</v>
      </c>
      <c r="W52" t="s">
        <v>27</v>
      </c>
      <c r="X52" t="s">
        <v>22</v>
      </c>
      <c r="Y52">
        <v>96</v>
      </c>
      <c r="Z52">
        <v>0</v>
      </c>
      <c r="AA52">
        <v>0</v>
      </c>
      <c r="AB52">
        <v>11</v>
      </c>
      <c r="AC52">
        <v>1</v>
      </c>
      <c r="AD52">
        <v>0</v>
      </c>
      <c r="AE52">
        <v>0</v>
      </c>
      <c r="AF52">
        <v>84</v>
      </c>
      <c r="AG52">
        <v>0</v>
      </c>
      <c r="AH52">
        <v>4</v>
      </c>
    </row>
    <row r="53" spans="1:34" x14ac:dyDescent="0.25">
      <c r="A53" t="s">
        <v>27</v>
      </c>
      <c r="B53" t="str">
        <f t="shared" ref="B53:B64" si="38">X49</f>
        <v>pazer</v>
      </c>
      <c r="C53">
        <f t="shared" si="35"/>
        <v>36</v>
      </c>
      <c r="D53">
        <f t="shared" si="36"/>
        <v>0</v>
      </c>
      <c r="E53">
        <f t="shared" si="36"/>
        <v>0</v>
      </c>
      <c r="F53">
        <f t="shared" si="36"/>
        <v>14</v>
      </c>
      <c r="G53">
        <f t="shared" si="36"/>
        <v>0</v>
      </c>
      <c r="H53">
        <f t="shared" si="36"/>
        <v>0</v>
      </c>
      <c r="I53">
        <f t="shared" si="36"/>
        <v>1</v>
      </c>
      <c r="J53">
        <f t="shared" si="36"/>
        <v>21</v>
      </c>
      <c r="K53">
        <f t="shared" si="36"/>
        <v>0</v>
      </c>
      <c r="L53" t="b">
        <f t="shared" si="37"/>
        <v>1</v>
      </c>
      <c r="W53" t="s">
        <v>27</v>
      </c>
      <c r="X53" t="s">
        <v>4</v>
      </c>
      <c r="Y53">
        <v>96</v>
      </c>
      <c r="Z53">
        <v>0</v>
      </c>
      <c r="AA53">
        <v>0</v>
      </c>
      <c r="AB53">
        <v>19</v>
      </c>
      <c r="AC53">
        <v>5</v>
      </c>
      <c r="AD53">
        <v>0</v>
      </c>
      <c r="AE53">
        <v>0</v>
      </c>
      <c r="AF53">
        <v>72</v>
      </c>
      <c r="AG53">
        <v>0</v>
      </c>
      <c r="AH53">
        <v>4</v>
      </c>
    </row>
    <row r="54" spans="1:34" x14ac:dyDescent="0.25">
      <c r="A54" t="s">
        <v>27</v>
      </c>
      <c r="B54" t="str">
        <f t="shared" si="38"/>
        <v>telisha-gedola</v>
      </c>
      <c r="C54">
        <f t="shared" si="35"/>
        <v>50</v>
      </c>
      <c r="D54">
        <f t="shared" si="36"/>
        <v>0</v>
      </c>
      <c r="E54">
        <f t="shared" si="36"/>
        <v>0</v>
      </c>
      <c r="F54">
        <f t="shared" si="36"/>
        <v>14</v>
      </c>
      <c r="G54">
        <f t="shared" si="36"/>
        <v>0</v>
      </c>
      <c r="H54">
        <f t="shared" si="36"/>
        <v>0</v>
      </c>
      <c r="I54">
        <f t="shared" si="36"/>
        <v>15</v>
      </c>
      <c r="J54">
        <f t="shared" si="36"/>
        <v>21</v>
      </c>
      <c r="K54">
        <f t="shared" si="36"/>
        <v>0</v>
      </c>
      <c r="L54" t="b">
        <f t="shared" si="37"/>
        <v>1</v>
      </c>
      <c r="W54" t="s">
        <v>27</v>
      </c>
      <c r="X54" t="s">
        <v>23</v>
      </c>
      <c r="Y54">
        <v>114</v>
      </c>
      <c r="Z54">
        <v>0</v>
      </c>
      <c r="AA54">
        <v>0</v>
      </c>
      <c r="AB54">
        <v>66</v>
      </c>
      <c r="AC54">
        <v>0</v>
      </c>
      <c r="AD54">
        <v>0</v>
      </c>
      <c r="AE54">
        <v>14</v>
      </c>
      <c r="AF54">
        <v>32</v>
      </c>
      <c r="AG54">
        <v>2</v>
      </c>
      <c r="AH54">
        <v>4</v>
      </c>
    </row>
    <row r="55" spans="1:34" x14ac:dyDescent="0.25">
      <c r="A55" t="s">
        <v>27</v>
      </c>
      <c r="B55" t="str">
        <f t="shared" si="38"/>
        <v>telisha-qetana</v>
      </c>
      <c r="C55">
        <f t="shared" si="35"/>
        <v>88</v>
      </c>
      <c r="D55">
        <f t="shared" si="36"/>
        <v>0</v>
      </c>
      <c r="E55">
        <f t="shared" si="36"/>
        <v>1</v>
      </c>
      <c r="F55">
        <f t="shared" si="36"/>
        <v>43</v>
      </c>
      <c r="G55">
        <f t="shared" si="36"/>
        <v>0</v>
      </c>
      <c r="H55">
        <f t="shared" si="36"/>
        <v>0</v>
      </c>
      <c r="I55">
        <f t="shared" si="36"/>
        <v>15</v>
      </c>
      <c r="J55">
        <f t="shared" si="36"/>
        <v>29</v>
      </c>
      <c r="K55">
        <f t="shared" si="36"/>
        <v>0</v>
      </c>
      <c r="L55" t="b">
        <f t="shared" si="37"/>
        <v>1</v>
      </c>
      <c r="W55" t="s">
        <v>27</v>
      </c>
      <c r="X55" t="s">
        <v>65</v>
      </c>
      <c r="Y55">
        <v>126</v>
      </c>
      <c r="Z55">
        <v>0</v>
      </c>
      <c r="AA55">
        <v>0</v>
      </c>
      <c r="AB55">
        <v>46</v>
      </c>
      <c r="AC55">
        <v>1</v>
      </c>
      <c r="AD55">
        <v>0</v>
      </c>
      <c r="AE55">
        <v>46</v>
      </c>
      <c r="AF55">
        <v>29</v>
      </c>
      <c r="AG55">
        <v>4</v>
      </c>
      <c r="AH55">
        <v>4</v>
      </c>
    </row>
    <row r="56" spans="1:34" x14ac:dyDescent="0.25">
      <c r="A56" t="s">
        <v>27</v>
      </c>
      <c r="B56" t="str">
        <f t="shared" si="38"/>
        <v>segol</v>
      </c>
      <c r="C56">
        <f t="shared" si="35"/>
        <v>96</v>
      </c>
      <c r="D56">
        <f t="shared" si="36"/>
        <v>0</v>
      </c>
      <c r="E56">
        <f t="shared" si="36"/>
        <v>0</v>
      </c>
      <c r="F56">
        <f t="shared" si="36"/>
        <v>11</v>
      </c>
      <c r="G56">
        <f t="shared" si="36"/>
        <v>1</v>
      </c>
      <c r="H56">
        <f t="shared" si="36"/>
        <v>0</v>
      </c>
      <c r="I56">
        <f t="shared" si="36"/>
        <v>0</v>
      </c>
      <c r="J56">
        <f t="shared" si="36"/>
        <v>84</v>
      </c>
      <c r="K56">
        <f t="shared" si="36"/>
        <v>0</v>
      </c>
      <c r="L56" t="b">
        <f t="shared" si="37"/>
        <v>1</v>
      </c>
      <c r="W56" t="s">
        <v>27</v>
      </c>
      <c r="X56" t="s">
        <v>8</v>
      </c>
      <c r="Y56">
        <v>223</v>
      </c>
      <c r="Z56">
        <v>0</v>
      </c>
      <c r="AA56">
        <v>1</v>
      </c>
      <c r="AB56">
        <v>146</v>
      </c>
      <c r="AC56">
        <v>0</v>
      </c>
      <c r="AD56">
        <v>0</v>
      </c>
      <c r="AE56">
        <v>36</v>
      </c>
      <c r="AF56">
        <v>40</v>
      </c>
      <c r="AG56">
        <v>0</v>
      </c>
      <c r="AH56">
        <v>4</v>
      </c>
    </row>
    <row r="57" spans="1:34" x14ac:dyDescent="0.25">
      <c r="A57" t="s">
        <v>27</v>
      </c>
      <c r="B57" t="str">
        <f t="shared" si="38"/>
        <v>tsinnor</v>
      </c>
      <c r="C57">
        <f t="shared" si="35"/>
        <v>96</v>
      </c>
      <c r="D57">
        <f t="shared" si="36"/>
        <v>0</v>
      </c>
      <c r="E57">
        <f t="shared" si="36"/>
        <v>0</v>
      </c>
      <c r="F57">
        <f t="shared" si="36"/>
        <v>19</v>
      </c>
      <c r="G57">
        <f t="shared" si="36"/>
        <v>5</v>
      </c>
      <c r="H57">
        <f t="shared" si="36"/>
        <v>0</v>
      </c>
      <c r="I57">
        <f t="shared" si="36"/>
        <v>0</v>
      </c>
      <c r="J57">
        <f t="shared" si="36"/>
        <v>72</v>
      </c>
      <c r="K57">
        <f t="shared" si="36"/>
        <v>0</v>
      </c>
      <c r="L57" t="b">
        <f t="shared" si="37"/>
        <v>1</v>
      </c>
      <c r="W57" t="s">
        <v>27</v>
      </c>
      <c r="X57" t="s">
        <v>6</v>
      </c>
      <c r="Y57">
        <v>435</v>
      </c>
      <c r="Z57">
        <v>0</v>
      </c>
      <c r="AA57">
        <v>1</v>
      </c>
      <c r="AB57">
        <v>236</v>
      </c>
      <c r="AC57">
        <v>1</v>
      </c>
      <c r="AD57">
        <v>0</v>
      </c>
      <c r="AE57">
        <v>96</v>
      </c>
      <c r="AF57">
        <v>95</v>
      </c>
      <c r="AG57">
        <v>6</v>
      </c>
      <c r="AH57">
        <v>4</v>
      </c>
    </row>
    <row r="58" spans="1:34" x14ac:dyDescent="0.25">
      <c r="A58" t="s">
        <v>27</v>
      </c>
      <c r="B58" t="str">
        <f t="shared" si="38"/>
        <v>tarsin</v>
      </c>
      <c r="C58">
        <f t="shared" si="35"/>
        <v>114</v>
      </c>
      <c r="D58">
        <f t="shared" si="36"/>
        <v>0</v>
      </c>
      <c r="E58">
        <f t="shared" si="36"/>
        <v>0</v>
      </c>
      <c r="F58">
        <f t="shared" si="36"/>
        <v>66</v>
      </c>
      <c r="G58">
        <f t="shared" si="36"/>
        <v>0</v>
      </c>
      <c r="H58">
        <f t="shared" si="36"/>
        <v>0</v>
      </c>
      <c r="I58">
        <f t="shared" si="36"/>
        <v>14</v>
      </c>
      <c r="J58">
        <f t="shared" si="36"/>
        <v>32</v>
      </c>
      <c r="K58">
        <f t="shared" si="36"/>
        <v>2</v>
      </c>
      <c r="L58" t="b">
        <f t="shared" si="37"/>
        <v>1</v>
      </c>
      <c r="W58" t="s">
        <v>27</v>
      </c>
      <c r="X58" t="s">
        <v>1</v>
      </c>
      <c r="Y58">
        <v>497</v>
      </c>
      <c r="Z58">
        <v>0</v>
      </c>
      <c r="AA58">
        <v>0</v>
      </c>
      <c r="AB58">
        <v>134</v>
      </c>
      <c r="AC58">
        <v>0</v>
      </c>
      <c r="AD58">
        <v>0</v>
      </c>
      <c r="AE58">
        <v>58</v>
      </c>
      <c r="AF58">
        <v>302</v>
      </c>
      <c r="AG58">
        <v>3</v>
      </c>
      <c r="AH58">
        <v>4</v>
      </c>
    </row>
    <row r="59" spans="1:34" x14ac:dyDescent="0.25">
      <c r="A59" t="s">
        <v>27</v>
      </c>
      <c r="B59" t="str">
        <f t="shared" si="38"/>
        <v>zaqef-gadol</v>
      </c>
      <c r="C59">
        <f t="shared" si="35"/>
        <v>126</v>
      </c>
      <c r="D59">
        <f t="shared" si="36"/>
        <v>0</v>
      </c>
      <c r="E59">
        <f t="shared" si="36"/>
        <v>0</v>
      </c>
      <c r="F59">
        <f t="shared" si="36"/>
        <v>46</v>
      </c>
      <c r="G59">
        <f t="shared" si="36"/>
        <v>1</v>
      </c>
      <c r="H59">
        <f t="shared" si="36"/>
        <v>0</v>
      </c>
      <c r="I59">
        <f t="shared" si="36"/>
        <v>46</v>
      </c>
      <c r="J59">
        <f t="shared" si="36"/>
        <v>29</v>
      </c>
      <c r="K59">
        <f t="shared" si="36"/>
        <v>4</v>
      </c>
      <c r="L59" t="b">
        <f t="shared" si="37"/>
        <v>1</v>
      </c>
      <c r="W59" t="s">
        <v>27</v>
      </c>
      <c r="X59" t="s">
        <v>24</v>
      </c>
      <c r="Y59">
        <v>1218</v>
      </c>
      <c r="Z59">
        <v>0</v>
      </c>
      <c r="AA59">
        <v>0</v>
      </c>
      <c r="AB59">
        <v>304</v>
      </c>
      <c r="AC59">
        <v>51</v>
      </c>
      <c r="AD59">
        <v>0</v>
      </c>
      <c r="AE59">
        <v>131</v>
      </c>
      <c r="AF59">
        <v>134</v>
      </c>
      <c r="AG59">
        <v>598</v>
      </c>
      <c r="AH59">
        <v>4</v>
      </c>
    </row>
    <row r="60" spans="1:34" x14ac:dyDescent="0.25">
      <c r="A60" t="s">
        <v>27</v>
      </c>
      <c r="B60" t="str">
        <f t="shared" si="38"/>
        <v>azla</v>
      </c>
      <c r="C60">
        <f t="shared" si="35"/>
        <v>223</v>
      </c>
      <c r="D60">
        <f t="shared" si="36"/>
        <v>0</v>
      </c>
      <c r="E60">
        <f t="shared" si="36"/>
        <v>1</v>
      </c>
      <c r="F60">
        <f t="shared" si="36"/>
        <v>146</v>
      </c>
      <c r="G60">
        <f t="shared" si="36"/>
        <v>0</v>
      </c>
      <c r="H60">
        <f t="shared" si="36"/>
        <v>0</v>
      </c>
      <c r="I60">
        <f t="shared" si="36"/>
        <v>36</v>
      </c>
      <c r="J60">
        <f t="shared" si="36"/>
        <v>40</v>
      </c>
      <c r="K60">
        <f t="shared" si="36"/>
        <v>0</v>
      </c>
      <c r="L60" t="b">
        <f t="shared" si="37"/>
        <v>1</v>
      </c>
      <c r="W60" t="s">
        <v>27</v>
      </c>
      <c r="X60" t="s">
        <v>66</v>
      </c>
      <c r="Y60">
        <v>1358</v>
      </c>
      <c r="Z60">
        <v>0</v>
      </c>
      <c r="AA60">
        <v>0</v>
      </c>
      <c r="AB60">
        <v>206</v>
      </c>
      <c r="AC60">
        <v>21</v>
      </c>
      <c r="AD60">
        <v>0</v>
      </c>
      <c r="AE60">
        <v>44</v>
      </c>
      <c r="AF60">
        <v>807</v>
      </c>
      <c r="AG60">
        <v>280</v>
      </c>
      <c r="AH60">
        <v>4</v>
      </c>
    </row>
    <row r="61" spans="1:34" x14ac:dyDescent="0.25">
      <c r="A61" t="s">
        <v>27</v>
      </c>
      <c r="B61" t="str">
        <f t="shared" si="38"/>
        <v>qadma</v>
      </c>
      <c r="C61">
        <f t="shared" si="35"/>
        <v>435</v>
      </c>
      <c r="D61">
        <f t="shared" si="36"/>
        <v>0</v>
      </c>
      <c r="E61">
        <f t="shared" si="36"/>
        <v>1</v>
      </c>
      <c r="F61">
        <f t="shared" si="36"/>
        <v>236</v>
      </c>
      <c r="G61">
        <f t="shared" si="36"/>
        <v>1</v>
      </c>
      <c r="H61">
        <f t="shared" si="36"/>
        <v>0</v>
      </c>
      <c r="I61">
        <f t="shared" si="36"/>
        <v>96</v>
      </c>
      <c r="J61">
        <f t="shared" si="36"/>
        <v>95</v>
      </c>
      <c r="K61">
        <f t="shared" si="36"/>
        <v>6</v>
      </c>
      <c r="L61" t="b">
        <f t="shared" si="37"/>
        <v>1</v>
      </c>
      <c r="W61" t="s">
        <v>28</v>
      </c>
      <c r="X61" t="s">
        <v>73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5</v>
      </c>
    </row>
    <row r="62" spans="1:34" x14ac:dyDescent="0.25">
      <c r="A62" t="s">
        <v>27</v>
      </c>
      <c r="B62" t="str">
        <f t="shared" si="38"/>
        <v>revia</v>
      </c>
      <c r="C62">
        <f t="shared" si="35"/>
        <v>497</v>
      </c>
      <c r="D62">
        <f t="shared" si="36"/>
        <v>0</v>
      </c>
      <c r="E62">
        <f t="shared" si="36"/>
        <v>0</v>
      </c>
      <c r="F62">
        <f t="shared" si="36"/>
        <v>134</v>
      </c>
      <c r="G62">
        <f t="shared" si="36"/>
        <v>0</v>
      </c>
      <c r="H62">
        <f t="shared" si="36"/>
        <v>0</v>
      </c>
      <c r="I62">
        <f t="shared" si="36"/>
        <v>58</v>
      </c>
      <c r="J62">
        <f t="shared" si="36"/>
        <v>302</v>
      </c>
      <c r="K62">
        <f t="shared" si="36"/>
        <v>3</v>
      </c>
      <c r="L62" t="b">
        <f t="shared" si="37"/>
        <v>1</v>
      </c>
      <c r="W62" t="s">
        <v>28</v>
      </c>
      <c r="X62" t="s">
        <v>74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5</v>
      </c>
    </row>
    <row r="63" spans="1:34" x14ac:dyDescent="0.25">
      <c r="A63" t="s">
        <v>27</v>
      </c>
      <c r="B63" t="str">
        <f t="shared" si="38"/>
        <v>pashta</v>
      </c>
      <c r="C63">
        <f t="shared" si="35"/>
        <v>1218</v>
      </c>
      <c r="D63">
        <f t="shared" si="36"/>
        <v>0</v>
      </c>
      <c r="E63">
        <f t="shared" si="36"/>
        <v>0</v>
      </c>
      <c r="F63">
        <f t="shared" si="36"/>
        <v>304</v>
      </c>
      <c r="G63">
        <f t="shared" si="36"/>
        <v>51</v>
      </c>
      <c r="H63">
        <f t="shared" si="36"/>
        <v>0</v>
      </c>
      <c r="I63">
        <f t="shared" si="36"/>
        <v>131</v>
      </c>
      <c r="J63">
        <f t="shared" si="36"/>
        <v>134</v>
      </c>
      <c r="K63">
        <f t="shared" si="36"/>
        <v>598</v>
      </c>
      <c r="L63" t="b">
        <f t="shared" si="37"/>
        <v>1</v>
      </c>
      <c r="W63" t="s">
        <v>28</v>
      </c>
      <c r="X63" t="s">
        <v>68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</v>
      </c>
    </row>
    <row r="64" spans="1:34" x14ac:dyDescent="0.25">
      <c r="A64" t="s">
        <v>27</v>
      </c>
      <c r="B64" t="str">
        <f t="shared" si="38"/>
        <v>zaqef-qatan</v>
      </c>
      <c r="C64">
        <f t="shared" si="35"/>
        <v>1358</v>
      </c>
      <c r="D64">
        <f t="shared" si="36"/>
        <v>0</v>
      </c>
      <c r="E64">
        <f t="shared" si="36"/>
        <v>0</v>
      </c>
      <c r="F64">
        <f t="shared" si="36"/>
        <v>206</v>
      </c>
      <c r="G64">
        <f t="shared" si="36"/>
        <v>21</v>
      </c>
      <c r="H64">
        <f t="shared" si="36"/>
        <v>0</v>
      </c>
      <c r="I64">
        <f t="shared" si="36"/>
        <v>44</v>
      </c>
      <c r="J64">
        <f t="shared" si="36"/>
        <v>807</v>
      </c>
      <c r="K64">
        <f t="shared" si="36"/>
        <v>280</v>
      </c>
      <c r="L64" t="b">
        <f>SUM(D64:K64)=Y61</f>
        <v>0</v>
      </c>
      <c r="W64" t="s">
        <v>28</v>
      </c>
      <c r="X64" t="s">
        <v>77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</v>
      </c>
    </row>
    <row r="65" spans="1:34" x14ac:dyDescent="0.25">
      <c r="C65">
        <f>SUM(C52:C64)</f>
        <v>4338</v>
      </c>
      <c r="D65" t="s">
        <v>60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W65" t="s">
        <v>28</v>
      </c>
      <c r="X65" t="s">
        <v>76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</v>
      </c>
    </row>
    <row r="66" spans="1:34" x14ac:dyDescent="0.25">
      <c r="A66" t="s">
        <v>28</v>
      </c>
      <c r="B66" t="str">
        <f>X61</f>
        <v>revia z-qatan</v>
      </c>
      <c r="C66">
        <f t="shared" ref="C66:C84" si="39">SUM(D66:K66)</f>
        <v>1</v>
      </c>
      <c r="D66">
        <f t="shared" ref="D66:K81" si="40">Z61</f>
        <v>0</v>
      </c>
      <c r="E66">
        <f t="shared" si="40"/>
        <v>0</v>
      </c>
      <c r="F66">
        <f t="shared" si="40"/>
        <v>0</v>
      </c>
      <c r="G66">
        <f t="shared" si="40"/>
        <v>0</v>
      </c>
      <c r="H66">
        <f t="shared" si="40"/>
        <v>0</v>
      </c>
      <c r="I66">
        <f t="shared" si="40"/>
        <v>0</v>
      </c>
      <c r="J66">
        <f t="shared" si="40"/>
        <v>0</v>
      </c>
      <c r="K66">
        <f t="shared" si="40"/>
        <v>1</v>
      </c>
      <c r="L66" t="b">
        <f t="shared" ref="L66:L83" si="41">SUM(D66:K66)=C66</f>
        <v>1</v>
      </c>
      <c r="W66" t="s">
        <v>28</v>
      </c>
      <c r="X66" t="s">
        <v>62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</v>
      </c>
    </row>
    <row r="67" spans="1:34" x14ac:dyDescent="0.25">
      <c r="A67" t="s">
        <v>28</v>
      </c>
      <c r="B67" t="str">
        <f t="shared" ref="B67:B84" si="42">X62</f>
        <v>azla t-qatana</v>
      </c>
      <c r="C67">
        <f t="shared" si="39"/>
        <v>1</v>
      </c>
      <c r="D67">
        <f t="shared" si="40"/>
        <v>0</v>
      </c>
      <c r="E67">
        <f t="shared" si="40"/>
        <v>0</v>
      </c>
      <c r="F67">
        <f t="shared" si="40"/>
        <v>0</v>
      </c>
      <c r="G67">
        <f t="shared" si="40"/>
        <v>0</v>
      </c>
      <c r="H67">
        <f t="shared" si="40"/>
        <v>0</v>
      </c>
      <c r="I67">
        <f t="shared" si="40"/>
        <v>0</v>
      </c>
      <c r="J67">
        <f t="shared" si="40"/>
        <v>1</v>
      </c>
      <c r="K67">
        <f t="shared" si="40"/>
        <v>0</v>
      </c>
      <c r="L67" t="b">
        <f t="shared" si="41"/>
        <v>1</v>
      </c>
      <c r="W67" t="s">
        <v>28</v>
      </c>
      <c r="X67" t="s">
        <v>75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5</v>
      </c>
    </row>
    <row r="68" spans="1:34" x14ac:dyDescent="0.25">
      <c r="A68" t="s">
        <v>28</v>
      </c>
      <c r="B68" t="str">
        <f t="shared" si="42"/>
        <v>z-qatan tsinnor</v>
      </c>
      <c r="C68">
        <f t="shared" si="39"/>
        <v>1</v>
      </c>
      <c r="D68">
        <f t="shared" si="40"/>
        <v>0</v>
      </c>
      <c r="E68">
        <f t="shared" si="40"/>
        <v>0</v>
      </c>
      <c r="F68">
        <f t="shared" si="40"/>
        <v>1</v>
      </c>
      <c r="G68">
        <f t="shared" si="40"/>
        <v>0</v>
      </c>
      <c r="H68">
        <f t="shared" si="40"/>
        <v>0</v>
      </c>
      <c r="I68">
        <f t="shared" si="40"/>
        <v>0</v>
      </c>
      <c r="J68">
        <f t="shared" si="40"/>
        <v>0</v>
      </c>
      <c r="K68">
        <f t="shared" si="40"/>
        <v>0</v>
      </c>
      <c r="L68" t="b">
        <f t="shared" si="41"/>
        <v>1</v>
      </c>
      <c r="W68" t="s">
        <v>28</v>
      </c>
      <c r="X68" t="s">
        <v>5</v>
      </c>
      <c r="Y68">
        <v>33</v>
      </c>
      <c r="Z68">
        <v>0</v>
      </c>
      <c r="AA68">
        <v>0</v>
      </c>
      <c r="AB68">
        <v>15</v>
      </c>
      <c r="AC68">
        <v>0</v>
      </c>
      <c r="AD68">
        <v>0</v>
      </c>
      <c r="AE68">
        <v>3</v>
      </c>
      <c r="AF68">
        <v>15</v>
      </c>
      <c r="AG68">
        <v>0</v>
      </c>
      <c r="AH68">
        <v>5</v>
      </c>
    </row>
    <row r="69" spans="1:34" x14ac:dyDescent="0.25">
      <c r="A69" t="s">
        <v>28</v>
      </c>
      <c r="B69" t="str">
        <f t="shared" si="42"/>
        <v>azla z-qatan</v>
      </c>
      <c r="C69">
        <f t="shared" si="39"/>
        <v>1</v>
      </c>
      <c r="D69">
        <f t="shared" si="40"/>
        <v>0</v>
      </c>
      <c r="E69">
        <f t="shared" si="40"/>
        <v>0</v>
      </c>
      <c r="F69">
        <f t="shared" si="40"/>
        <v>1</v>
      </c>
      <c r="G69">
        <f t="shared" si="40"/>
        <v>0</v>
      </c>
      <c r="H69">
        <f t="shared" si="40"/>
        <v>0</v>
      </c>
      <c r="I69">
        <f t="shared" si="40"/>
        <v>0</v>
      </c>
      <c r="J69">
        <f t="shared" si="40"/>
        <v>0</v>
      </c>
      <c r="K69">
        <f t="shared" si="40"/>
        <v>0</v>
      </c>
      <c r="L69" t="b">
        <f t="shared" si="41"/>
        <v>1</v>
      </c>
      <c r="W69" t="s">
        <v>28</v>
      </c>
      <c r="X69" t="s">
        <v>4</v>
      </c>
      <c r="Y69">
        <v>67</v>
      </c>
      <c r="Z69">
        <v>0</v>
      </c>
      <c r="AA69">
        <v>0</v>
      </c>
      <c r="AB69">
        <v>19</v>
      </c>
      <c r="AC69">
        <v>5</v>
      </c>
      <c r="AD69">
        <v>1</v>
      </c>
      <c r="AE69">
        <v>0</v>
      </c>
      <c r="AF69">
        <v>42</v>
      </c>
      <c r="AG69">
        <v>0</v>
      </c>
      <c r="AH69">
        <v>5</v>
      </c>
    </row>
    <row r="70" spans="1:34" x14ac:dyDescent="0.25">
      <c r="A70" t="s">
        <v>28</v>
      </c>
      <c r="B70" t="str">
        <f t="shared" si="42"/>
        <v>tarsin revia</v>
      </c>
      <c r="C70">
        <f t="shared" si="39"/>
        <v>1</v>
      </c>
      <c r="D70">
        <f t="shared" si="40"/>
        <v>0</v>
      </c>
      <c r="E70">
        <f t="shared" si="40"/>
        <v>0</v>
      </c>
      <c r="F70">
        <f t="shared" si="40"/>
        <v>1</v>
      </c>
      <c r="G70">
        <f t="shared" si="40"/>
        <v>0</v>
      </c>
      <c r="H70">
        <f t="shared" si="40"/>
        <v>0</v>
      </c>
      <c r="I70">
        <f t="shared" si="40"/>
        <v>0</v>
      </c>
      <c r="J70">
        <f t="shared" si="40"/>
        <v>0</v>
      </c>
      <c r="K70">
        <f t="shared" si="40"/>
        <v>0</v>
      </c>
      <c r="L70" t="b">
        <f t="shared" si="41"/>
        <v>1</v>
      </c>
      <c r="W70" t="s">
        <v>28</v>
      </c>
      <c r="X70" t="s">
        <v>63</v>
      </c>
      <c r="Y70">
        <v>67</v>
      </c>
      <c r="Z70">
        <v>0</v>
      </c>
      <c r="AA70">
        <v>0</v>
      </c>
      <c r="AB70">
        <v>26</v>
      </c>
      <c r="AC70">
        <v>0</v>
      </c>
      <c r="AD70">
        <v>0</v>
      </c>
      <c r="AE70">
        <v>7</v>
      </c>
      <c r="AF70">
        <v>33</v>
      </c>
      <c r="AG70">
        <v>1</v>
      </c>
      <c r="AH70">
        <v>5</v>
      </c>
    </row>
    <row r="71" spans="1:34" x14ac:dyDescent="0.25">
      <c r="A71" t="s">
        <v>28</v>
      </c>
      <c r="B71" t="str">
        <f t="shared" si="42"/>
        <v>pashta pashta</v>
      </c>
      <c r="C71">
        <f t="shared" si="39"/>
        <v>1</v>
      </c>
      <c r="D71">
        <f t="shared" si="40"/>
        <v>0</v>
      </c>
      <c r="E71">
        <f t="shared" si="40"/>
        <v>0</v>
      </c>
      <c r="F71">
        <f t="shared" si="40"/>
        <v>1</v>
      </c>
      <c r="G71">
        <f t="shared" si="40"/>
        <v>0</v>
      </c>
      <c r="H71">
        <f t="shared" si="40"/>
        <v>0</v>
      </c>
      <c r="I71">
        <f t="shared" si="40"/>
        <v>0</v>
      </c>
      <c r="J71">
        <f t="shared" si="40"/>
        <v>0</v>
      </c>
      <c r="K71">
        <f t="shared" si="40"/>
        <v>0</v>
      </c>
      <c r="L71" t="b">
        <f t="shared" si="41"/>
        <v>1</v>
      </c>
      <c r="W71" t="s">
        <v>28</v>
      </c>
      <c r="X71" t="s">
        <v>22</v>
      </c>
      <c r="Y71">
        <v>69</v>
      </c>
      <c r="Z71">
        <v>0</v>
      </c>
      <c r="AA71">
        <v>0</v>
      </c>
      <c r="AB71">
        <v>10</v>
      </c>
      <c r="AC71">
        <v>3</v>
      </c>
      <c r="AD71">
        <v>0</v>
      </c>
      <c r="AE71">
        <v>1</v>
      </c>
      <c r="AF71">
        <v>55</v>
      </c>
      <c r="AG71">
        <v>0</v>
      </c>
      <c r="AH71">
        <v>5</v>
      </c>
    </row>
    <row r="72" spans="1:34" x14ac:dyDescent="0.25">
      <c r="A72" t="s">
        <v>28</v>
      </c>
      <c r="B72" t="str">
        <f t="shared" si="42"/>
        <v>revia pazer</v>
      </c>
      <c r="C72">
        <f t="shared" si="39"/>
        <v>2</v>
      </c>
      <c r="D72">
        <f t="shared" si="40"/>
        <v>0</v>
      </c>
      <c r="E72">
        <f t="shared" si="40"/>
        <v>0</v>
      </c>
      <c r="F72">
        <f t="shared" si="40"/>
        <v>0</v>
      </c>
      <c r="G72">
        <f t="shared" si="40"/>
        <v>0</v>
      </c>
      <c r="H72">
        <f t="shared" si="40"/>
        <v>0</v>
      </c>
      <c r="I72">
        <f t="shared" si="40"/>
        <v>0</v>
      </c>
      <c r="J72">
        <f t="shared" si="40"/>
        <v>2</v>
      </c>
      <c r="K72">
        <f t="shared" si="40"/>
        <v>0</v>
      </c>
      <c r="L72" t="b">
        <f t="shared" si="41"/>
        <v>1</v>
      </c>
      <c r="W72" t="s">
        <v>28</v>
      </c>
      <c r="X72" t="s">
        <v>65</v>
      </c>
      <c r="Y72">
        <v>70</v>
      </c>
      <c r="Z72">
        <v>0</v>
      </c>
      <c r="AA72">
        <v>0</v>
      </c>
      <c r="AB72">
        <v>23</v>
      </c>
      <c r="AC72">
        <v>0</v>
      </c>
      <c r="AD72">
        <v>0</v>
      </c>
      <c r="AE72">
        <v>18</v>
      </c>
      <c r="AF72">
        <v>23</v>
      </c>
      <c r="AG72">
        <v>6</v>
      </c>
      <c r="AH72">
        <v>5</v>
      </c>
    </row>
    <row r="73" spans="1:34" x14ac:dyDescent="0.25">
      <c r="A73" t="s">
        <v>28</v>
      </c>
      <c r="B73" t="str">
        <f t="shared" si="42"/>
        <v>pazer</v>
      </c>
      <c r="C73">
        <f t="shared" si="39"/>
        <v>33</v>
      </c>
      <c r="D73">
        <f t="shared" si="40"/>
        <v>0</v>
      </c>
      <c r="E73">
        <f t="shared" si="40"/>
        <v>0</v>
      </c>
      <c r="F73">
        <f t="shared" si="40"/>
        <v>15</v>
      </c>
      <c r="G73">
        <f t="shared" si="40"/>
        <v>0</v>
      </c>
      <c r="H73">
        <f t="shared" si="40"/>
        <v>0</v>
      </c>
      <c r="I73">
        <f t="shared" si="40"/>
        <v>3</v>
      </c>
      <c r="J73">
        <f t="shared" si="40"/>
        <v>15</v>
      </c>
      <c r="K73">
        <f t="shared" si="40"/>
        <v>0</v>
      </c>
      <c r="L73" t="b">
        <f t="shared" si="41"/>
        <v>1</v>
      </c>
      <c r="W73" t="s">
        <v>28</v>
      </c>
      <c r="X73" t="s">
        <v>23</v>
      </c>
      <c r="Y73">
        <v>108</v>
      </c>
      <c r="Z73">
        <v>0</v>
      </c>
      <c r="AA73">
        <v>0</v>
      </c>
      <c r="AB73">
        <v>63</v>
      </c>
      <c r="AC73">
        <v>0</v>
      </c>
      <c r="AD73">
        <v>0</v>
      </c>
      <c r="AE73">
        <v>28</v>
      </c>
      <c r="AF73">
        <v>16</v>
      </c>
      <c r="AG73">
        <v>1</v>
      </c>
      <c r="AH73">
        <v>5</v>
      </c>
    </row>
    <row r="74" spans="1:34" x14ac:dyDescent="0.25">
      <c r="A74" t="s">
        <v>28</v>
      </c>
      <c r="B74" t="str">
        <f t="shared" si="42"/>
        <v>tsinnor</v>
      </c>
      <c r="C74">
        <f t="shared" si="39"/>
        <v>67</v>
      </c>
      <c r="D74">
        <f t="shared" si="40"/>
        <v>0</v>
      </c>
      <c r="E74">
        <f t="shared" si="40"/>
        <v>0</v>
      </c>
      <c r="F74">
        <f t="shared" si="40"/>
        <v>19</v>
      </c>
      <c r="G74">
        <f t="shared" si="40"/>
        <v>5</v>
      </c>
      <c r="H74">
        <f t="shared" si="40"/>
        <v>1</v>
      </c>
      <c r="I74">
        <f t="shared" si="40"/>
        <v>0</v>
      </c>
      <c r="J74">
        <f t="shared" si="40"/>
        <v>42</v>
      </c>
      <c r="K74">
        <f t="shared" si="40"/>
        <v>0</v>
      </c>
      <c r="L74" t="b">
        <f t="shared" si="41"/>
        <v>1</v>
      </c>
      <c r="W74" t="s">
        <v>28</v>
      </c>
      <c r="X74" t="s">
        <v>64</v>
      </c>
      <c r="Y74">
        <v>117</v>
      </c>
      <c r="Z74">
        <v>0</v>
      </c>
      <c r="AA74">
        <v>1</v>
      </c>
      <c r="AB74">
        <v>57</v>
      </c>
      <c r="AC74">
        <v>2</v>
      </c>
      <c r="AD74">
        <v>0</v>
      </c>
      <c r="AE74">
        <v>17</v>
      </c>
      <c r="AF74">
        <v>40</v>
      </c>
      <c r="AG74">
        <v>0</v>
      </c>
      <c r="AH74">
        <v>5</v>
      </c>
    </row>
    <row r="75" spans="1:34" x14ac:dyDescent="0.25">
      <c r="A75" t="s">
        <v>28</v>
      </c>
      <c r="B75" t="str">
        <f t="shared" si="42"/>
        <v>telisha-gedola</v>
      </c>
      <c r="C75">
        <f t="shared" si="39"/>
        <v>67</v>
      </c>
      <c r="D75">
        <f t="shared" si="40"/>
        <v>0</v>
      </c>
      <c r="E75">
        <f t="shared" si="40"/>
        <v>0</v>
      </c>
      <c r="F75">
        <f t="shared" si="40"/>
        <v>26</v>
      </c>
      <c r="G75">
        <f t="shared" si="40"/>
        <v>0</v>
      </c>
      <c r="H75">
        <f t="shared" si="40"/>
        <v>0</v>
      </c>
      <c r="I75">
        <f t="shared" si="40"/>
        <v>7</v>
      </c>
      <c r="J75">
        <f t="shared" si="40"/>
        <v>33</v>
      </c>
      <c r="K75">
        <f t="shared" si="40"/>
        <v>1</v>
      </c>
      <c r="L75" t="b">
        <f t="shared" si="41"/>
        <v>1</v>
      </c>
      <c r="W75" t="s">
        <v>28</v>
      </c>
      <c r="X75" t="s">
        <v>8</v>
      </c>
      <c r="Y75">
        <v>244</v>
      </c>
      <c r="Z75">
        <v>0</v>
      </c>
      <c r="AA75">
        <v>0</v>
      </c>
      <c r="AB75">
        <v>141</v>
      </c>
      <c r="AC75">
        <v>0</v>
      </c>
      <c r="AD75">
        <v>1</v>
      </c>
      <c r="AE75">
        <v>40</v>
      </c>
      <c r="AF75">
        <v>61</v>
      </c>
      <c r="AG75">
        <v>1</v>
      </c>
      <c r="AH75">
        <v>5</v>
      </c>
    </row>
    <row r="76" spans="1:34" x14ac:dyDescent="0.25">
      <c r="A76" t="s">
        <v>28</v>
      </c>
      <c r="B76" t="str">
        <f t="shared" si="42"/>
        <v>segol</v>
      </c>
      <c r="C76">
        <f t="shared" si="39"/>
        <v>69</v>
      </c>
      <c r="D76">
        <f t="shared" si="40"/>
        <v>0</v>
      </c>
      <c r="E76">
        <f t="shared" si="40"/>
        <v>0</v>
      </c>
      <c r="F76">
        <f t="shared" si="40"/>
        <v>10</v>
      </c>
      <c r="G76">
        <f t="shared" si="40"/>
        <v>3</v>
      </c>
      <c r="H76">
        <f t="shared" si="40"/>
        <v>0</v>
      </c>
      <c r="I76">
        <f t="shared" si="40"/>
        <v>1</v>
      </c>
      <c r="J76">
        <f t="shared" si="40"/>
        <v>55</v>
      </c>
      <c r="K76">
        <f t="shared" si="40"/>
        <v>0</v>
      </c>
      <c r="L76" t="b">
        <f t="shared" si="41"/>
        <v>1</v>
      </c>
      <c r="W76" t="s">
        <v>28</v>
      </c>
      <c r="X76" t="s">
        <v>6</v>
      </c>
      <c r="Y76">
        <v>441</v>
      </c>
      <c r="Z76">
        <v>0</v>
      </c>
      <c r="AA76">
        <v>1</v>
      </c>
      <c r="AB76">
        <v>219</v>
      </c>
      <c r="AC76">
        <v>1</v>
      </c>
      <c r="AD76">
        <v>2</v>
      </c>
      <c r="AE76">
        <v>83</v>
      </c>
      <c r="AF76">
        <v>130</v>
      </c>
      <c r="AG76">
        <v>5</v>
      </c>
      <c r="AH76">
        <v>5</v>
      </c>
    </row>
    <row r="77" spans="1:34" x14ac:dyDescent="0.25">
      <c r="A77" t="s">
        <v>28</v>
      </c>
      <c r="B77" t="str">
        <f t="shared" si="42"/>
        <v>zaqef-gadol</v>
      </c>
      <c r="C77">
        <f t="shared" si="39"/>
        <v>70</v>
      </c>
      <c r="D77">
        <f t="shared" si="40"/>
        <v>0</v>
      </c>
      <c r="E77">
        <f t="shared" si="40"/>
        <v>0</v>
      </c>
      <c r="F77">
        <f t="shared" si="40"/>
        <v>23</v>
      </c>
      <c r="G77">
        <f t="shared" si="40"/>
        <v>0</v>
      </c>
      <c r="H77">
        <f t="shared" si="40"/>
        <v>0</v>
      </c>
      <c r="I77">
        <f t="shared" si="40"/>
        <v>18</v>
      </c>
      <c r="J77">
        <f t="shared" si="40"/>
        <v>23</v>
      </c>
      <c r="K77">
        <f t="shared" si="40"/>
        <v>6</v>
      </c>
      <c r="L77" t="b">
        <f t="shared" si="41"/>
        <v>1</v>
      </c>
      <c r="W77" t="s">
        <v>28</v>
      </c>
      <c r="X77" t="s">
        <v>1</v>
      </c>
      <c r="Y77">
        <v>509</v>
      </c>
      <c r="Z77">
        <v>0</v>
      </c>
      <c r="AA77">
        <v>0</v>
      </c>
      <c r="AB77">
        <v>144</v>
      </c>
      <c r="AC77">
        <v>0</v>
      </c>
      <c r="AD77">
        <v>0</v>
      </c>
      <c r="AE77">
        <v>51</v>
      </c>
      <c r="AF77">
        <v>309</v>
      </c>
      <c r="AG77">
        <v>5</v>
      </c>
      <c r="AH77">
        <v>5</v>
      </c>
    </row>
    <row r="78" spans="1:34" x14ac:dyDescent="0.25">
      <c r="A78" t="s">
        <v>28</v>
      </c>
      <c r="B78" t="str">
        <f t="shared" si="42"/>
        <v>tarsin</v>
      </c>
      <c r="C78">
        <f t="shared" si="39"/>
        <v>108</v>
      </c>
      <c r="D78">
        <f t="shared" si="40"/>
        <v>0</v>
      </c>
      <c r="E78">
        <f t="shared" si="40"/>
        <v>0</v>
      </c>
      <c r="F78">
        <f t="shared" si="40"/>
        <v>63</v>
      </c>
      <c r="G78">
        <f t="shared" si="40"/>
        <v>0</v>
      </c>
      <c r="H78">
        <f t="shared" si="40"/>
        <v>0</v>
      </c>
      <c r="I78">
        <f t="shared" si="40"/>
        <v>28</v>
      </c>
      <c r="J78">
        <f t="shared" si="40"/>
        <v>16</v>
      </c>
      <c r="K78">
        <f t="shared" si="40"/>
        <v>1</v>
      </c>
      <c r="L78" t="b">
        <f t="shared" si="41"/>
        <v>1</v>
      </c>
      <c r="W78" t="s">
        <v>28</v>
      </c>
      <c r="X78" t="s">
        <v>24</v>
      </c>
      <c r="Y78">
        <v>1217</v>
      </c>
      <c r="Z78">
        <v>0</v>
      </c>
      <c r="AA78">
        <v>0</v>
      </c>
      <c r="AB78">
        <v>263</v>
      </c>
      <c r="AC78">
        <v>45</v>
      </c>
      <c r="AD78">
        <v>3</v>
      </c>
      <c r="AE78">
        <v>144</v>
      </c>
      <c r="AF78">
        <v>135</v>
      </c>
      <c r="AG78">
        <v>627</v>
      </c>
      <c r="AH78">
        <v>5</v>
      </c>
    </row>
    <row r="79" spans="1:34" x14ac:dyDescent="0.25">
      <c r="A79" t="s">
        <v>28</v>
      </c>
      <c r="B79" t="str">
        <f t="shared" si="42"/>
        <v>telisha-qetana</v>
      </c>
      <c r="C79">
        <f t="shared" si="39"/>
        <v>117</v>
      </c>
      <c r="D79">
        <f t="shared" si="40"/>
        <v>0</v>
      </c>
      <c r="E79">
        <f t="shared" si="40"/>
        <v>1</v>
      </c>
      <c r="F79">
        <f t="shared" si="40"/>
        <v>57</v>
      </c>
      <c r="G79">
        <f t="shared" si="40"/>
        <v>2</v>
      </c>
      <c r="H79">
        <f t="shared" si="40"/>
        <v>0</v>
      </c>
      <c r="I79">
        <f t="shared" si="40"/>
        <v>17</v>
      </c>
      <c r="J79">
        <f t="shared" si="40"/>
        <v>40</v>
      </c>
      <c r="K79">
        <f t="shared" si="40"/>
        <v>0</v>
      </c>
      <c r="L79" t="b">
        <f t="shared" si="41"/>
        <v>1</v>
      </c>
      <c r="W79" t="s">
        <v>28</v>
      </c>
      <c r="X79" t="s">
        <v>66</v>
      </c>
      <c r="Y79">
        <v>1288</v>
      </c>
      <c r="Z79">
        <v>0</v>
      </c>
      <c r="AA79">
        <v>0</v>
      </c>
      <c r="AB79">
        <v>176</v>
      </c>
      <c r="AC79">
        <v>12</v>
      </c>
      <c r="AD79">
        <v>0</v>
      </c>
      <c r="AE79">
        <v>33</v>
      </c>
      <c r="AF79">
        <v>826</v>
      </c>
      <c r="AG79">
        <v>241</v>
      </c>
      <c r="AH79">
        <v>5</v>
      </c>
    </row>
    <row r="80" spans="1:34" x14ac:dyDescent="0.25">
      <c r="A80" t="s">
        <v>28</v>
      </c>
      <c r="B80" t="str">
        <f t="shared" si="42"/>
        <v>azla</v>
      </c>
      <c r="C80">
        <f t="shared" si="39"/>
        <v>244</v>
      </c>
      <c r="D80">
        <f t="shared" si="40"/>
        <v>0</v>
      </c>
      <c r="E80">
        <f t="shared" si="40"/>
        <v>0</v>
      </c>
      <c r="F80">
        <f t="shared" si="40"/>
        <v>141</v>
      </c>
      <c r="G80">
        <f t="shared" si="40"/>
        <v>0</v>
      </c>
      <c r="H80">
        <f t="shared" si="40"/>
        <v>1</v>
      </c>
      <c r="I80">
        <f t="shared" si="40"/>
        <v>40</v>
      </c>
      <c r="J80">
        <f t="shared" si="40"/>
        <v>61</v>
      </c>
      <c r="K80">
        <f t="shared" si="40"/>
        <v>1</v>
      </c>
      <c r="L80" t="b">
        <f t="shared" si="41"/>
        <v>1</v>
      </c>
      <c r="W80" t="s">
        <v>29</v>
      </c>
      <c r="X80" t="s">
        <v>72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</v>
      </c>
    </row>
    <row r="81" spans="1:34" x14ac:dyDescent="0.25">
      <c r="A81" t="s">
        <v>28</v>
      </c>
      <c r="B81" t="str">
        <f t="shared" si="42"/>
        <v>qadma</v>
      </c>
      <c r="C81">
        <f t="shared" si="39"/>
        <v>441</v>
      </c>
      <c r="D81">
        <f t="shared" si="40"/>
        <v>0</v>
      </c>
      <c r="E81">
        <f t="shared" si="40"/>
        <v>1</v>
      </c>
      <c r="F81">
        <f t="shared" si="40"/>
        <v>219</v>
      </c>
      <c r="G81">
        <f t="shared" si="40"/>
        <v>1</v>
      </c>
      <c r="H81">
        <f t="shared" si="40"/>
        <v>2</v>
      </c>
      <c r="I81">
        <f t="shared" si="40"/>
        <v>83</v>
      </c>
      <c r="J81">
        <f t="shared" si="40"/>
        <v>130</v>
      </c>
      <c r="K81">
        <f t="shared" si="40"/>
        <v>5</v>
      </c>
      <c r="L81" t="b">
        <f t="shared" si="41"/>
        <v>1</v>
      </c>
      <c r="W81" t="s">
        <v>29</v>
      </c>
      <c r="X81" t="s">
        <v>22</v>
      </c>
      <c r="Y81">
        <v>36</v>
      </c>
      <c r="Z81">
        <v>0</v>
      </c>
      <c r="AA81">
        <v>0</v>
      </c>
      <c r="AB81">
        <v>3</v>
      </c>
      <c r="AC81">
        <v>3</v>
      </c>
      <c r="AD81">
        <v>0</v>
      </c>
      <c r="AE81">
        <v>0</v>
      </c>
      <c r="AF81">
        <v>30</v>
      </c>
      <c r="AG81">
        <v>0</v>
      </c>
      <c r="AH81">
        <v>6</v>
      </c>
    </row>
    <row r="82" spans="1:34" x14ac:dyDescent="0.25">
      <c r="A82" t="s">
        <v>28</v>
      </c>
      <c r="B82" t="str">
        <f t="shared" si="42"/>
        <v>revia</v>
      </c>
      <c r="C82">
        <f t="shared" si="39"/>
        <v>509</v>
      </c>
      <c r="D82">
        <f t="shared" ref="D82:K84" si="43">Z77</f>
        <v>0</v>
      </c>
      <c r="E82">
        <f t="shared" si="43"/>
        <v>0</v>
      </c>
      <c r="F82">
        <f t="shared" si="43"/>
        <v>144</v>
      </c>
      <c r="G82">
        <f t="shared" si="43"/>
        <v>0</v>
      </c>
      <c r="H82">
        <f t="shared" si="43"/>
        <v>0</v>
      </c>
      <c r="I82">
        <f t="shared" si="43"/>
        <v>51</v>
      </c>
      <c r="J82">
        <f t="shared" si="43"/>
        <v>309</v>
      </c>
      <c r="K82">
        <f t="shared" si="43"/>
        <v>5</v>
      </c>
      <c r="L82" t="b">
        <f t="shared" si="41"/>
        <v>1</v>
      </c>
      <c r="W82" t="s">
        <v>29</v>
      </c>
      <c r="X82" t="s">
        <v>4</v>
      </c>
      <c r="Y82">
        <v>37</v>
      </c>
      <c r="Z82">
        <v>0</v>
      </c>
      <c r="AA82">
        <v>0</v>
      </c>
      <c r="AB82">
        <v>4</v>
      </c>
      <c r="AC82">
        <v>6</v>
      </c>
      <c r="AD82">
        <v>0</v>
      </c>
      <c r="AE82">
        <v>0</v>
      </c>
      <c r="AF82">
        <v>27</v>
      </c>
      <c r="AG82">
        <v>0</v>
      </c>
      <c r="AH82">
        <v>6</v>
      </c>
    </row>
    <row r="83" spans="1:34" x14ac:dyDescent="0.25">
      <c r="A83" t="s">
        <v>28</v>
      </c>
      <c r="B83" t="str">
        <f t="shared" si="42"/>
        <v>pashta</v>
      </c>
      <c r="C83">
        <f t="shared" si="39"/>
        <v>1217</v>
      </c>
      <c r="D83">
        <f t="shared" si="43"/>
        <v>0</v>
      </c>
      <c r="E83">
        <f t="shared" si="43"/>
        <v>0</v>
      </c>
      <c r="F83">
        <f t="shared" si="43"/>
        <v>263</v>
      </c>
      <c r="G83">
        <f t="shared" si="43"/>
        <v>45</v>
      </c>
      <c r="H83">
        <f t="shared" si="43"/>
        <v>3</v>
      </c>
      <c r="I83">
        <f t="shared" si="43"/>
        <v>144</v>
      </c>
      <c r="J83">
        <f t="shared" si="43"/>
        <v>135</v>
      </c>
      <c r="K83">
        <f t="shared" si="43"/>
        <v>627</v>
      </c>
      <c r="L83" t="b">
        <f t="shared" si="41"/>
        <v>1</v>
      </c>
      <c r="W83" t="s">
        <v>29</v>
      </c>
      <c r="X83" t="s">
        <v>65</v>
      </c>
      <c r="Y83">
        <v>49</v>
      </c>
      <c r="Z83">
        <v>0</v>
      </c>
      <c r="AA83">
        <v>0</v>
      </c>
      <c r="AB83">
        <v>13</v>
      </c>
      <c r="AC83">
        <v>0</v>
      </c>
      <c r="AD83">
        <v>0</v>
      </c>
      <c r="AE83">
        <v>12</v>
      </c>
      <c r="AF83">
        <v>20</v>
      </c>
      <c r="AG83">
        <v>4</v>
      </c>
      <c r="AH83">
        <v>6</v>
      </c>
    </row>
    <row r="84" spans="1:34" x14ac:dyDescent="0.25">
      <c r="A84" t="s">
        <v>28</v>
      </c>
      <c r="B84" t="str">
        <f t="shared" si="42"/>
        <v>zaqef-qatan</v>
      </c>
      <c r="C84">
        <f t="shared" si="39"/>
        <v>1288</v>
      </c>
      <c r="D84">
        <f t="shared" si="43"/>
        <v>0</v>
      </c>
      <c r="E84">
        <f t="shared" si="43"/>
        <v>0</v>
      </c>
      <c r="F84">
        <f t="shared" si="43"/>
        <v>176</v>
      </c>
      <c r="G84">
        <f t="shared" si="43"/>
        <v>12</v>
      </c>
      <c r="H84">
        <f t="shared" si="43"/>
        <v>0</v>
      </c>
      <c r="I84">
        <f t="shared" si="43"/>
        <v>33</v>
      </c>
      <c r="J84">
        <f t="shared" si="43"/>
        <v>826</v>
      </c>
      <c r="K84">
        <f t="shared" si="43"/>
        <v>241</v>
      </c>
      <c r="L84" t="b">
        <f>SUM(D84:K84)=Y81</f>
        <v>0</v>
      </c>
      <c r="W84" t="s">
        <v>29</v>
      </c>
      <c r="X84" t="s">
        <v>5</v>
      </c>
      <c r="Y84">
        <v>58</v>
      </c>
      <c r="Z84">
        <v>0</v>
      </c>
      <c r="AA84">
        <v>0</v>
      </c>
      <c r="AB84">
        <v>18</v>
      </c>
      <c r="AC84">
        <v>0</v>
      </c>
      <c r="AD84">
        <v>0</v>
      </c>
      <c r="AE84">
        <v>11</v>
      </c>
      <c r="AF84">
        <v>28</v>
      </c>
      <c r="AG84">
        <v>1</v>
      </c>
      <c r="AH84">
        <v>6</v>
      </c>
    </row>
    <row r="85" spans="1:34" x14ac:dyDescent="0.25">
      <c r="C85">
        <f>SUM(C66:C84)</f>
        <v>4238</v>
      </c>
      <c r="D85" t="s">
        <v>60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W85" t="s">
        <v>29</v>
      </c>
      <c r="X85" t="s">
        <v>23</v>
      </c>
      <c r="Y85">
        <v>69</v>
      </c>
      <c r="Z85">
        <v>0</v>
      </c>
      <c r="AA85">
        <v>0</v>
      </c>
      <c r="AB85">
        <v>39</v>
      </c>
      <c r="AC85">
        <v>0</v>
      </c>
      <c r="AD85">
        <v>0</v>
      </c>
      <c r="AE85">
        <v>16</v>
      </c>
      <c r="AF85">
        <v>10</v>
      </c>
      <c r="AG85">
        <v>4</v>
      </c>
      <c r="AH85">
        <v>6</v>
      </c>
    </row>
    <row r="86" spans="1:34" x14ac:dyDescent="0.25">
      <c r="A86" t="s">
        <v>29</v>
      </c>
      <c r="B86" t="str">
        <f>X80</f>
        <v>qarne-farah</v>
      </c>
      <c r="C86">
        <f t="shared" ref="C86:C98" si="44">SUM(D86:K86)</f>
        <v>1</v>
      </c>
      <c r="D86">
        <f t="shared" ref="D86:K98" si="45">Z80</f>
        <v>0</v>
      </c>
      <c r="E86">
        <f t="shared" si="45"/>
        <v>1</v>
      </c>
      <c r="F86">
        <f t="shared" si="45"/>
        <v>0</v>
      </c>
      <c r="G86">
        <f t="shared" si="45"/>
        <v>0</v>
      </c>
      <c r="H86">
        <f t="shared" si="45"/>
        <v>0</v>
      </c>
      <c r="I86">
        <f t="shared" si="45"/>
        <v>0</v>
      </c>
      <c r="J86">
        <f t="shared" si="45"/>
        <v>0</v>
      </c>
      <c r="K86">
        <f t="shared" si="45"/>
        <v>0</v>
      </c>
      <c r="L86" t="b">
        <f t="shared" ref="L86:L98" si="46">SUM(D86:K86)=Y80</f>
        <v>1</v>
      </c>
      <c r="W86" t="s">
        <v>29</v>
      </c>
      <c r="X86" t="s">
        <v>63</v>
      </c>
      <c r="Y86">
        <v>75</v>
      </c>
      <c r="Z86">
        <v>0</v>
      </c>
      <c r="AA86">
        <v>0</v>
      </c>
      <c r="AB86">
        <v>33</v>
      </c>
      <c r="AC86">
        <v>0</v>
      </c>
      <c r="AD86">
        <v>0</v>
      </c>
      <c r="AE86">
        <v>13</v>
      </c>
      <c r="AF86">
        <v>28</v>
      </c>
      <c r="AG86">
        <v>1</v>
      </c>
      <c r="AH86">
        <v>6</v>
      </c>
    </row>
    <row r="87" spans="1:34" x14ac:dyDescent="0.25">
      <c r="A87" t="s">
        <v>29</v>
      </c>
      <c r="B87" t="str">
        <f t="shared" ref="B87:B98" si="47">X81</f>
        <v>segol</v>
      </c>
      <c r="C87">
        <f t="shared" si="44"/>
        <v>36</v>
      </c>
      <c r="D87">
        <f t="shared" si="45"/>
        <v>0</v>
      </c>
      <c r="E87">
        <f t="shared" si="45"/>
        <v>0</v>
      </c>
      <c r="F87">
        <f t="shared" si="45"/>
        <v>3</v>
      </c>
      <c r="G87">
        <f t="shared" si="45"/>
        <v>3</v>
      </c>
      <c r="H87">
        <f t="shared" si="45"/>
        <v>0</v>
      </c>
      <c r="I87">
        <f t="shared" si="45"/>
        <v>0</v>
      </c>
      <c r="J87">
        <f t="shared" si="45"/>
        <v>30</v>
      </c>
      <c r="K87">
        <f t="shared" si="45"/>
        <v>0</v>
      </c>
      <c r="L87" t="b">
        <f t="shared" si="46"/>
        <v>1</v>
      </c>
      <c r="W87" t="s">
        <v>29</v>
      </c>
      <c r="X87" t="s">
        <v>64</v>
      </c>
      <c r="Y87">
        <v>108</v>
      </c>
      <c r="Z87">
        <v>0</v>
      </c>
      <c r="AA87">
        <v>0</v>
      </c>
      <c r="AB87">
        <v>46</v>
      </c>
      <c r="AC87">
        <v>0</v>
      </c>
      <c r="AD87">
        <v>0</v>
      </c>
      <c r="AE87">
        <v>21</v>
      </c>
      <c r="AF87">
        <v>40</v>
      </c>
      <c r="AG87">
        <v>1</v>
      </c>
      <c r="AH87">
        <v>6</v>
      </c>
    </row>
    <row r="88" spans="1:34" x14ac:dyDescent="0.25">
      <c r="A88" t="s">
        <v>29</v>
      </c>
      <c r="B88" t="str">
        <f t="shared" si="47"/>
        <v>tsinnor</v>
      </c>
      <c r="C88">
        <f t="shared" si="44"/>
        <v>37</v>
      </c>
      <c r="D88">
        <f t="shared" si="45"/>
        <v>0</v>
      </c>
      <c r="E88">
        <f t="shared" si="45"/>
        <v>0</v>
      </c>
      <c r="F88">
        <f t="shared" si="45"/>
        <v>4</v>
      </c>
      <c r="G88">
        <f t="shared" si="45"/>
        <v>6</v>
      </c>
      <c r="H88">
        <f t="shared" si="45"/>
        <v>0</v>
      </c>
      <c r="I88">
        <f t="shared" si="45"/>
        <v>0</v>
      </c>
      <c r="J88">
        <f t="shared" si="45"/>
        <v>27</v>
      </c>
      <c r="K88">
        <f t="shared" si="45"/>
        <v>0</v>
      </c>
      <c r="L88" t="b">
        <f t="shared" si="46"/>
        <v>1</v>
      </c>
      <c r="W88" t="s">
        <v>29</v>
      </c>
      <c r="X88" t="s">
        <v>8</v>
      </c>
      <c r="Y88">
        <v>227</v>
      </c>
      <c r="Z88">
        <v>0</v>
      </c>
      <c r="AA88">
        <v>0</v>
      </c>
      <c r="AB88">
        <v>127</v>
      </c>
      <c r="AC88">
        <v>1</v>
      </c>
      <c r="AD88">
        <v>0</v>
      </c>
      <c r="AE88">
        <v>47</v>
      </c>
      <c r="AF88">
        <v>50</v>
      </c>
      <c r="AG88">
        <v>2</v>
      </c>
      <c r="AH88">
        <v>6</v>
      </c>
    </row>
    <row r="89" spans="1:34" x14ac:dyDescent="0.25">
      <c r="A89" t="s">
        <v>29</v>
      </c>
      <c r="B89" t="str">
        <f t="shared" si="47"/>
        <v>zaqef-gadol</v>
      </c>
      <c r="C89">
        <f t="shared" si="44"/>
        <v>49</v>
      </c>
      <c r="D89">
        <f t="shared" si="45"/>
        <v>0</v>
      </c>
      <c r="E89">
        <f t="shared" si="45"/>
        <v>0</v>
      </c>
      <c r="F89">
        <f t="shared" si="45"/>
        <v>13</v>
      </c>
      <c r="G89">
        <f t="shared" si="45"/>
        <v>0</v>
      </c>
      <c r="H89">
        <f t="shared" si="45"/>
        <v>0</v>
      </c>
      <c r="I89">
        <f t="shared" si="45"/>
        <v>12</v>
      </c>
      <c r="J89">
        <f t="shared" si="45"/>
        <v>20</v>
      </c>
      <c r="K89">
        <f t="shared" si="45"/>
        <v>4</v>
      </c>
      <c r="L89" t="b">
        <f t="shared" si="46"/>
        <v>1</v>
      </c>
      <c r="W89" t="s">
        <v>29</v>
      </c>
      <c r="X89" t="s">
        <v>1</v>
      </c>
      <c r="Y89">
        <v>363</v>
      </c>
      <c r="Z89">
        <v>0</v>
      </c>
      <c r="AA89">
        <v>0</v>
      </c>
      <c r="AB89">
        <v>100</v>
      </c>
      <c r="AC89">
        <v>1</v>
      </c>
      <c r="AD89">
        <v>0</v>
      </c>
      <c r="AE89">
        <v>43</v>
      </c>
      <c r="AF89">
        <v>216</v>
      </c>
      <c r="AG89">
        <v>3</v>
      </c>
      <c r="AH89">
        <v>6</v>
      </c>
    </row>
    <row r="90" spans="1:34" x14ac:dyDescent="0.25">
      <c r="A90" t="s">
        <v>29</v>
      </c>
      <c r="B90" t="str">
        <f t="shared" si="47"/>
        <v>pazer</v>
      </c>
      <c r="C90">
        <f t="shared" si="44"/>
        <v>58</v>
      </c>
      <c r="D90">
        <f t="shared" si="45"/>
        <v>0</v>
      </c>
      <c r="E90">
        <f t="shared" si="45"/>
        <v>0</v>
      </c>
      <c r="F90">
        <f t="shared" si="45"/>
        <v>18</v>
      </c>
      <c r="G90">
        <f t="shared" si="45"/>
        <v>0</v>
      </c>
      <c r="H90">
        <f t="shared" si="45"/>
        <v>0</v>
      </c>
      <c r="I90">
        <f t="shared" si="45"/>
        <v>11</v>
      </c>
      <c r="J90">
        <f t="shared" si="45"/>
        <v>28</v>
      </c>
      <c r="K90">
        <f t="shared" si="45"/>
        <v>1</v>
      </c>
      <c r="L90" t="b">
        <f t="shared" si="46"/>
        <v>1</v>
      </c>
      <c r="W90" t="s">
        <v>29</v>
      </c>
      <c r="X90" t="s">
        <v>6</v>
      </c>
      <c r="Y90">
        <v>371</v>
      </c>
      <c r="Z90">
        <v>0</v>
      </c>
      <c r="AA90">
        <v>0</v>
      </c>
      <c r="AB90">
        <v>181</v>
      </c>
      <c r="AC90">
        <v>1</v>
      </c>
      <c r="AD90">
        <v>0</v>
      </c>
      <c r="AE90">
        <v>87</v>
      </c>
      <c r="AF90">
        <v>96</v>
      </c>
      <c r="AG90">
        <v>6</v>
      </c>
      <c r="AH90">
        <v>6</v>
      </c>
    </row>
    <row r="91" spans="1:34" x14ac:dyDescent="0.25">
      <c r="A91" t="s">
        <v>29</v>
      </c>
      <c r="B91" t="str">
        <f t="shared" si="47"/>
        <v>tarsin</v>
      </c>
      <c r="C91">
        <f t="shared" si="44"/>
        <v>69</v>
      </c>
      <c r="D91">
        <f t="shared" si="45"/>
        <v>0</v>
      </c>
      <c r="E91">
        <f t="shared" si="45"/>
        <v>0</v>
      </c>
      <c r="F91">
        <f t="shared" si="45"/>
        <v>39</v>
      </c>
      <c r="G91">
        <f t="shared" si="45"/>
        <v>0</v>
      </c>
      <c r="H91">
        <f t="shared" si="45"/>
        <v>0</v>
      </c>
      <c r="I91">
        <f t="shared" si="45"/>
        <v>16</v>
      </c>
      <c r="J91">
        <f t="shared" si="45"/>
        <v>10</v>
      </c>
      <c r="K91">
        <f t="shared" si="45"/>
        <v>4</v>
      </c>
      <c r="L91" t="b">
        <f t="shared" si="46"/>
        <v>1</v>
      </c>
      <c r="W91" t="s">
        <v>29</v>
      </c>
      <c r="X91" t="s">
        <v>66</v>
      </c>
      <c r="Y91">
        <v>872</v>
      </c>
      <c r="Z91">
        <v>0</v>
      </c>
      <c r="AA91">
        <v>0</v>
      </c>
      <c r="AB91">
        <v>103</v>
      </c>
      <c r="AC91">
        <v>10</v>
      </c>
      <c r="AD91">
        <v>0</v>
      </c>
      <c r="AE91">
        <v>15</v>
      </c>
      <c r="AF91">
        <v>530</v>
      </c>
      <c r="AG91">
        <v>214</v>
      </c>
      <c r="AH91">
        <v>6</v>
      </c>
    </row>
    <row r="92" spans="1:34" x14ac:dyDescent="0.25">
      <c r="A92" t="s">
        <v>29</v>
      </c>
      <c r="B92" t="str">
        <f t="shared" si="47"/>
        <v>telisha-gedola</v>
      </c>
      <c r="C92">
        <f t="shared" si="44"/>
        <v>75</v>
      </c>
      <c r="D92">
        <f t="shared" si="45"/>
        <v>0</v>
      </c>
      <c r="E92">
        <f t="shared" si="45"/>
        <v>0</v>
      </c>
      <c r="F92">
        <f t="shared" si="45"/>
        <v>33</v>
      </c>
      <c r="G92">
        <f t="shared" si="45"/>
        <v>0</v>
      </c>
      <c r="H92">
        <f t="shared" si="45"/>
        <v>0</v>
      </c>
      <c r="I92">
        <f t="shared" si="45"/>
        <v>13</v>
      </c>
      <c r="J92">
        <f t="shared" si="45"/>
        <v>28</v>
      </c>
      <c r="K92">
        <f t="shared" si="45"/>
        <v>1</v>
      </c>
      <c r="L92" t="b">
        <f t="shared" si="46"/>
        <v>1</v>
      </c>
      <c r="W92" t="s">
        <v>29</v>
      </c>
      <c r="X92" t="s">
        <v>24</v>
      </c>
      <c r="Y92">
        <v>880</v>
      </c>
      <c r="Z92">
        <v>0</v>
      </c>
      <c r="AA92">
        <v>0</v>
      </c>
      <c r="AB92">
        <v>195</v>
      </c>
      <c r="AC92">
        <v>31</v>
      </c>
      <c r="AD92">
        <v>0</v>
      </c>
      <c r="AE92">
        <v>61</v>
      </c>
      <c r="AF92">
        <v>109</v>
      </c>
      <c r="AG92">
        <v>484</v>
      </c>
      <c r="AH92">
        <v>6</v>
      </c>
    </row>
    <row r="93" spans="1:34" x14ac:dyDescent="0.25">
      <c r="A93" t="s">
        <v>29</v>
      </c>
      <c r="B93" t="str">
        <f t="shared" si="47"/>
        <v>telisha-qetana</v>
      </c>
      <c r="C93">
        <f t="shared" si="44"/>
        <v>108</v>
      </c>
      <c r="D93">
        <f t="shared" si="45"/>
        <v>0</v>
      </c>
      <c r="E93">
        <f t="shared" si="45"/>
        <v>0</v>
      </c>
      <c r="F93">
        <f t="shared" si="45"/>
        <v>46</v>
      </c>
      <c r="G93">
        <f t="shared" si="45"/>
        <v>0</v>
      </c>
      <c r="H93">
        <f t="shared" si="45"/>
        <v>0</v>
      </c>
      <c r="I93">
        <f t="shared" si="45"/>
        <v>21</v>
      </c>
      <c r="J93">
        <f t="shared" si="45"/>
        <v>40</v>
      </c>
      <c r="K93">
        <f t="shared" si="45"/>
        <v>1</v>
      </c>
      <c r="L93" t="b">
        <f t="shared" si="46"/>
        <v>1</v>
      </c>
      <c r="W93" t="s">
        <v>30</v>
      </c>
      <c r="X93" t="s">
        <v>5</v>
      </c>
      <c r="Y93">
        <v>27</v>
      </c>
      <c r="Z93">
        <v>0</v>
      </c>
      <c r="AA93">
        <v>0</v>
      </c>
      <c r="AB93">
        <v>12</v>
      </c>
      <c r="AC93">
        <v>0</v>
      </c>
      <c r="AD93">
        <v>0</v>
      </c>
      <c r="AE93">
        <v>7</v>
      </c>
      <c r="AF93">
        <v>8</v>
      </c>
      <c r="AG93">
        <v>0</v>
      </c>
      <c r="AH93">
        <v>7</v>
      </c>
    </row>
    <row r="94" spans="1:34" x14ac:dyDescent="0.25">
      <c r="A94" t="s">
        <v>29</v>
      </c>
      <c r="B94" t="str">
        <f t="shared" si="47"/>
        <v>azla</v>
      </c>
      <c r="C94">
        <f t="shared" si="44"/>
        <v>227</v>
      </c>
      <c r="D94">
        <f t="shared" si="45"/>
        <v>0</v>
      </c>
      <c r="E94">
        <f t="shared" si="45"/>
        <v>0</v>
      </c>
      <c r="F94">
        <f t="shared" si="45"/>
        <v>127</v>
      </c>
      <c r="G94">
        <f t="shared" si="45"/>
        <v>1</v>
      </c>
      <c r="H94">
        <f t="shared" si="45"/>
        <v>0</v>
      </c>
      <c r="I94">
        <f t="shared" si="45"/>
        <v>47</v>
      </c>
      <c r="J94">
        <f t="shared" si="45"/>
        <v>50</v>
      </c>
      <c r="K94">
        <f t="shared" si="45"/>
        <v>2</v>
      </c>
      <c r="L94" t="b">
        <f t="shared" si="46"/>
        <v>1</v>
      </c>
      <c r="W94" t="s">
        <v>30</v>
      </c>
      <c r="X94" t="s">
        <v>63</v>
      </c>
      <c r="Y94">
        <v>32</v>
      </c>
      <c r="Z94">
        <v>0</v>
      </c>
      <c r="AA94">
        <v>0</v>
      </c>
      <c r="AB94">
        <v>13</v>
      </c>
      <c r="AC94">
        <v>0</v>
      </c>
      <c r="AD94">
        <v>0</v>
      </c>
      <c r="AE94">
        <v>10</v>
      </c>
      <c r="AF94">
        <v>9</v>
      </c>
      <c r="AG94">
        <v>0</v>
      </c>
      <c r="AH94">
        <v>7</v>
      </c>
    </row>
    <row r="95" spans="1:34" x14ac:dyDescent="0.25">
      <c r="A95" t="s">
        <v>29</v>
      </c>
      <c r="B95" t="str">
        <f t="shared" si="47"/>
        <v>revia</v>
      </c>
      <c r="C95">
        <f t="shared" si="44"/>
        <v>363</v>
      </c>
      <c r="D95">
        <f t="shared" si="45"/>
        <v>0</v>
      </c>
      <c r="E95">
        <f t="shared" si="45"/>
        <v>0</v>
      </c>
      <c r="F95">
        <f t="shared" si="45"/>
        <v>100</v>
      </c>
      <c r="G95">
        <f t="shared" si="45"/>
        <v>1</v>
      </c>
      <c r="H95">
        <f t="shared" si="45"/>
        <v>0</v>
      </c>
      <c r="I95">
        <f t="shared" si="45"/>
        <v>43</v>
      </c>
      <c r="J95">
        <f t="shared" si="45"/>
        <v>216</v>
      </c>
      <c r="K95">
        <f t="shared" si="45"/>
        <v>3</v>
      </c>
      <c r="L95" t="b">
        <f t="shared" si="46"/>
        <v>1</v>
      </c>
      <c r="W95" t="s">
        <v>30</v>
      </c>
      <c r="X95" t="s">
        <v>22</v>
      </c>
      <c r="Y95">
        <v>43</v>
      </c>
      <c r="Z95">
        <v>0</v>
      </c>
      <c r="AA95">
        <v>0</v>
      </c>
      <c r="AB95">
        <v>4</v>
      </c>
      <c r="AC95">
        <v>1</v>
      </c>
      <c r="AD95">
        <v>0</v>
      </c>
      <c r="AE95">
        <v>0</v>
      </c>
      <c r="AF95">
        <v>38</v>
      </c>
      <c r="AG95">
        <v>0</v>
      </c>
      <c r="AH95">
        <v>7</v>
      </c>
    </row>
    <row r="96" spans="1:34" x14ac:dyDescent="0.25">
      <c r="A96" t="s">
        <v>29</v>
      </c>
      <c r="B96" t="str">
        <f t="shared" si="47"/>
        <v>qadma</v>
      </c>
      <c r="C96">
        <f t="shared" si="44"/>
        <v>371</v>
      </c>
      <c r="D96">
        <f t="shared" si="45"/>
        <v>0</v>
      </c>
      <c r="E96">
        <f t="shared" si="45"/>
        <v>0</v>
      </c>
      <c r="F96">
        <f t="shared" si="45"/>
        <v>181</v>
      </c>
      <c r="G96">
        <f t="shared" si="45"/>
        <v>1</v>
      </c>
      <c r="H96">
        <f t="shared" si="45"/>
        <v>0</v>
      </c>
      <c r="I96">
        <f t="shared" si="45"/>
        <v>87</v>
      </c>
      <c r="J96">
        <f t="shared" si="45"/>
        <v>96</v>
      </c>
      <c r="K96">
        <f t="shared" si="45"/>
        <v>6</v>
      </c>
      <c r="L96" t="b">
        <f t="shared" si="46"/>
        <v>1</v>
      </c>
      <c r="W96" t="s">
        <v>30</v>
      </c>
      <c r="X96" t="s">
        <v>4</v>
      </c>
      <c r="Y96">
        <v>44</v>
      </c>
      <c r="Z96">
        <v>0</v>
      </c>
      <c r="AA96">
        <v>0</v>
      </c>
      <c r="AB96">
        <v>16</v>
      </c>
      <c r="AC96">
        <v>3</v>
      </c>
      <c r="AD96">
        <v>0</v>
      </c>
      <c r="AE96">
        <v>0</v>
      </c>
      <c r="AF96">
        <v>25</v>
      </c>
      <c r="AG96">
        <v>0</v>
      </c>
      <c r="AH96">
        <v>7</v>
      </c>
    </row>
    <row r="97" spans="1:34" x14ac:dyDescent="0.25">
      <c r="A97" t="s">
        <v>29</v>
      </c>
      <c r="B97" t="str">
        <f t="shared" si="47"/>
        <v>zaqef-qatan</v>
      </c>
      <c r="C97">
        <f t="shared" si="44"/>
        <v>872</v>
      </c>
      <c r="D97">
        <f t="shared" si="45"/>
        <v>0</v>
      </c>
      <c r="E97">
        <f t="shared" si="45"/>
        <v>0</v>
      </c>
      <c r="F97">
        <f t="shared" si="45"/>
        <v>103</v>
      </c>
      <c r="G97">
        <f t="shared" si="45"/>
        <v>10</v>
      </c>
      <c r="H97">
        <f t="shared" si="45"/>
        <v>0</v>
      </c>
      <c r="I97">
        <f t="shared" si="45"/>
        <v>15</v>
      </c>
      <c r="J97">
        <f t="shared" si="45"/>
        <v>530</v>
      </c>
      <c r="K97">
        <f t="shared" si="45"/>
        <v>214</v>
      </c>
      <c r="L97" t="b">
        <f t="shared" si="46"/>
        <v>1</v>
      </c>
      <c r="W97" t="s">
        <v>30</v>
      </c>
      <c r="X97" t="s">
        <v>65</v>
      </c>
      <c r="Y97">
        <v>62</v>
      </c>
      <c r="Z97">
        <v>0</v>
      </c>
      <c r="AA97">
        <v>0</v>
      </c>
      <c r="AB97">
        <v>12</v>
      </c>
      <c r="AC97">
        <v>1</v>
      </c>
      <c r="AD97">
        <v>0</v>
      </c>
      <c r="AE97">
        <v>16</v>
      </c>
      <c r="AF97">
        <v>27</v>
      </c>
      <c r="AG97">
        <v>6</v>
      </c>
      <c r="AH97">
        <v>7</v>
      </c>
    </row>
    <row r="98" spans="1:34" x14ac:dyDescent="0.25">
      <c r="A98" t="s">
        <v>29</v>
      </c>
      <c r="B98" t="str">
        <f t="shared" si="47"/>
        <v>pashta</v>
      </c>
      <c r="C98">
        <f t="shared" si="44"/>
        <v>880</v>
      </c>
      <c r="D98">
        <f t="shared" si="45"/>
        <v>0</v>
      </c>
      <c r="E98">
        <f t="shared" si="45"/>
        <v>0</v>
      </c>
      <c r="F98">
        <f t="shared" si="45"/>
        <v>195</v>
      </c>
      <c r="G98">
        <f t="shared" si="45"/>
        <v>31</v>
      </c>
      <c r="H98">
        <f t="shared" si="45"/>
        <v>0</v>
      </c>
      <c r="I98">
        <f t="shared" si="45"/>
        <v>61</v>
      </c>
      <c r="J98">
        <f t="shared" si="45"/>
        <v>109</v>
      </c>
      <c r="K98">
        <f t="shared" si="45"/>
        <v>484</v>
      </c>
      <c r="L98" t="b">
        <f t="shared" si="46"/>
        <v>1</v>
      </c>
      <c r="W98" t="s">
        <v>30</v>
      </c>
      <c r="X98" t="s">
        <v>23</v>
      </c>
      <c r="Y98">
        <v>63</v>
      </c>
      <c r="Z98">
        <v>0</v>
      </c>
      <c r="AA98">
        <v>0</v>
      </c>
      <c r="AB98">
        <v>37</v>
      </c>
      <c r="AC98">
        <v>0</v>
      </c>
      <c r="AD98">
        <v>0</v>
      </c>
      <c r="AE98">
        <v>16</v>
      </c>
      <c r="AF98">
        <v>10</v>
      </c>
      <c r="AG98">
        <v>0</v>
      </c>
      <c r="AH98">
        <v>7</v>
      </c>
    </row>
    <row r="99" spans="1:34" x14ac:dyDescent="0.25">
      <c r="D99" t="s">
        <v>60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W99" t="s">
        <v>30</v>
      </c>
      <c r="X99" t="s">
        <v>64</v>
      </c>
      <c r="Y99">
        <v>90</v>
      </c>
      <c r="Z99">
        <v>0</v>
      </c>
      <c r="AA99">
        <v>0</v>
      </c>
      <c r="AB99">
        <v>36</v>
      </c>
      <c r="AC99">
        <v>0</v>
      </c>
      <c r="AD99">
        <v>0</v>
      </c>
      <c r="AE99">
        <v>15</v>
      </c>
      <c r="AF99">
        <v>37</v>
      </c>
      <c r="AG99">
        <v>2</v>
      </c>
      <c r="AH99">
        <v>7</v>
      </c>
    </row>
    <row r="100" spans="1:34" x14ac:dyDescent="0.25">
      <c r="A100" t="s">
        <v>30</v>
      </c>
      <c r="B100" t="str">
        <f>X93</f>
        <v>pazer</v>
      </c>
      <c r="C100">
        <f t="shared" ref="C100:C111" si="48">SUM(D100:K100)</f>
        <v>27</v>
      </c>
      <c r="D100">
        <f t="shared" ref="D100:K111" si="49">Z93</f>
        <v>0</v>
      </c>
      <c r="E100">
        <f t="shared" si="49"/>
        <v>0</v>
      </c>
      <c r="F100">
        <f t="shared" si="49"/>
        <v>12</v>
      </c>
      <c r="G100">
        <f t="shared" si="49"/>
        <v>0</v>
      </c>
      <c r="H100">
        <f t="shared" si="49"/>
        <v>0</v>
      </c>
      <c r="I100">
        <f t="shared" si="49"/>
        <v>7</v>
      </c>
      <c r="J100">
        <f t="shared" si="49"/>
        <v>8</v>
      </c>
      <c r="K100">
        <f t="shared" si="49"/>
        <v>0</v>
      </c>
      <c r="L100" t="b">
        <f t="shared" ref="L100:L111" si="50">SUM(D100:K100)=Y93</f>
        <v>1</v>
      </c>
      <c r="W100" t="s">
        <v>30</v>
      </c>
      <c r="X100" t="s">
        <v>8</v>
      </c>
      <c r="Y100">
        <v>185</v>
      </c>
      <c r="Z100">
        <v>0</v>
      </c>
      <c r="AA100">
        <v>0</v>
      </c>
      <c r="AB100">
        <v>97</v>
      </c>
      <c r="AC100">
        <v>0</v>
      </c>
      <c r="AD100">
        <v>0</v>
      </c>
      <c r="AE100">
        <v>40</v>
      </c>
      <c r="AF100">
        <v>48</v>
      </c>
      <c r="AG100">
        <v>0</v>
      </c>
      <c r="AH100">
        <v>7</v>
      </c>
    </row>
    <row r="101" spans="1:34" x14ac:dyDescent="0.25">
      <c r="A101" t="s">
        <v>30</v>
      </c>
      <c r="B101" t="str">
        <f t="shared" ref="B101:B111" si="51">X94</f>
        <v>telisha-gedola</v>
      </c>
      <c r="C101">
        <f t="shared" si="48"/>
        <v>32</v>
      </c>
      <c r="D101">
        <f t="shared" si="49"/>
        <v>0</v>
      </c>
      <c r="E101">
        <f t="shared" si="49"/>
        <v>0</v>
      </c>
      <c r="F101">
        <f t="shared" si="49"/>
        <v>13</v>
      </c>
      <c r="G101">
        <f t="shared" si="49"/>
        <v>0</v>
      </c>
      <c r="H101">
        <f t="shared" si="49"/>
        <v>0</v>
      </c>
      <c r="I101">
        <f t="shared" si="49"/>
        <v>10</v>
      </c>
      <c r="J101">
        <f t="shared" si="49"/>
        <v>9</v>
      </c>
      <c r="K101">
        <f t="shared" si="49"/>
        <v>0</v>
      </c>
      <c r="L101" t="b">
        <f t="shared" si="50"/>
        <v>1</v>
      </c>
      <c r="W101" t="s">
        <v>30</v>
      </c>
      <c r="X101" t="s">
        <v>6</v>
      </c>
      <c r="Y101">
        <v>279</v>
      </c>
      <c r="Z101">
        <v>0</v>
      </c>
      <c r="AA101">
        <v>0</v>
      </c>
      <c r="AB101">
        <v>128</v>
      </c>
      <c r="AC101">
        <v>0</v>
      </c>
      <c r="AD101">
        <v>0</v>
      </c>
      <c r="AE101">
        <v>65</v>
      </c>
      <c r="AF101">
        <v>80</v>
      </c>
      <c r="AG101">
        <v>6</v>
      </c>
      <c r="AH101">
        <v>7</v>
      </c>
    </row>
    <row r="102" spans="1:34" x14ac:dyDescent="0.25">
      <c r="A102" t="s">
        <v>30</v>
      </c>
      <c r="B102" t="str">
        <f t="shared" si="51"/>
        <v>segol</v>
      </c>
      <c r="C102">
        <f t="shared" si="48"/>
        <v>43</v>
      </c>
      <c r="D102">
        <f t="shared" si="49"/>
        <v>0</v>
      </c>
      <c r="E102">
        <f t="shared" si="49"/>
        <v>0</v>
      </c>
      <c r="F102">
        <f t="shared" si="49"/>
        <v>4</v>
      </c>
      <c r="G102">
        <f t="shared" si="49"/>
        <v>1</v>
      </c>
      <c r="H102">
        <f t="shared" si="49"/>
        <v>0</v>
      </c>
      <c r="I102">
        <f t="shared" si="49"/>
        <v>0</v>
      </c>
      <c r="J102">
        <f t="shared" si="49"/>
        <v>38</v>
      </c>
      <c r="K102">
        <f t="shared" si="49"/>
        <v>0</v>
      </c>
      <c r="L102" t="b">
        <f t="shared" si="50"/>
        <v>1</v>
      </c>
      <c r="W102" t="s">
        <v>30</v>
      </c>
      <c r="X102" t="s">
        <v>1</v>
      </c>
      <c r="Y102">
        <v>344</v>
      </c>
      <c r="Z102">
        <v>0</v>
      </c>
      <c r="AA102">
        <v>0</v>
      </c>
      <c r="AB102">
        <v>82</v>
      </c>
      <c r="AC102">
        <v>0</v>
      </c>
      <c r="AD102">
        <v>0</v>
      </c>
      <c r="AE102">
        <v>46</v>
      </c>
      <c r="AF102">
        <v>210</v>
      </c>
      <c r="AG102">
        <v>6</v>
      </c>
      <c r="AH102">
        <v>7</v>
      </c>
    </row>
    <row r="103" spans="1:34" x14ac:dyDescent="0.25">
      <c r="A103" t="s">
        <v>30</v>
      </c>
      <c r="B103" t="str">
        <f t="shared" si="51"/>
        <v>tsinnor</v>
      </c>
      <c r="C103">
        <f t="shared" si="48"/>
        <v>44</v>
      </c>
      <c r="D103">
        <f t="shared" si="49"/>
        <v>0</v>
      </c>
      <c r="E103">
        <f t="shared" si="49"/>
        <v>0</v>
      </c>
      <c r="F103">
        <f t="shared" si="49"/>
        <v>16</v>
      </c>
      <c r="G103">
        <f t="shared" si="49"/>
        <v>3</v>
      </c>
      <c r="H103">
        <f t="shared" si="49"/>
        <v>0</v>
      </c>
      <c r="I103">
        <f t="shared" si="49"/>
        <v>0</v>
      </c>
      <c r="J103">
        <f t="shared" si="49"/>
        <v>25</v>
      </c>
      <c r="K103">
        <f t="shared" si="49"/>
        <v>0</v>
      </c>
      <c r="L103" t="b">
        <f t="shared" si="50"/>
        <v>1</v>
      </c>
      <c r="W103" t="s">
        <v>30</v>
      </c>
      <c r="X103" t="s">
        <v>24</v>
      </c>
      <c r="Y103">
        <v>929</v>
      </c>
      <c r="Z103">
        <v>0</v>
      </c>
      <c r="AA103">
        <v>0</v>
      </c>
      <c r="AB103">
        <v>249</v>
      </c>
      <c r="AC103">
        <v>27</v>
      </c>
      <c r="AD103">
        <v>0</v>
      </c>
      <c r="AE103">
        <v>78</v>
      </c>
      <c r="AF103">
        <v>108</v>
      </c>
      <c r="AG103">
        <v>467</v>
      </c>
      <c r="AH103">
        <v>7</v>
      </c>
    </row>
    <row r="104" spans="1:34" x14ac:dyDescent="0.25">
      <c r="A104" t="s">
        <v>30</v>
      </c>
      <c r="B104" t="str">
        <f t="shared" si="51"/>
        <v>zaqef-gadol</v>
      </c>
      <c r="C104">
        <f t="shared" si="48"/>
        <v>62</v>
      </c>
      <c r="D104">
        <f t="shared" si="49"/>
        <v>0</v>
      </c>
      <c r="E104">
        <f t="shared" si="49"/>
        <v>0</v>
      </c>
      <c r="F104">
        <f t="shared" si="49"/>
        <v>12</v>
      </c>
      <c r="G104">
        <f t="shared" si="49"/>
        <v>1</v>
      </c>
      <c r="H104">
        <f t="shared" si="49"/>
        <v>0</v>
      </c>
      <c r="I104">
        <f t="shared" si="49"/>
        <v>16</v>
      </c>
      <c r="J104">
        <f t="shared" si="49"/>
        <v>27</v>
      </c>
      <c r="K104">
        <f t="shared" si="49"/>
        <v>6</v>
      </c>
      <c r="L104" t="b">
        <f t="shared" si="50"/>
        <v>1</v>
      </c>
      <c r="W104" t="s">
        <v>30</v>
      </c>
      <c r="X104" t="s">
        <v>66</v>
      </c>
      <c r="Y104">
        <v>981</v>
      </c>
      <c r="Z104">
        <v>0</v>
      </c>
      <c r="AA104">
        <v>0</v>
      </c>
      <c r="AB104">
        <v>117</v>
      </c>
      <c r="AC104">
        <v>11</v>
      </c>
      <c r="AD104">
        <v>0</v>
      </c>
      <c r="AE104">
        <v>23</v>
      </c>
      <c r="AF104">
        <v>644</v>
      </c>
      <c r="AG104">
        <v>186</v>
      </c>
      <c r="AH104">
        <v>7</v>
      </c>
    </row>
    <row r="105" spans="1:34" x14ac:dyDescent="0.25">
      <c r="A105" t="s">
        <v>30</v>
      </c>
      <c r="B105" t="str">
        <f t="shared" si="51"/>
        <v>tarsin</v>
      </c>
      <c r="C105">
        <f t="shared" si="48"/>
        <v>63</v>
      </c>
      <c r="D105">
        <f t="shared" si="49"/>
        <v>0</v>
      </c>
      <c r="E105">
        <f t="shared" si="49"/>
        <v>0</v>
      </c>
      <c r="F105">
        <f t="shared" si="49"/>
        <v>37</v>
      </c>
      <c r="G105">
        <f t="shared" si="49"/>
        <v>0</v>
      </c>
      <c r="H105">
        <f t="shared" si="49"/>
        <v>0</v>
      </c>
      <c r="I105">
        <f t="shared" si="49"/>
        <v>16</v>
      </c>
      <c r="J105">
        <f t="shared" si="49"/>
        <v>10</v>
      </c>
      <c r="K105">
        <f t="shared" si="49"/>
        <v>0</v>
      </c>
      <c r="L105" t="b">
        <f t="shared" si="50"/>
        <v>1</v>
      </c>
      <c r="W105" t="s">
        <v>31</v>
      </c>
      <c r="X105" t="s">
        <v>5</v>
      </c>
      <c r="Y105">
        <v>36</v>
      </c>
      <c r="Z105">
        <v>0</v>
      </c>
      <c r="AA105">
        <v>0</v>
      </c>
      <c r="AB105">
        <v>9</v>
      </c>
      <c r="AC105">
        <v>0</v>
      </c>
      <c r="AD105">
        <v>0</v>
      </c>
      <c r="AE105">
        <v>3</v>
      </c>
      <c r="AF105">
        <v>24</v>
      </c>
      <c r="AG105">
        <v>0</v>
      </c>
      <c r="AH105">
        <v>8</v>
      </c>
    </row>
    <row r="106" spans="1:34" x14ac:dyDescent="0.25">
      <c r="A106" t="s">
        <v>30</v>
      </c>
      <c r="B106" t="str">
        <f t="shared" si="51"/>
        <v>telisha-qetana</v>
      </c>
      <c r="C106">
        <f t="shared" si="48"/>
        <v>90</v>
      </c>
      <c r="D106">
        <f t="shared" si="49"/>
        <v>0</v>
      </c>
      <c r="E106">
        <f t="shared" si="49"/>
        <v>0</v>
      </c>
      <c r="F106">
        <f t="shared" si="49"/>
        <v>36</v>
      </c>
      <c r="G106">
        <f t="shared" si="49"/>
        <v>0</v>
      </c>
      <c r="H106">
        <f t="shared" si="49"/>
        <v>0</v>
      </c>
      <c r="I106">
        <f t="shared" si="49"/>
        <v>15</v>
      </c>
      <c r="J106">
        <f t="shared" si="49"/>
        <v>37</v>
      </c>
      <c r="K106">
        <f t="shared" si="49"/>
        <v>2</v>
      </c>
      <c r="L106" t="b">
        <f t="shared" si="50"/>
        <v>1</v>
      </c>
      <c r="W106" t="s">
        <v>31</v>
      </c>
      <c r="X106" t="s">
        <v>22</v>
      </c>
      <c r="Y106">
        <v>40</v>
      </c>
      <c r="Z106">
        <v>0</v>
      </c>
      <c r="AA106">
        <v>0</v>
      </c>
      <c r="AB106">
        <v>6</v>
      </c>
      <c r="AC106">
        <v>2</v>
      </c>
      <c r="AD106">
        <v>0</v>
      </c>
      <c r="AE106">
        <v>0</v>
      </c>
      <c r="AF106">
        <v>32</v>
      </c>
      <c r="AG106">
        <v>0</v>
      </c>
      <c r="AH106">
        <v>8</v>
      </c>
    </row>
    <row r="107" spans="1:34" x14ac:dyDescent="0.25">
      <c r="A107" t="s">
        <v>30</v>
      </c>
      <c r="B107" t="str">
        <f t="shared" si="51"/>
        <v>azla</v>
      </c>
      <c r="C107">
        <f t="shared" si="48"/>
        <v>185</v>
      </c>
      <c r="D107">
        <f t="shared" si="49"/>
        <v>0</v>
      </c>
      <c r="E107">
        <f t="shared" si="49"/>
        <v>0</v>
      </c>
      <c r="F107">
        <f t="shared" si="49"/>
        <v>97</v>
      </c>
      <c r="G107">
        <f t="shared" si="49"/>
        <v>0</v>
      </c>
      <c r="H107">
        <f t="shared" si="49"/>
        <v>0</v>
      </c>
      <c r="I107">
        <f t="shared" si="49"/>
        <v>40</v>
      </c>
      <c r="J107">
        <f t="shared" si="49"/>
        <v>48</v>
      </c>
      <c r="K107">
        <f t="shared" si="49"/>
        <v>0</v>
      </c>
      <c r="L107" t="b">
        <f t="shared" si="50"/>
        <v>1</v>
      </c>
      <c r="W107" t="s">
        <v>31</v>
      </c>
      <c r="X107" t="s">
        <v>4</v>
      </c>
      <c r="Y107">
        <v>42</v>
      </c>
      <c r="Z107">
        <v>0</v>
      </c>
      <c r="AA107">
        <v>0</v>
      </c>
      <c r="AB107">
        <v>7</v>
      </c>
      <c r="AC107">
        <v>2</v>
      </c>
      <c r="AD107">
        <v>0</v>
      </c>
      <c r="AE107">
        <v>0</v>
      </c>
      <c r="AF107">
        <v>33</v>
      </c>
      <c r="AG107">
        <v>0</v>
      </c>
      <c r="AH107">
        <v>8</v>
      </c>
    </row>
    <row r="108" spans="1:34" x14ac:dyDescent="0.25">
      <c r="A108" t="s">
        <v>30</v>
      </c>
      <c r="B108" t="str">
        <f t="shared" si="51"/>
        <v>qadma</v>
      </c>
      <c r="C108">
        <f t="shared" si="48"/>
        <v>279</v>
      </c>
      <c r="D108">
        <f t="shared" si="49"/>
        <v>0</v>
      </c>
      <c r="E108">
        <f t="shared" si="49"/>
        <v>0</v>
      </c>
      <c r="F108">
        <f t="shared" si="49"/>
        <v>128</v>
      </c>
      <c r="G108">
        <f t="shared" si="49"/>
        <v>0</v>
      </c>
      <c r="H108">
        <f t="shared" si="49"/>
        <v>0</v>
      </c>
      <c r="I108">
        <f t="shared" si="49"/>
        <v>65</v>
      </c>
      <c r="J108">
        <f t="shared" si="49"/>
        <v>80</v>
      </c>
      <c r="K108">
        <f t="shared" si="49"/>
        <v>6</v>
      </c>
      <c r="L108" t="b">
        <f t="shared" si="50"/>
        <v>1</v>
      </c>
      <c r="W108" t="s">
        <v>31</v>
      </c>
      <c r="X108" t="s">
        <v>63</v>
      </c>
      <c r="Y108">
        <v>49</v>
      </c>
      <c r="Z108">
        <v>0</v>
      </c>
      <c r="AA108">
        <v>0</v>
      </c>
      <c r="AB108">
        <v>15</v>
      </c>
      <c r="AC108">
        <v>0</v>
      </c>
      <c r="AD108">
        <v>0</v>
      </c>
      <c r="AE108">
        <v>7</v>
      </c>
      <c r="AF108">
        <v>26</v>
      </c>
      <c r="AG108">
        <v>1</v>
      </c>
      <c r="AH108">
        <v>8</v>
      </c>
    </row>
    <row r="109" spans="1:34" x14ac:dyDescent="0.25">
      <c r="A109" t="s">
        <v>30</v>
      </c>
      <c r="B109" t="str">
        <f t="shared" si="51"/>
        <v>revia</v>
      </c>
      <c r="C109">
        <f t="shared" si="48"/>
        <v>344</v>
      </c>
      <c r="D109">
        <f t="shared" si="49"/>
        <v>0</v>
      </c>
      <c r="E109">
        <f t="shared" si="49"/>
        <v>0</v>
      </c>
      <c r="F109">
        <f t="shared" si="49"/>
        <v>82</v>
      </c>
      <c r="G109">
        <f t="shared" si="49"/>
        <v>0</v>
      </c>
      <c r="H109">
        <f t="shared" si="49"/>
        <v>0</v>
      </c>
      <c r="I109">
        <f t="shared" si="49"/>
        <v>46</v>
      </c>
      <c r="J109">
        <f t="shared" si="49"/>
        <v>210</v>
      </c>
      <c r="K109">
        <f t="shared" si="49"/>
        <v>6</v>
      </c>
      <c r="L109" t="b">
        <f t="shared" si="50"/>
        <v>1</v>
      </c>
      <c r="W109" t="s">
        <v>31</v>
      </c>
      <c r="X109" t="s">
        <v>23</v>
      </c>
      <c r="Y109">
        <v>73</v>
      </c>
      <c r="Z109">
        <v>0</v>
      </c>
      <c r="AA109">
        <v>0</v>
      </c>
      <c r="AB109">
        <v>42</v>
      </c>
      <c r="AC109">
        <v>0</v>
      </c>
      <c r="AD109">
        <v>0</v>
      </c>
      <c r="AE109">
        <v>17</v>
      </c>
      <c r="AF109">
        <v>13</v>
      </c>
      <c r="AG109">
        <v>1</v>
      </c>
      <c r="AH109">
        <v>8</v>
      </c>
    </row>
    <row r="110" spans="1:34" x14ac:dyDescent="0.25">
      <c r="A110" t="s">
        <v>30</v>
      </c>
      <c r="B110" t="str">
        <f t="shared" si="51"/>
        <v>pashta</v>
      </c>
      <c r="C110">
        <f t="shared" si="48"/>
        <v>929</v>
      </c>
      <c r="D110">
        <f t="shared" si="49"/>
        <v>0</v>
      </c>
      <c r="E110">
        <f t="shared" si="49"/>
        <v>0</v>
      </c>
      <c r="F110">
        <f t="shared" si="49"/>
        <v>249</v>
      </c>
      <c r="G110">
        <f t="shared" si="49"/>
        <v>27</v>
      </c>
      <c r="H110">
        <f t="shared" si="49"/>
        <v>0</v>
      </c>
      <c r="I110">
        <f t="shared" si="49"/>
        <v>78</v>
      </c>
      <c r="J110">
        <f t="shared" si="49"/>
        <v>108</v>
      </c>
      <c r="K110">
        <f t="shared" si="49"/>
        <v>467</v>
      </c>
      <c r="L110" t="b">
        <f t="shared" si="50"/>
        <v>1</v>
      </c>
      <c r="W110" t="s">
        <v>31</v>
      </c>
      <c r="X110" t="s">
        <v>65</v>
      </c>
      <c r="Y110">
        <v>74</v>
      </c>
      <c r="Z110">
        <v>0</v>
      </c>
      <c r="AA110">
        <v>0</v>
      </c>
      <c r="AB110">
        <v>19</v>
      </c>
      <c r="AC110">
        <v>1</v>
      </c>
      <c r="AD110">
        <v>0</v>
      </c>
      <c r="AE110">
        <v>26</v>
      </c>
      <c r="AF110">
        <v>23</v>
      </c>
      <c r="AG110">
        <v>5</v>
      </c>
      <c r="AH110">
        <v>8</v>
      </c>
    </row>
    <row r="111" spans="1:34" x14ac:dyDescent="0.25">
      <c r="A111" t="s">
        <v>30</v>
      </c>
      <c r="B111" t="str">
        <f t="shared" si="51"/>
        <v>zaqef-qatan</v>
      </c>
      <c r="C111">
        <f t="shared" si="48"/>
        <v>981</v>
      </c>
      <c r="D111">
        <f t="shared" si="49"/>
        <v>0</v>
      </c>
      <c r="E111">
        <f t="shared" si="49"/>
        <v>0</v>
      </c>
      <c r="F111">
        <f t="shared" si="49"/>
        <v>117</v>
      </c>
      <c r="G111">
        <f t="shared" si="49"/>
        <v>11</v>
      </c>
      <c r="H111">
        <f t="shared" si="49"/>
        <v>0</v>
      </c>
      <c r="I111">
        <f t="shared" si="49"/>
        <v>23</v>
      </c>
      <c r="J111">
        <f t="shared" si="49"/>
        <v>644</v>
      </c>
      <c r="K111">
        <f t="shared" si="49"/>
        <v>186</v>
      </c>
      <c r="L111" t="b">
        <f t="shared" si="50"/>
        <v>1</v>
      </c>
      <c r="W111" t="s">
        <v>31</v>
      </c>
      <c r="X111" t="s">
        <v>64</v>
      </c>
      <c r="Y111">
        <v>111</v>
      </c>
      <c r="Z111">
        <v>0</v>
      </c>
      <c r="AA111">
        <v>0</v>
      </c>
      <c r="AB111">
        <v>49</v>
      </c>
      <c r="AC111">
        <v>0</v>
      </c>
      <c r="AD111">
        <v>0</v>
      </c>
      <c r="AE111">
        <v>21</v>
      </c>
      <c r="AF111">
        <v>38</v>
      </c>
      <c r="AG111">
        <v>3</v>
      </c>
      <c r="AH111">
        <v>8</v>
      </c>
    </row>
    <row r="112" spans="1:34" x14ac:dyDescent="0.25">
      <c r="D112" t="s">
        <v>60</v>
      </c>
      <c r="E112" t="s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W112" t="s">
        <v>31</v>
      </c>
      <c r="X112" t="s">
        <v>8</v>
      </c>
      <c r="Y112">
        <v>251</v>
      </c>
      <c r="Z112">
        <v>0</v>
      </c>
      <c r="AA112">
        <v>0</v>
      </c>
      <c r="AB112">
        <v>157</v>
      </c>
      <c r="AC112">
        <v>0</v>
      </c>
      <c r="AD112">
        <v>0</v>
      </c>
      <c r="AE112">
        <v>37</v>
      </c>
      <c r="AF112">
        <v>52</v>
      </c>
      <c r="AG112">
        <v>5</v>
      </c>
      <c r="AH112">
        <v>8</v>
      </c>
    </row>
    <row r="113" spans="1:34" x14ac:dyDescent="0.25">
      <c r="A113" t="s">
        <v>31</v>
      </c>
      <c r="B113" t="str">
        <f>X105</f>
        <v>pazer</v>
      </c>
      <c r="C113">
        <f t="shared" ref="C113:C124" si="52">SUM(D113:K113)</f>
        <v>36</v>
      </c>
      <c r="D113">
        <f t="shared" ref="D113:K124" si="53">Z105</f>
        <v>0</v>
      </c>
      <c r="E113">
        <f t="shared" si="53"/>
        <v>0</v>
      </c>
      <c r="F113">
        <f t="shared" si="53"/>
        <v>9</v>
      </c>
      <c r="G113">
        <f t="shared" si="53"/>
        <v>0</v>
      </c>
      <c r="H113">
        <f t="shared" si="53"/>
        <v>0</v>
      </c>
      <c r="I113">
        <f t="shared" si="53"/>
        <v>3</v>
      </c>
      <c r="J113">
        <f t="shared" si="53"/>
        <v>24</v>
      </c>
      <c r="K113">
        <f t="shared" si="53"/>
        <v>0</v>
      </c>
      <c r="L113" t="b">
        <f t="shared" ref="L113:L124" si="54">SUM(D113:K113)=Y105</f>
        <v>1</v>
      </c>
      <c r="W113" t="s">
        <v>31</v>
      </c>
      <c r="X113" t="s">
        <v>6</v>
      </c>
      <c r="Y113">
        <v>403</v>
      </c>
      <c r="Z113">
        <v>0</v>
      </c>
      <c r="AA113">
        <v>0</v>
      </c>
      <c r="AB113">
        <v>214</v>
      </c>
      <c r="AC113">
        <v>0</v>
      </c>
      <c r="AD113">
        <v>0</v>
      </c>
      <c r="AE113">
        <v>73</v>
      </c>
      <c r="AF113">
        <v>97</v>
      </c>
      <c r="AG113">
        <v>19</v>
      </c>
      <c r="AH113">
        <v>8</v>
      </c>
    </row>
    <row r="114" spans="1:34" x14ac:dyDescent="0.25">
      <c r="A114" t="s">
        <v>31</v>
      </c>
      <c r="B114" t="str">
        <f t="shared" ref="B114:B124" si="55">X106</f>
        <v>segol</v>
      </c>
      <c r="C114">
        <f t="shared" si="52"/>
        <v>40</v>
      </c>
      <c r="D114">
        <f t="shared" si="53"/>
        <v>0</v>
      </c>
      <c r="E114">
        <f t="shared" si="53"/>
        <v>0</v>
      </c>
      <c r="F114">
        <f t="shared" si="53"/>
        <v>6</v>
      </c>
      <c r="G114">
        <f t="shared" si="53"/>
        <v>2</v>
      </c>
      <c r="H114">
        <f t="shared" si="53"/>
        <v>0</v>
      </c>
      <c r="I114">
        <f t="shared" si="53"/>
        <v>0</v>
      </c>
      <c r="J114">
        <f t="shared" si="53"/>
        <v>32</v>
      </c>
      <c r="K114">
        <f t="shared" si="53"/>
        <v>0</v>
      </c>
      <c r="L114" t="b">
        <f t="shared" si="54"/>
        <v>1</v>
      </c>
      <c r="W114" t="s">
        <v>31</v>
      </c>
      <c r="X114" t="s">
        <v>1</v>
      </c>
      <c r="Y114">
        <v>481</v>
      </c>
      <c r="Z114">
        <v>0</v>
      </c>
      <c r="AA114">
        <v>0</v>
      </c>
      <c r="AB114">
        <v>132</v>
      </c>
      <c r="AC114">
        <v>0</v>
      </c>
      <c r="AD114">
        <v>0</v>
      </c>
      <c r="AE114">
        <v>53</v>
      </c>
      <c r="AF114">
        <v>289</v>
      </c>
      <c r="AG114">
        <v>7</v>
      </c>
      <c r="AH114">
        <v>8</v>
      </c>
    </row>
    <row r="115" spans="1:34" x14ac:dyDescent="0.25">
      <c r="A115" t="s">
        <v>31</v>
      </c>
      <c r="B115" t="str">
        <f t="shared" si="55"/>
        <v>tsinnor</v>
      </c>
      <c r="C115">
        <f t="shared" si="52"/>
        <v>42</v>
      </c>
      <c r="D115">
        <f t="shared" si="53"/>
        <v>0</v>
      </c>
      <c r="E115">
        <f t="shared" si="53"/>
        <v>0</v>
      </c>
      <c r="F115">
        <f t="shared" si="53"/>
        <v>7</v>
      </c>
      <c r="G115">
        <f t="shared" si="53"/>
        <v>2</v>
      </c>
      <c r="H115">
        <f t="shared" si="53"/>
        <v>0</v>
      </c>
      <c r="I115">
        <f t="shared" si="53"/>
        <v>0</v>
      </c>
      <c r="J115">
        <f t="shared" si="53"/>
        <v>33</v>
      </c>
      <c r="K115">
        <f t="shared" si="53"/>
        <v>0</v>
      </c>
      <c r="L115" t="b">
        <f t="shared" si="54"/>
        <v>1</v>
      </c>
      <c r="W115" t="s">
        <v>31</v>
      </c>
      <c r="X115" t="s">
        <v>24</v>
      </c>
      <c r="Y115">
        <v>1247</v>
      </c>
      <c r="Z115">
        <v>0</v>
      </c>
      <c r="AA115">
        <v>0</v>
      </c>
      <c r="AB115">
        <v>290</v>
      </c>
      <c r="AC115">
        <v>37</v>
      </c>
      <c r="AD115">
        <v>0</v>
      </c>
      <c r="AE115">
        <v>92</v>
      </c>
      <c r="AF115">
        <v>130</v>
      </c>
      <c r="AG115">
        <v>698</v>
      </c>
      <c r="AH115">
        <v>8</v>
      </c>
    </row>
    <row r="116" spans="1:34" x14ac:dyDescent="0.25">
      <c r="A116" t="s">
        <v>31</v>
      </c>
      <c r="B116" t="str">
        <f t="shared" si="55"/>
        <v>telisha-gedola</v>
      </c>
      <c r="C116">
        <f t="shared" si="52"/>
        <v>49</v>
      </c>
      <c r="D116">
        <f t="shared" si="53"/>
        <v>0</v>
      </c>
      <c r="E116">
        <f t="shared" si="53"/>
        <v>0</v>
      </c>
      <c r="F116">
        <f t="shared" si="53"/>
        <v>15</v>
      </c>
      <c r="G116">
        <f t="shared" si="53"/>
        <v>0</v>
      </c>
      <c r="H116">
        <f t="shared" si="53"/>
        <v>0</v>
      </c>
      <c r="I116">
        <f t="shared" si="53"/>
        <v>7</v>
      </c>
      <c r="J116">
        <f t="shared" si="53"/>
        <v>26</v>
      </c>
      <c r="K116">
        <f t="shared" si="53"/>
        <v>1</v>
      </c>
      <c r="L116" t="b">
        <f t="shared" si="54"/>
        <v>1</v>
      </c>
      <c r="W116" t="s">
        <v>31</v>
      </c>
      <c r="X116" t="s">
        <v>66</v>
      </c>
      <c r="Y116">
        <v>1325</v>
      </c>
      <c r="Z116">
        <v>0</v>
      </c>
      <c r="AA116">
        <v>0</v>
      </c>
      <c r="AB116">
        <v>147</v>
      </c>
      <c r="AC116">
        <v>12</v>
      </c>
      <c r="AD116">
        <v>0</v>
      </c>
      <c r="AE116">
        <v>22</v>
      </c>
      <c r="AF116">
        <v>819</v>
      </c>
      <c r="AG116">
        <v>325</v>
      </c>
      <c r="AH116">
        <v>8</v>
      </c>
    </row>
    <row r="117" spans="1:34" x14ac:dyDescent="0.25">
      <c r="A117" t="s">
        <v>31</v>
      </c>
      <c r="B117" t="str">
        <f t="shared" si="55"/>
        <v>tarsin</v>
      </c>
      <c r="C117">
        <f t="shared" si="52"/>
        <v>73</v>
      </c>
      <c r="D117">
        <f t="shared" si="53"/>
        <v>0</v>
      </c>
      <c r="E117">
        <f t="shared" si="53"/>
        <v>0</v>
      </c>
      <c r="F117">
        <f t="shared" si="53"/>
        <v>42</v>
      </c>
      <c r="G117">
        <f t="shared" si="53"/>
        <v>0</v>
      </c>
      <c r="H117">
        <f t="shared" si="53"/>
        <v>0</v>
      </c>
      <c r="I117">
        <f t="shared" si="53"/>
        <v>17</v>
      </c>
      <c r="J117">
        <f t="shared" si="53"/>
        <v>13</v>
      </c>
      <c r="K117">
        <f t="shared" si="53"/>
        <v>1</v>
      </c>
      <c r="L117" t="b">
        <f t="shared" si="54"/>
        <v>1</v>
      </c>
      <c r="W117" t="s">
        <v>32</v>
      </c>
      <c r="X117" t="s">
        <v>72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9</v>
      </c>
    </row>
    <row r="118" spans="1:34" x14ac:dyDescent="0.25">
      <c r="A118" t="s">
        <v>31</v>
      </c>
      <c r="B118" t="str">
        <f t="shared" si="55"/>
        <v>zaqef-gadol</v>
      </c>
      <c r="C118">
        <f t="shared" si="52"/>
        <v>74</v>
      </c>
      <c r="D118">
        <f t="shared" si="53"/>
        <v>0</v>
      </c>
      <c r="E118">
        <f t="shared" si="53"/>
        <v>0</v>
      </c>
      <c r="F118">
        <f t="shared" si="53"/>
        <v>19</v>
      </c>
      <c r="G118">
        <f t="shared" si="53"/>
        <v>1</v>
      </c>
      <c r="H118">
        <f t="shared" si="53"/>
        <v>0</v>
      </c>
      <c r="I118">
        <f t="shared" si="53"/>
        <v>26</v>
      </c>
      <c r="J118">
        <f t="shared" si="53"/>
        <v>23</v>
      </c>
      <c r="K118">
        <f t="shared" si="53"/>
        <v>5</v>
      </c>
      <c r="L118" t="b">
        <f t="shared" si="54"/>
        <v>1</v>
      </c>
      <c r="W118" t="s">
        <v>32</v>
      </c>
      <c r="X118" t="s">
        <v>22</v>
      </c>
      <c r="Y118">
        <v>24</v>
      </c>
      <c r="Z118">
        <v>0</v>
      </c>
      <c r="AA118">
        <v>0</v>
      </c>
      <c r="AB118">
        <v>3</v>
      </c>
      <c r="AC118">
        <v>3</v>
      </c>
      <c r="AD118">
        <v>0</v>
      </c>
      <c r="AE118">
        <v>0</v>
      </c>
      <c r="AF118">
        <v>18</v>
      </c>
      <c r="AG118">
        <v>0</v>
      </c>
      <c r="AH118">
        <v>9</v>
      </c>
    </row>
    <row r="119" spans="1:34" x14ac:dyDescent="0.25">
      <c r="A119" t="s">
        <v>31</v>
      </c>
      <c r="B119" t="str">
        <f t="shared" si="55"/>
        <v>telisha-qetana</v>
      </c>
      <c r="C119">
        <f t="shared" si="52"/>
        <v>111</v>
      </c>
      <c r="D119">
        <f t="shared" si="53"/>
        <v>0</v>
      </c>
      <c r="E119">
        <f t="shared" si="53"/>
        <v>0</v>
      </c>
      <c r="F119">
        <f t="shared" si="53"/>
        <v>49</v>
      </c>
      <c r="G119">
        <f t="shared" si="53"/>
        <v>0</v>
      </c>
      <c r="H119">
        <f t="shared" si="53"/>
        <v>0</v>
      </c>
      <c r="I119">
        <f t="shared" si="53"/>
        <v>21</v>
      </c>
      <c r="J119">
        <f t="shared" si="53"/>
        <v>38</v>
      </c>
      <c r="K119">
        <f t="shared" si="53"/>
        <v>3</v>
      </c>
      <c r="L119" t="b">
        <f t="shared" si="54"/>
        <v>1</v>
      </c>
      <c r="W119" t="s">
        <v>32</v>
      </c>
      <c r="X119" t="s">
        <v>4</v>
      </c>
      <c r="Y119">
        <v>25</v>
      </c>
      <c r="Z119">
        <v>0</v>
      </c>
      <c r="AA119">
        <v>0</v>
      </c>
      <c r="AB119">
        <v>4</v>
      </c>
      <c r="AC119">
        <v>4</v>
      </c>
      <c r="AD119">
        <v>0</v>
      </c>
      <c r="AE119">
        <v>0</v>
      </c>
      <c r="AF119">
        <v>17</v>
      </c>
      <c r="AG119">
        <v>0</v>
      </c>
      <c r="AH119">
        <v>9</v>
      </c>
    </row>
    <row r="120" spans="1:34" x14ac:dyDescent="0.25">
      <c r="A120" t="s">
        <v>31</v>
      </c>
      <c r="B120" t="str">
        <f t="shared" si="55"/>
        <v>azla</v>
      </c>
      <c r="C120">
        <f t="shared" si="52"/>
        <v>251</v>
      </c>
      <c r="D120">
        <f t="shared" si="53"/>
        <v>0</v>
      </c>
      <c r="E120">
        <f t="shared" si="53"/>
        <v>0</v>
      </c>
      <c r="F120">
        <f t="shared" si="53"/>
        <v>157</v>
      </c>
      <c r="G120">
        <f t="shared" si="53"/>
        <v>0</v>
      </c>
      <c r="H120">
        <f t="shared" si="53"/>
        <v>0</v>
      </c>
      <c r="I120">
        <f t="shared" si="53"/>
        <v>37</v>
      </c>
      <c r="J120">
        <f t="shared" si="53"/>
        <v>52</v>
      </c>
      <c r="K120">
        <f t="shared" si="53"/>
        <v>5</v>
      </c>
      <c r="L120" t="b">
        <f t="shared" si="54"/>
        <v>1</v>
      </c>
      <c r="W120" t="s">
        <v>32</v>
      </c>
      <c r="X120" t="s">
        <v>5</v>
      </c>
      <c r="Y120">
        <v>34</v>
      </c>
      <c r="Z120">
        <v>0</v>
      </c>
      <c r="AA120">
        <v>0</v>
      </c>
      <c r="AB120">
        <v>8</v>
      </c>
      <c r="AC120">
        <v>0</v>
      </c>
      <c r="AD120">
        <v>0</v>
      </c>
      <c r="AE120">
        <v>4</v>
      </c>
      <c r="AF120">
        <v>22</v>
      </c>
      <c r="AG120">
        <v>0</v>
      </c>
      <c r="AH120">
        <v>9</v>
      </c>
    </row>
    <row r="121" spans="1:34" x14ac:dyDescent="0.25">
      <c r="A121" t="s">
        <v>31</v>
      </c>
      <c r="B121" t="str">
        <f t="shared" si="55"/>
        <v>qadma</v>
      </c>
      <c r="C121">
        <f t="shared" si="52"/>
        <v>403</v>
      </c>
      <c r="D121">
        <f t="shared" si="53"/>
        <v>0</v>
      </c>
      <c r="E121">
        <f t="shared" si="53"/>
        <v>0</v>
      </c>
      <c r="F121">
        <f t="shared" si="53"/>
        <v>214</v>
      </c>
      <c r="G121">
        <f t="shared" si="53"/>
        <v>0</v>
      </c>
      <c r="H121">
        <f t="shared" si="53"/>
        <v>0</v>
      </c>
      <c r="I121">
        <f t="shared" si="53"/>
        <v>73</v>
      </c>
      <c r="J121">
        <f t="shared" si="53"/>
        <v>97</v>
      </c>
      <c r="K121">
        <f t="shared" si="53"/>
        <v>19</v>
      </c>
      <c r="L121" t="b">
        <f t="shared" si="54"/>
        <v>1</v>
      </c>
      <c r="W121" t="s">
        <v>32</v>
      </c>
      <c r="X121" t="s">
        <v>63</v>
      </c>
      <c r="Y121">
        <v>47</v>
      </c>
      <c r="Z121">
        <v>0</v>
      </c>
      <c r="AA121">
        <v>0</v>
      </c>
      <c r="AB121">
        <v>15</v>
      </c>
      <c r="AC121">
        <v>0</v>
      </c>
      <c r="AD121">
        <v>0</v>
      </c>
      <c r="AE121">
        <v>4</v>
      </c>
      <c r="AF121">
        <v>25</v>
      </c>
      <c r="AG121">
        <v>3</v>
      </c>
      <c r="AH121">
        <v>9</v>
      </c>
    </row>
    <row r="122" spans="1:34" x14ac:dyDescent="0.25">
      <c r="A122" t="s">
        <v>31</v>
      </c>
      <c r="B122" t="str">
        <f t="shared" si="55"/>
        <v>revia</v>
      </c>
      <c r="C122">
        <f t="shared" si="52"/>
        <v>481</v>
      </c>
      <c r="D122">
        <f t="shared" si="53"/>
        <v>0</v>
      </c>
      <c r="E122">
        <f t="shared" si="53"/>
        <v>0</v>
      </c>
      <c r="F122">
        <f t="shared" si="53"/>
        <v>132</v>
      </c>
      <c r="G122">
        <f t="shared" si="53"/>
        <v>0</v>
      </c>
      <c r="H122">
        <f t="shared" si="53"/>
        <v>0</v>
      </c>
      <c r="I122">
        <f t="shared" si="53"/>
        <v>53</v>
      </c>
      <c r="J122">
        <f t="shared" si="53"/>
        <v>289</v>
      </c>
      <c r="K122">
        <f t="shared" si="53"/>
        <v>7</v>
      </c>
      <c r="L122" t="b">
        <f t="shared" si="54"/>
        <v>1</v>
      </c>
      <c r="W122" t="s">
        <v>32</v>
      </c>
      <c r="X122" t="s">
        <v>23</v>
      </c>
      <c r="Y122">
        <v>62</v>
      </c>
      <c r="Z122">
        <v>0</v>
      </c>
      <c r="AA122">
        <v>0</v>
      </c>
      <c r="AB122">
        <v>21</v>
      </c>
      <c r="AC122">
        <v>1</v>
      </c>
      <c r="AD122">
        <v>0</v>
      </c>
      <c r="AE122">
        <v>20</v>
      </c>
      <c r="AF122">
        <v>15</v>
      </c>
      <c r="AG122">
        <v>5</v>
      </c>
      <c r="AH122">
        <v>9</v>
      </c>
    </row>
    <row r="123" spans="1:34" x14ac:dyDescent="0.25">
      <c r="A123" t="s">
        <v>31</v>
      </c>
      <c r="B123" t="str">
        <f t="shared" si="55"/>
        <v>pashta</v>
      </c>
      <c r="C123">
        <f t="shared" si="52"/>
        <v>1247</v>
      </c>
      <c r="D123">
        <f t="shared" si="53"/>
        <v>0</v>
      </c>
      <c r="E123">
        <f t="shared" si="53"/>
        <v>0</v>
      </c>
      <c r="F123">
        <f t="shared" si="53"/>
        <v>290</v>
      </c>
      <c r="G123">
        <f t="shared" si="53"/>
        <v>37</v>
      </c>
      <c r="H123">
        <f t="shared" si="53"/>
        <v>0</v>
      </c>
      <c r="I123">
        <f t="shared" si="53"/>
        <v>92</v>
      </c>
      <c r="J123">
        <f t="shared" si="53"/>
        <v>130</v>
      </c>
      <c r="K123">
        <f t="shared" si="53"/>
        <v>698</v>
      </c>
      <c r="L123" t="b">
        <f t="shared" si="54"/>
        <v>1</v>
      </c>
      <c r="W123" t="s">
        <v>32</v>
      </c>
      <c r="X123" t="s">
        <v>65</v>
      </c>
      <c r="Y123">
        <v>78</v>
      </c>
      <c r="Z123">
        <v>0</v>
      </c>
      <c r="AA123">
        <v>0</v>
      </c>
      <c r="AB123">
        <v>23</v>
      </c>
      <c r="AC123">
        <v>1</v>
      </c>
      <c r="AD123">
        <v>0</v>
      </c>
      <c r="AE123">
        <v>22</v>
      </c>
      <c r="AF123">
        <v>26</v>
      </c>
      <c r="AG123">
        <v>6</v>
      </c>
      <c r="AH123">
        <v>9</v>
      </c>
    </row>
    <row r="124" spans="1:34" x14ac:dyDescent="0.25">
      <c r="A124" t="s">
        <v>31</v>
      </c>
      <c r="B124" t="str">
        <f t="shared" si="55"/>
        <v>zaqef-qatan</v>
      </c>
      <c r="C124">
        <f t="shared" si="52"/>
        <v>1325</v>
      </c>
      <c r="D124">
        <f t="shared" si="53"/>
        <v>0</v>
      </c>
      <c r="E124">
        <f t="shared" si="53"/>
        <v>0</v>
      </c>
      <c r="F124">
        <f t="shared" si="53"/>
        <v>147</v>
      </c>
      <c r="G124">
        <f t="shared" si="53"/>
        <v>12</v>
      </c>
      <c r="H124">
        <f t="shared" si="53"/>
        <v>0</v>
      </c>
      <c r="I124">
        <f t="shared" si="53"/>
        <v>22</v>
      </c>
      <c r="J124">
        <f t="shared" si="53"/>
        <v>819</v>
      </c>
      <c r="K124">
        <f t="shared" si="53"/>
        <v>325</v>
      </c>
      <c r="L124" t="b">
        <f t="shared" si="54"/>
        <v>1</v>
      </c>
      <c r="W124" t="s">
        <v>32</v>
      </c>
      <c r="X124" t="s">
        <v>64</v>
      </c>
      <c r="Y124">
        <v>102</v>
      </c>
      <c r="Z124">
        <v>0</v>
      </c>
      <c r="AA124">
        <v>1</v>
      </c>
      <c r="AB124">
        <v>41</v>
      </c>
      <c r="AC124">
        <v>0</v>
      </c>
      <c r="AD124">
        <v>0</v>
      </c>
      <c r="AE124">
        <v>15</v>
      </c>
      <c r="AF124">
        <v>44</v>
      </c>
      <c r="AG124">
        <v>1</v>
      </c>
      <c r="AH124">
        <v>9</v>
      </c>
    </row>
    <row r="125" spans="1:34" x14ac:dyDescent="0.25">
      <c r="D125" t="s">
        <v>60</v>
      </c>
      <c r="E125" t="s">
        <v>14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W125" t="s">
        <v>32</v>
      </c>
      <c r="X125" t="s">
        <v>8</v>
      </c>
      <c r="Y125">
        <v>186</v>
      </c>
      <c r="Z125">
        <v>0</v>
      </c>
      <c r="AA125">
        <v>1</v>
      </c>
      <c r="AB125">
        <v>95</v>
      </c>
      <c r="AC125">
        <v>0</v>
      </c>
      <c r="AD125">
        <v>0</v>
      </c>
      <c r="AE125">
        <v>44</v>
      </c>
      <c r="AF125">
        <v>43</v>
      </c>
      <c r="AG125">
        <v>3</v>
      </c>
      <c r="AH125">
        <v>9</v>
      </c>
    </row>
    <row r="126" spans="1:34" x14ac:dyDescent="0.25">
      <c r="A126" t="s">
        <v>32</v>
      </c>
      <c r="B126" t="str">
        <f>X117</f>
        <v>qarne-farah</v>
      </c>
      <c r="C126">
        <f t="shared" ref="C126:C138" si="56">SUM(D126:K126)</f>
        <v>1</v>
      </c>
      <c r="D126">
        <f t="shared" ref="D126:K126" si="57">Z117</f>
        <v>0</v>
      </c>
      <c r="E126">
        <f t="shared" si="57"/>
        <v>1</v>
      </c>
      <c r="F126">
        <f t="shared" si="57"/>
        <v>0</v>
      </c>
      <c r="G126">
        <f t="shared" si="57"/>
        <v>0</v>
      </c>
      <c r="H126">
        <f t="shared" si="57"/>
        <v>0</v>
      </c>
      <c r="I126">
        <f t="shared" si="57"/>
        <v>0</v>
      </c>
      <c r="J126">
        <f t="shared" si="57"/>
        <v>0</v>
      </c>
      <c r="K126">
        <f t="shared" si="57"/>
        <v>0</v>
      </c>
      <c r="L126" t="b">
        <f t="shared" ref="L126:L138" si="58">SUM(D126:K126)=Y117</f>
        <v>1</v>
      </c>
      <c r="W126" t="s">
        <v>32</v>
      </c>
      <c r="X126" t="s">
        <v>6</v>
      </c>
      <c r="Y126">
        <v>308</v>
      </c>
      <c r="Z126">
        <v>0</v>
      </c>
      <c r="AA126">
        <v>1</v>
      </c>
      <c r="AB126">
        <v>131</v>
      </c>
      <c r="AC126">
        <v>1</v>
      </c>
      <c r="AD126">
        <v>0</v>
      </c>
      <c r="AE126">
        <v>73</v>
      </c>
      <c r="AF126">
        <v>94</v>
      </c>
      <c r="AG126">
        <v>8</v>
      </c>
      <c r="AH126">
        <v>9</v>
      </c>
    </row>
    <row r="127" spans="1:34" x14ac:dyDescent="0.25">
      <c r="A127" t="s">
        <v>32</v>
      </c>
      <c r="B127" t="str">
        <f>X118</f>
        <v>segol</v>
      </c>
      <c r="C127">
        <f t="shared" si="56"/>
        <v>24</v>
      </c>
      <c r="D127">
        <f t="shared" ref="D127:K138" si="59">Z118</f>
        <v>0</v>
      </c>
      <c r="E127">
        <f t="shared" si="59"/>
        <v>0</v>
      </c>
      <c r="F127">
        <f t="shared" si="59"/>
        <v>3</v>
      </c>
      <c r="G127">
        <f t="shared" si="59"/>
        <v>3</v>
      </c>
      <c r="H127">
        <f t="shared" si="59"/>
        <v>0</v>
      </c>
      <c r="I127">
        <f t="shared" si="59"/>
        <v>0</v>
      </c>
      <c r="J127">
        <f t="shared" si="59"/>
        <v>18</v>
      </c>
      <c r="K127">
        <f t="shared" si="59"/>
        <v>0</v>
      </c>
      <c r="L127" t="b">
        <f t="shared" si="58"/>
        <v>1</v>
      </c>
      <c r="W127" t="s">
        <v>32</v>
      </c>
      <c r="X127" t="s">
        <v>1</v>
      </c>
      <c r="Y127">
        <v>412</v>
      </c>
      <c r="Z127">
        <v>0</v>
      </c>
      <c r="AA127">
        <v>0</v>
      </c>
      <c r="AB127">
        <v>71</v>
      </c>
      <c r="AC127">
        <v>1</v>
      </c>
      <c r="AD127">
        <v>0</v>
      </c>
      <c r="AE127">
        <v>54</v>
      </c>
      <c r="AF127">
        <v>277</v>
      </c>
      <c r="AG127">
        <v>9</v>
      </c>
      <c r="AH127">
        <v>9</v>
      </c>
    </row>
    <row r="128" spans="1:34" x14ac:dyDescent="0.25">
      <c r="A128" t="s">
        <v>32</v>
      </c>
      <c r="B128" t="str">
        <f t="shared" ref="B128:B138" si="60">X119</f>
        <v>tsinnor</v>
      </c>
      <c r="C128">
        <f t="shared" si="56"/>
        <v>25</v>
      </c>
      <c r="D128">
        <f t="shared" si="59"/>
        <v>0</v>
      </c>
      <c r="E128">
        <f t="shared" si="59"/>
        <v>0</v>
      </c>
      <c r="F128">
        <f t="shared" si="59"/>
        <v>4</v>
      </c>
      <c r="G128">
        <f t="shared" si="59"/>
        <v>4</v>
      </c>
      <c r="H128">
        <f t="shared" si="59"/>
        <v>0</v>
      </c>
      <c r="I128">
        <f t="shared" si="59"/>
        <v>0</v>
      </c>
      <c r="J128">
        <f t="shared" si="59"/>
        <v>17</v>
      </c>
      <c r="K128">
        <f t="shared" si="59"/>
        <v>0</v>
      </c>
      <c r="L128" t="b">
        <f t="shared" si="58"/>
        <v>1</v>
      </c>
      <c r="W128" t="s">
        <v>32</v>
      </c>
      <c r="X128" t="s">
        <v>66</v>
      </c>
      <c r="Y128">
        <v>1014</v>
      </c>
      <c r="Z128">
        <v>0</v>
      </c>
      <c r="AA128">
        <v>0</v>
      </c>
      <c r="AB128">
        <v>119</v>
      </c>
      <c r="AC128">
        <v>18</v>
      </c>
      <c r="AD128">
        <v>0</v>
      </c>
      <c r="AE128">
        <v>24</v>
      </c>
      <c r="AF128">
        <v>614</v>
      </c>
      <c r="AG128">
        <v>239</v>
      </c>
      <c r="AH128">
        <v>9</v>
      </c>
    </row>
    <row r="129" spans="1:34" x14ac:dyDescent="0.25">
      <c r="A129" t="s">
        <v>32</v>
      </c>
      <c r="B129" t="str">
        <f t="shared" si="60"/>
        <v>pazer</v>
      </c>
      <c r="C129">
        <f t="shared" si="56"/>
        <v>34</v>
      </c>
      <c r="D129">
        <f t="shared" si="59"/>
        <v>0</v>
      </c>
      <c r="E129">
        <f t="shared" si="59"/>
        <v>0</v>
      </c>
      <c r="F129">
        <f t="shared" si="59"/>
        <v>8</v>
      </c>
      <c r="G129">
        <f t="shared" si="59"/>
        <v>0</v>
      </c>
      <c r="H129">
        <f t="shared" si="59"/>
        <v>0</v>
      </c>
      <c r="I129">
        <f t="shared" si="59"/>
        <v>4</v>
      </c>
      <c r="J129">
        <f t="shared" si="59"/>
        <v>22</v>
      </c>
      <c r="K129">
        <f t="shared" si="59"/>
        <v>0</v>
      </c>
      <c r="L129" t="b">
        <f t="shared" si="58"/>
        <v>1</v>
      </c>
      <c r="W129" t="s">
        <v>32</v>
      </c>
      <c r="X129" t="s">
        <v>24</v>
      </c>
      <c r="Y129">
        <v>1051</v>
      </c>
      <c r="Z129">
        <v>0</v>
      </c>
      <c r="AA129">
        <v>0</v>
      </c>
      <c r="AB129">
        <v>230</v>
      </c>
      <c r="AC129">
        <v>40</v>
      </c>
      <c r="AD129">
        <v>0</v>
      </c>
      <c r="AE129">
        <v>96</v>
      </c>
      <c r="AF129">
        <v>110</v>
      </c>
      <c r="AG129">
        <v>575</v>
      </c>
      <c r="AH129">
        <v>9</v>
      </c>
    </row>
    <row r="130" spans="1:34" x14ac:dyDescent="0.25">
      <c r="A130" t="s">
        <v>32</v>
      </c>
      <c r="B130" t="str">
        <f t="shared" si="60"/>
        <v>telisha-gedola</v>
      </c>
      <c r="C130">
        <f t="shared" si="56"/>
        <v>47</v>
      </c>
      <c r="D130">
        <f t="shared" si="59"/>
        <v>0</v>
      </c>
      <c r="E130">
        <f t="shared" si="59"/>
        <v>0</v>
      </c>
      <c r="F130">
        <f t="shared" si="59"/>
        <v>15</v>
      </c>
      <c r="G130">
        <f t="shared" si="59"/>
        <v>0</v>
      </c>
      <c r="H130">
        <f t="shared" si="59"/>
        <v>0</v>
      </c>
      <c r="I130">
        <f t="shared" si="59"/>
        <v>4</v>
      </c>
      <c r="J130">
        <f t="shared" si="59"/>
        <v>25</v>
      </c>
      <c r="K130">
        <f t="shared" si="59"/>
        <v>3</v>
      </c>
      <c r="L130" t="b">
        <f t="shared" si="58"/>
        <v>1</v>
      </c>
      <c r="W130" t="s">
        <v>33</v>
      </c>
      <c r="X130" t="s">
        <v>22</v>
      </c>
      <c r="Y130">
        <v>42</v>
      </c>
      <c r="Z130">
        <v>0</v>
      </c>
      <c r="AA130">
        <v>0</v>
      </c>
      <c r="AB130">
        <v>9</v>
      </c>
      <c r="AC130">
        <v>2</v>
      </c>
      <c r="AD130">
        <v>0</v>
      </c>
      <c r="AE130">
        <v>0</v>
      </c>
      <c r="AF130">
        <v>31</v>
      </c>
      <c r="AG130">
        <v>0</v>
      </c>
      <c r="AH130">
        <v>10</v>
      </c>
    </row>
    <row r="131" spans="1:34" x14ac:dyDescent="0.25">
      <c r="A131" t="s">
        <v>32</v>
      </c>
      <c r="B131" t="str">
        <f t="shared" si="60"/>
        <v>tarsin</v>
      </c>
      <c r="C131">
        <f t="shared" si="56"/>
        <v>62</v>
      </c>
      <c r="D131">
        <f t="shared" si="59"/>
        <v>0</v>
      </c>
      <c r="E131">
        <f t="shared" si="59"/>
        <v>0</v>
      </c>
      <c r="F131">
        <f t="shared" si="59"/>
        <v>21</v>
      </c>
      <c r="G131">
        <f t="shared" si="59"/>
        <v>1</v>
      </c>
      <c r="H131">
        <f t="shared" si="59"/>
        <v>0</v>
      </c>
      <c r="I131">
        <f t="shared" si="59"/>
        <v>20</v>
      </c>
      <c r="J131">
        <f t="shared" si="59"/>
        <v>15</v>
      </c>
      <c r="K131">
        <f t="shared" si="59"/>
        <v>5</v>
      </c>
      <c r="L131" t="b">
        <f t="shared" si="58"/>
        <v>1</v>
      </c>
      <c r="W131" t="s">
        <v>33</v>
      </c>
      <c r="X131" t="s">
        <v>4</v>
      </c>
      <c r="Y131">
        <v>43</v>
      </c>
      <c r="Z131">
        <v>0</v>
      </c>
      <c r="AA131">
        <v>0</v>
      </c>
      <c r="AB131">
        <v>16</v>
      </c>
      <c r="AC131">
        <v>2</v>
      </c>
      <c r="AD131">
        <v>0</v>
      </c>
      <c r="AE131">
        <v>0</v>
      </c>
      <c r="AF131">
        <v>25</v>
      </c>
      <c r="AG131">
        <v>0</v>
      </c>
      <c r="AH131">
        <v>10</v>
      </c>
    </row>
    <row r="132" spans="1:34" x14ac:dyDescent="0.25">
      <c r="A132" t="s">
        <v>32</v>
      </c>
      <c r="B132" t="str">
        <f t="shared" si="60"/>
        <v>zaqef-gadol</v>
      </c>
      <c r="C132">
        <f t="shared" si="56"/>
        <v>78</v>
      </c>
      <c r="D132">
        <f t="shared" si="59"/>
        <v>0</v>
      </c>
      <c r="E132">
        <f t="shared" si="59"/>
        <v>0</v>
      </c>
      <c r="F132">
        <f t="shared" si="59"/>
        <v>23</v>
      </c>
      <c r="G132">
        <f t="shared" si="59"/>
        <v>1</v>
      </c>
      <c r="H132">
        <f t="shared" si="59"/>
        <v>0</v>
      </c>
      <c r="I132">
        <f t="shared" si="59"/>
        <v>22</v>
      </c>
      <c r="J132">
        <f t="shared" si="59"/>
        <v>26</v>
      </c>
      <c r="K132">
        <f t="shared" si="59"/>
        <v>6</v>
      </c>
      <c r="L132" t="b">
        <f t="shared" si="58"/>
        <v>1</v>
      </c>
      <c r="W132" t="s">
        <v>33</v>
      </c>
      <c r="X132" t="s">
        <v>5</v>
      </c>
      <c r="Y132">
        <v>44</v>
      </c>
      <c r="Z132">
        <v>0</v>
      </c>
      <c r="AA132">
        <v>0</v>
      </c>
      <c r="AB132">
        <v>8</v>
      </c>
      <c r="AC132">
        <v>0</v>
      </c>
      <c r="AD132">
        <v>0</v>
      </c>
      <c r="AE132">
        <v>8</v>
      </c>
      <c r="AF132">
        <v>28</v>
      </c>
      <c r="AG132">
        <v>0</v>
      </c>
      <c r="AH132">
        <v>10</v>
      </c>
    </row>
    <row r="133" spans="1:34" x14ac:dyDescent="0.25">
      <c r="A133" t="s">
        <v>32</v>
      </c>
      <c r="B133" t="str">
        <f t="shared" si="60"/>
        <v>telisha-qetana</v>
      </c>
      <c r="C133">
        <f t="shared" si="56"/>
        <v>102</v>
      </c>
      <c r="D133">
        <f t="shared" si="59"/>
        <v>0</v>
      </c>
      <c r="E133">
        <f t="shared" si="59"/>
        <v>1</v>
      </c>
      <c r="F133">
        <f t="shared" si="59"/>
        <v>41</v>
      </c>
      <c r="G133">
        <f t="shared" si="59"/>
        <v>0</v>
      </c>
      <c r="H133">
        <f t="shared" si="59"/>
        <v>0</v>
      </c>
      <c r="I133">
        <f t="shared" si="59"/>
        <v>15</v>
      </c>
      <c r="J133">
        <f t="shared" si="59"/>
        <v>44</v>
      </c>
      <c r="K133">
        <f t="shared" si="59"/>
        <v>1</v>
      </c>
      <c r="L133" t="b">
        <f t="shared" si="58"/>
        <v>1</v>
      </c>
      <c r="W133" t="s">
        <v>33</v>
      </c>
      <c r="X133" t="s">
        <v>63</v>
      </c>
      <c r="Y133">
        <v>76</v>
      </c>
      <c r="Z133">
        <v>0</v>
      </c>
      <c r="AA133">
        <v>0</v>
      </c>
      <c r="AB133">
        <v>28</v>
      </c>
      <c r="AC133">
        <v>0</v>
      </c>
      <c r="AD133">
        <v>0</v>
      </c>
      <c r="AE133">
        <v>18</v>
      </c>
      <c r="AF133">
        <v>29</v>
      </c>
      <c r="AG133">
        <v>1</v>
      </c>
      <c r="AH133">
        <v>10</v>
      </c>
    </row>
    <row r="134" spans="1:34" x14ac:dyDescent="0.25">
      <c r="A134" t="s">
        <v>32</v>
      </c>
      <c r="B134" t="str">
        <f t="shared" si="60"/>
        <v>azla</v>
      </c>
      <c r="C134">
        <f t="shared" si="56"/>
        <v>186</v>
      </c>
      <c r="D134">
        <f t="shared" si="59"/>
        <v>0</v>
      </c>
      <c r="E134">
        <f t="shared" si="59"/>
        <v>1</v>
      </c>
      <c r="F134">
        <f t="shared" si="59"/>
        <v>95</v>
      </c>
      <c r="G134">
        <f t="shared" si="59"/>
        <v>0</v>
      </c>
      <c r="H134">
        <f t="shared" si="59"/>
        <v>0</v>
      </c>
      <c r="I134">
        <f t="shared" si="59"/>
        <v>44</v>
      </c>
      <c r="J134">
        <f t="shared" si="59"/>
        <v>43</v>
      </c>
      <c r="K134">
        <f t="shared" si="59"/>
        <v>3</v>
      </c>
      <c r="L134" t="b">
        <f t="shared" si="58"/>
        <v>1</v>
      </c>
      <c r="W134" t="s">
        <v>33</v>
      </c>
      <c r="X134" t="s">
        <v>23</v>
      </c>
      <c r="Y134">
        <v>80</v>
      </c>
      <c r="Z134">
        <v>0</v>
      </c>
      <c r="AA134">
        <v>0</v>
      </c>
      <c r="AB134">
        <v>48</v>
      </c>
      <c r="AC134">
        <v>0</v>
      </c>
      <c r="AD134">
        <v>0</v>
      </c>
      <c r="AE134">
        <v>14</v>
      </c>
      <c r="AF134">
        <v>16</v>
      </c>
      <c r="AG134">
        <v>2</v>
      </c>
      <c r="AH134">
        <v>10</v>
      </c>
    </row>
    <row r="135" spans="1:34" x14ac:dyDescent="0.25">
      <c r="A135" t="s">
        <v>32</v>
      </c>
      <c r="B135" t="str">
        <f t="shared" si="60"/>
        <v>qadma</v>
      </c>
      <c r="C135">
        <f t="shared" si="56"/>
        <v>308</v>
      </c>
      <c r="D135">
        <f t="shared" si="59"/>
        <v>0</v>
      </c>
      <c r="E135">
        <f t="shared" si="59"/>
        <v>1</v>
      </c>
      <c r="F135">
        <f t="shared" si="59"/>
        <v>131</v>
      </c>
      <c r="G135">
        <f t="shared" si="59"/>
        <v>1</v>
      </c>
      <c r="H135">
        <f t="shared" si="59"/>
        <v>0</v>
      </c>
      <c r="I135">
        <f t="shared" si="59"/>
        <v>73</v>
      </c>
      <c r="J135">
        <f t="shared" si="59"/>
        <v>94</v>
      </c>
      <c r="K135">
        <f t="shared" si="59"/>
        <v>8</v>
      </c>
      <c r="L135" t="b">
        <f t="shared" si="58"/>
        <v>1</v>
      </c>
      <c r="W135" t="s">
        <v>33</v>
      </c>
      <c r="X135" t="s">
        <v>65</v>
      </c>
      <c r="Y135">
        <v>88</v>
      </c>
      <c r="Z135">
        <v>0</v>
      </c>
      <c r="AA135">
        <v>0</v>
      </c>
      <c r="AB135">
        <v>26</v>
      </c>
      <c r="AC135">
        <v>0</v>
      </c>
      <c r="AD135">
        <v>0</v>
      </c>
      <c r="AE135">
        <v>18</v>
      </c>
      <c r="AF135">
        <v>32</v>
      </c>
      <c r="AG135">
        <v>12</v>
      </c>
      <c r="AH135">
        <v>10</v>
      </c>
    </row>
    <row r="136" spans="1:34" x14ac:dyDescent="0.25">
      <c r="A136" t="s">
        <v>32</v>
      </c>
      <c r="B136" t="str">
        <f t="shared" si="60"/>
        <v>revia</v>
      </c>
      <c r="C136">
        <f t="shared" si="56"/>
        <v>412</v>
      </c>
      <c r="D136">
        <f t="shared" si="59"/>
        <v>0</v>
      </c>
      <c r="E136">
        <f t="shared" si="59"/>
        <v>0</v>
      </c>
      <c r="F136">
        <f t="shared" si="59"/>
        <v>71</v>
      </c>
      <c r="G136">
        <f t="shared" si="59"/>
        <v>1</v>
      </c>
      <c r="H136">
        <f t="shared" si="59"/>
        <v>0</v>
      </c>
      <c r="I136">
        <f t="shared" si="59"/>
        <v>54</v>
      </c>
      <c r="J136">
        <f t="shared" si="59"/>
        <v>277</v>
      </c>
      <c r="K136">
        <f t="shared" si="59"/>
        <v>9</v>
      </c>
      <c r="L136" t="b">
        <f t="shared" si="58"/>
        <v>1</v>
      </c>
      <c r="W136" t="s">
        <v>33</v>
      </c>
      <c r="X136" t="s">
        <v>64</v>
      </c>
      <c r="Y136">
        <v>118</v>
      </c>
      <c r="Z136">
        <v>0</v>
      </c>
      <c r="AA136">
        <v>0</v>
      </c>
      <c r="AB136">
        <v>61</v>
      </c>
      <c r="AC136">
        <v>0</v>
      </c>
      <c r="AD136">
        <v>0</v>
      </c>
      <c r="AE136">
        <v>15</v>
      </c>
      <c r="AF136">
        <v>40</v>
      </c>
      <c r="AG136">
        <v>2</v>
      </c>
      <c r="AH136">
        <v>10</v>
      </c>
    </row>
    <row r="137" spans="1:34" x14ac:dyDescent="0.25">
      <c r="A137" t="s">
        <v>32</v>
      </c>
      <c r="B137" t="str">
        <f t="shared" si="60"/>
        <v>zaqef-qatan</v>
      </c>
      <c r="C137">
        <f t="shared" si="56"/>
        <v>1014</v>
      </c>
      <c r="D137">
        <f t="shared" si="59"/>
        <v>0</v>
      </c>
      <c r="E137">
        <f t="shared" si="59"/>
        <v>0</v>
      </c>
      <c r="F137">
        <f t="shared" si="59"/>
        <v>119</v>
      </c>
      <c r="G137">
        <f t="shared" si="59"/>
        <v>18</v>
      </c>
      <c r="H137">
        <f t="shared" si="59"/>
        <v>0</v>
      </c>
      <c r="I137">
        <f t="shared" si="59"/>
        <v>24</v>
      </c>
      <c r="J137">
        <f t="shared" si="59"/>
        <v>614</v>
      </c>
      <c r="K137">
        <f t="shared" si="59"/>
        <v>239</v>
      </c>
      <c r="L137" t="b">
        <f t="shared" si="58"/>
        <v>1</v>
      </c>
      <c r="W137" t="s">
        <v>33</v>
      </c>
      <c r="X137" t="s">
        <v>8</v>
      </c>
      <c r="Y137">
        <v>227</v>
      </c>
      <c r="Z137">
        <v>0</v>
      </c>
      <c r="AA137">
        <v>0</v>
      </c>
      <c r="AB137">
        <v>129</v>
      </c>
      <c r="AC137">
        <v>0</v>
      </c>
      <c r="AD137">
        <v>0</v>
      </c>
      <c r="AE137">
        <v>42</v>
      </c>
      <c r="AF137">
        <v>56</v>
      </c>
      <c r="AG137">
        <v>0</v>
      </c>
      <c r="AH137">
        <v>10</v>
      </c>
    </row>
    <row r="138" spans="1:34" x14ac:dyDescent="0.25">
      <c r="A138" t="s">
        <v>32</v>
      </c>
      <c r="B138" t="str">
        <f t="shared" si="60"/>
        <v>pashta</v>
      </c>
      <c r="C138">
        <f t="shared" si="56"/>
        <v>1051</v>
      </c>
      <c r="D138">
        <f t="shared" si="59"/>
        <v>0</v>
      </c>
      <c r="E138">
        <f t="shared" si="59"/>
        <v>0</v>
      </c>
      <c r="F138">
        <f t="shared" si="59"/>
        <v>230</v>
      </c>
      <c r="G138">
        <f t="shared" si="59"/>
        <v>40</v>
      </c>
      <c r="H138">
        <f t="shared" si="59"/>
        <v>0</v>
      </c>
      <c r="I138">
        <f t="shared" si="59"/>
        <v>96</v>
      </c>
      <c r="J138">
        <f t="shared" si="59"/>
        <v>110</v>
      </c>
      <c r="K138">
        <f t="shared" si="59"/>
        <v>575</v>
      </c>
      <c r="L138" t="b">
        <f t="shared" si="58"/>
        <v>1</v>
      </c>
      <c r="W138" t="s">
        <v>33</v>
      </c>
      <c r="X138" t="s">
        <v>6</v>
      </c>
      <c r="Y138">
        <v>409</v>
      </c>
      <c r="Z138">
        <v>0</v>
      </c>
      <c r="AA138">
        <v>0</v>
      </c>
      <c r="AB138">
        <v>214</v>
      </c>
      <c r="AC138">
        <v>1</v>
      </c>
      <c r="AD138">
        <v>0</v>
      </c>
      <c r="AE138">
        <v>75</v>
      </c>
      <c r="AF138">
        <v>107</v>
      </c>
      <c r="AG138">
        <v>12</v>
      </c>
      <c r="AH138">
        <v>10</v>
      </c>
    </row>
    <row r="139" spans="1:34" x14ac:dyDescent="0.25">
      <c r="D139" t="s">
        <v>60</v>
      </c>
      <c r="E139" t="s">
        <v>14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W139" t="s">
        <v>33</v>
      </c>
      <c r="X139" t="s">
        <v>1</v>
      </c>
      <c r="Y139">
        <v>492</v>
      </c>
      <c r="Z139">
        <v>0</v>
      </c>
      <c r="AA139">
        <v>0</v>
      </c>
      <c r="AB139">
        <v>111</v>
      </c>
      <c r="AC139">
        <v>0</v>
      </c>
      <c r="AD139">
        <v>0</v>
      </c>
      <c r="AE139">
        <v>51</v>
      </c>
      <c r="AF139">
        <v>326</v>
      </c>
      <c r="AG139">
        <v>4</v>
      </c>
      <c r="AH139">
        <v>10</v>
      </c>
    </row>
    <row r="140" spans="1:34" x14ac:dyDescent="0.25">
      <c r="A140" t="s">
        <v>33</v>
      </c>
      <c r="B140" t="str">
        <f>X130</f>
        <v>segol</v>
      </c>
      <c r="C140">
        <f t="shared" ref="C140:C151" si="61">SUM(D140:K140)</f>
        <v>42</v>
      </c>
      <c r="D140">
        <f t="shared" ref="D140:K151" si="62">Z130</f>
        <v>0</v>
      </c>
      <c r="E140">
        <f t="shared" si="62"/>
        <v>0</v>
      </c>
      <c r="F140">
        <f t="shared" si="62"/>
        <v>9</v>
      </c>
      <c r="G140">
        <f t="shared" si="62"/>
        <v>2</v>
      </c>
      <c r="H140">
        <f t="shared" si="62"/>
        <v>0</v>
      </c>
      <c r="I140">
        <f t="shared" si="62"/>
        <v>0</v>
      </c>
      <c r="J140">
        <f t="shared" si="62"/>
        <v>31</v>
      </c>
      <c r="K140">
        <f t="shared" si="62"/>
        <v>0</v>
      </c>
      <c r="L140" t="b">
        <f t="shared" ref="L140:L151" si="63">SUM(D140:K140)=Y130</f>
        <v>1</v>
      </c>
      <c r="W140" t="s">
        <v>33</v>
      </c>
      <c r="X140" t="s">
        <v>24</v>
      </c>
      <c r="Y140">
        <v>1224</v>
      </c>
      <c r="Z140">
        <v>0</v>
      </c>
      <c r="AA140">
        <v>0</v>
      </c>
      <c r="AB140">
        <v>286</v>
      </c>
      <c r="AC140">
        <v>23</v>
      </c>
      <c r="AD140">
        <v>0</v>
      </c>
      <c r="AE140">
        <v>112</v>
      </c>
      <c r="AF140">
        <v>167</v>
      </c>
      <c r="AG140">
        <v>636</v>
      </c>
      <c r="AH140">
        <v>10</v>
      </c>
    </row>
    <row r="141" spans="1:34" x14ac:dyDescent="0.25">
      <c r="A141" t="s">
        <v>33</v>
      </c>
      <c r="B141" t="str">
        <f t="shared" ref="B141:B151" si="64">X131</f>
        <v>tsinnor</v>
      </c>
      <c r="C141">
        <f t="shared" si="61"/>
        <v>43</v>
      </c>
      <c r="D141">
        <f t="shared" si="62"/>
        <v>0</v>
      </c>
      <c r="E141">
        <f t="shared" si="62"/>
        <v>0</v>
      </c>
      <c r="F141">
        <f t="shared" si="62"/>
        <v>16</v>
      </c>
      <c r="G141">
        <f t="shared" si="62"/>
        <v>2</v>
      </c>
      <c r="H141">
        <f t="shared" si="62"/>
        <v>0</v>
      </c>
      <c r="I141">
        <f t="shared" si="62"/>
        <v>0</v>
      </c>
      <c r="J141">
        <f t="shared" si="62"/>
        <v>25</v>
      </c>
      <c r="K141">
        <f t="shared" si="62"/>
        <v>0</v>
      </c>
      <c r="L141" t="b">
        <f t="shared" si="63"/>
        <v>1</v>
      </c>
      <c r="W141" t="s">
        <v>33</v>
      </c>
      <c r="X141" t="s">
        <v>66</v>
      </c>
      <c r="Y141">
        <v>1230</v>
      </c>
      <c r="Z141">
        <v>0</v>
      </c>
      <c r="AA141">
        <v>0</v>
      </c>
      <c r="AB141">
        <v>129</v>
      </c>
      <c r="AC141">
        <v>11</v>
      </c>
      <c r="AD141">
        <v>0</v>
      </c>
      <c r="AE141">
        <v>25</v>
      </c>
      <c r="AF141">
        <v>843</v>
      </c>
      <c r="AG141">
        <v>222</v>
      </c>
      <c r="AH141">
        <v>10</v>
      </c>
    </row>
    <row r="142" spans="1:34" x14ac:dyDescent="0.25">
      <c r="A142" t="s">
        <v>33</v>
      </c>
      <c r="B142" t="str">
        <f t="shared" si="64"/>
        <v>pazer</v>
      </c>
      <c r="C142">
        <f t="shared" si="61"/>
        <v>44</v>
      </c>
      <c r="D142">
        <f t="shared" si="62"/>
        <v>0</v>
      </c>
      <c r="E142">
        <f t="shared" si="62"/>
        <v>0</v>
      </c>
      <c r="F142">
        <f t="shared" si="62"/>
        <v>8</v>
      </c>
      <c r="G142">
        <f t="shared" si="62"/>
        <v>0</v>
      </c>
      <c r="H142">
        <f t="shared" si="62"/>
        <v>0</v>
      </c>
      <c r="I142">
        <f t="shared" si="62"/>
        <v>8</v>
      </c>
      <c r="J142">
        <f t="shared" si="62"/>
        <v>28</v>
      </c>
      <c r="K142">
        <f t="shared" si="62"/>
        <v>0</v>
      </c>
      <c r="L142" t="b">
        <f t="shared" si="63"/>
        <v>1</v>
      </c>
      <c r="W142" t="s">
        <v>34</v>
      </c>
      <c r="X142" t="s">
        <v>78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11</v>
      </c>
    </row>
    <row r="143" spans="1:34" x14ac:dyDescent="0.25">
      <c r="A143" t="s">
        <v>33</v>
      </c>
      <c r="B143" t="str">
        <f t="shared" si="64"/>
        <v>telisha-gedola</v>
      </c>
      <c r="C143">
        <f t="shared" si="61"/>
        <v>76</v>
      </c>
      <c r="D143">
        <f t="shared" si="62"/>
        <v>0</v>
      </c>
      <c r="E143">
        <f t="shared" si="62"/>
        <v>0</v>
      </c>
      <c r="F143">
        <f t="shared" si="62"/>
        <v>28</v>
      </c>
      <c r="G143">
        <f t="shared" si="62"/>
        <v>0</v>
      </c>
      <c r="H143">
        <f t="shared" si="62"/>
        <v>0</v>
      </c>
      <c r="I143">
        <f t="shared" si="62"/>
        <v>18</v>
      </c>
      <c r="J143">
        <f t="shared" si="62"/>
        <v>29</v>
      </c>
      <c r="K143">
        <f t="shared" si="62"/>
        <v>1</v>
      </c>
      <c r="L143" t="b">
        <f t="shared" si="63"/>
        <v>1</v>
      </c>
      <c r="W143" t="s">
        <v>34</v>
      </c>
      <c r="X143" t="s">
        <v>72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11</v>
      </c>
    </row>
    <row r="144" spans="1:34" x14ac:dyDescent="0.25">
      <c r="A144" t="s">
        <v>33</v>
      </c>
      <c r="B144" t="str">
        <f t="shared" si="64"/>
        <v>tarsin</v>
      </c>
      <c r="C144">
        <f t="shared" si="61"/>
        <v>80</v>
      </c>
      <c r="D144">
        <f t="shared" si="62"/>
        <v>0</v>
      </c>
      <c r="E144">
        <f t="shared" si="62"/>
        <v>0</v>
      </c>
      <c r="F144">
        <f t="shared" si="62"/>
        <v>48</v>
      </c>
      <c r="G144">
        <f t="shared" si="62"/>
        <v>0</v>
      </c>
      <c r="H144">
        <f t="shared" si="62"/>
        <v>0</v>
      </c>
      <c r="I144">
        <f t="shared" si="62"/>
        <v>14</v>
      </c>
      <c r="J144">
        <f t="shared" si="62"/>
        <v>16</v>
      </c>
      <c r="K144">
        <f t="shared" si="62"/>
        <v>2</v>
      </c>
      <c r="L144" t="b">
        <f t="shared" si="63"/>
        <v>1</v>
      </c>
      <c r="W144" t="s">
        <v>34</v>
      </c>
      <c r="X144" t="s">
        <v>5</v>
      </c>
      <c r="Y144">
        <v>44</v>
      </c>
      <c r="Z144">
        <v>0</v>
      </c>
      <c r="AA144">
        <v>0</v>
      </c>
      <c r="AB144">
        <v>14</v>
      </c>
      <c r="AC144">
        <v>0</v>
      </c>
      <c r="AD144">
        <v>0</v>
      </c>
      <c r="AE144">
        <v>4</v>
      </c>
      <c r="AF144">
        <v>26</v>
      </c>
      <c r="AG144">
        <v>0</v>
      </c>
      <c r="AH144">
        <v>11</v>
      </c>
    </row>
    <row r="145" spans="1:34" x14ac:dyDescent="0.25">
      <c r="A145" t="s">
        <v>33</v>
      </c>
      <c r="B145" t="str">
        <f t="shared" si="64"/>
        <v>zaqef-gadol</v>
      </c>
      <c r="C145">
        <f t="shared" si="61"/>
        <v>88</v>
      </c>
      <c r="D145">
        <f t="shared" si="62"/>
        <v>0</v>
      </c>
      <c r="E145">
        <f t="shared" si="62"/>
        <v>0</v>
      </c>
      <c r="F145">
        <f t="shared" si="62"/>
        <v>26</v>
      </c>
      <c r="G145">
        <f t="shared" si="62"/>
        <v>0</v>
      </c>
      <c r="H145">
        <f t="shared" si="62"/>
        <v>0</v>
      </c>
      <c r="I145">
        <f t="shared" si="62"/>
        <v>18</v>
      </c>
      <c r="J145">
        <f t="shared" si="62"/>
        <v>32</v>
      </c>
      <c r="K145">
        <f t="shared" si="62"/>
        <v>12</v>
      </c>
      <c r="L145" t="b">
        <f t="shared" si="63"/>
        <v>1</v>
      </c>
      <c r="W145" t="s">
        <v>34</v>
      </c>
      <c r="X145" t="s">
        <v>22</v>
      </c>
      <c r="Y145">
        <v>47</v>
      </c>
      <c r="Z145">
        <v>0</v>
      </c>
      <c r="AA145">
        <v>0</v>
      </c>
      <c r="AB145">
        <v>5</v>
      </c>
      <c r="AC145">
        <v>1</v>
      </c>
      <c r="AD145">
        <v>0</v>
      </c>
      <c r="AE145">
        <v>0</v>
      </c>
      <c r="AF145">
        <v>41</v>
      </c>
      <c r="AG145">
        <v>0</v>
      </c>
      <c r="AH145">
        <v>11</v>
      </c>
    </row>
    <row r="146" spans="1:34" x14ac:dyDescent="0.25">
      <c r="A146" t="s">
        <v>33</v>
      </c>
      <c r="B146" t="str">
        <f t="shared" si="64"/>
        <v>telisha-qetana</v>
      </c>
      <c r="C146">
        <f t="shared" si="61"/>
        <v>118</v>
      </c>
      <c r="D146">
        <f t="shared" si="62"/>
        <v>0</v>
      </c>
      <c r="E146">
        <f t="shared" si="62"/>
        <v>0</v>
      </c>
      <c r="F146">
        <f t="shared" si="62"/>
        <v>61</v>
      </c>
      <c r="G146">
        <f t="shared" si="62"/>
        <v>0</v>
      </c>
      <c r="H146">
        <f t="shared" si="62"/>
        <v>0</v>
      </c>
      <c r="I146">
        <f t="shared" si="62"/>
        <v>15</v>
      </c>
      <c r="J146">
        <f t="shared" si="62"/>
        <v>40</v>
      </c>
      <c r="K146">
        <f t="shared" si="62"/>
        <v>2</v>
      </c>
      <c r="L146" t="b">
        <f t="shared" si="63"/>
        <v>1</v>
      </c>
      <c r="W146" t="s">
        <v>34</v>
      </c>
      <c r="X146" t="s">
        <v>4</v>
      </c>
      <c r="Y146">
        <v>54</v>
      </c>
      <c r="Z146">
        <v>0</v>
      </c>
      <c r="AA146">
        <v>0</v>
      </c>
      <c r="AB146">
        <v>15</v>
      </c>
      <c r="AC146">
        <v>2</v>
      </c>
      <c r="AD146">
        <v>0</v>
      </c>
      <c r="AE146">
        <v>0</v>
      </c>
      <c r="AF146">
        <v>37</v>
      </c>
      <c r="AG146">
        <v>0</v>
      </c>
      <c r="AH146">
        <v>11</v>
      </c>
    </row>
    <row r="147" spans="1:34" x14ac:dyDescent="0.25">
      <c r="A147" t="s">
        <v>33</v>
      </c>
      <c r="B147" t="str">
        <f t="shared" si="64"/>
        <v>azla</v>
      </c>
      <c r="C147">
        <f t="shared" si="61"/>
        <v>227</v>
      </c>
      <c r="D147">
        <f t="shared" si="62"/>
        <v>0</v>
      </c>
      <c r="E147">
        <f t="shared" si="62"/>
        <v>0</v>
      </c>
      <c r="F147">
        <f t="shared" si="62"/>
        <v>129</v>
      </c>
      <c r="G147">
        <f t="shared" si="62"/>
        <v>0</v>
      </c>
      <c r="H147">
        <f t="shared" si="62"/>
        <v>0</v>
      </c>
      <c r="I147">
        <f t="shared" si="62"/>
        <v>42</v>
      </c>
      <c r="J147">
        <f t="shared" si="62"/>
        <v>56</v>
      </c>
      <c r="K147">
        <f t="shared" si="62"/>
        <v>0</v>
      </c>
      <c r="L147" t="b">
        <f t="shared" si="63"/>
        <v>1</v>
      </c>
      <c r="W147" t="s">
        <v>34</v>
      </c>
      <c r="X147" t="s">
        <v>65</v>
      </c>
      <c r="Y147">
        <v>73</v>
      </c>
      <c r="Z147">
        <v>0</v>
      </c>
      <c r="AA147">
        <v>0</v>
      </c>
      <c r="AB147">
        <v>27</v>
      </c>
      <c r="AC147">
        <v>1</v>
      </c>
      <c r="AD147">
        <v>0</v>
      </c>
      <c r="AE147">
        <v>16</v>
      </c>
      <c r="AF147">
        <v>22</v>
      </c>
      <c r="AG147">
        <v>7</v>
      </c>
      <c r="AH147">
        <v>11</v>
      </c>
    </row>
    <row r="148" spans="1:34" x14ac:dyDescent="0.25">
      <c r="A148" t="s">
        <v>33</v>
      </c>
      <c r="B148" t="str">
        <f t="shared" si="64"/>
        <v>qadma</v>
      </c>
      <c r="C148">
        <f t="shared" si="61"/>
        <v>409</v>
      </c>
      <c r="D148">
        <f t="shared" si="62"/>
        <v>0</v>
      </c>
      <c r="E148">
        <f t="shared" si="62"/>
        <v>0</v>
      </c>
      <c r="F148">
        <f t="shared" si="62"/>
        <v>214</v>
      </c>
      <c r="G148">
        <f t="shared" si="62"/>
        <v>1</v>
      </c>
      <c r="H148">
        <f t="shared" si="62"/>
        <v>0</v>
      </c>
      <c r="I148">
        <f t="shared" si="62"/>
        <v>75</v>
      </c>
      <c r="J148">
        <f t="shared" si="62"/>
        <v>107</v>
      </c>
      <c r="K148">
        <f t="shared" si="62"/>
        <v>12</v>
      </c>
      <c r="L148" t="b">
        <f t="shared" si="63"/>
        <v>1</v>
      </c>
      <c r="W148" t="s">
        <v>34</v>
      </c>
      <c r="X148" t="s">
        <v>63</v>
      </c>
      <c r="Y148">
        <v>76</v>
      </c>
      <c r="Z148">
        <v>0</v>
      </c>
      <c r="AA148">
        <v>0</v>
      </c>
      <c r="AB148">
        <v>25</v>
      </c>
      <c r="AC148">
        <v>0</v>
      </c>
      <c r="AD148">
        <v>0</v>
      </c>
      <c r="AE148">
        <v>18</v>
      </c>
      <c r="AF148">
        <v>32</v>
      </c>
      <c r="AG148">
        <v>1</v>
      </c>
      <c r="AH148">
        <v>11</v>
      </c>
    </row>
    <row r="149" spans="1:34" x14ac:dyDescent="0.25">
      <c r="A149" t="s">
        <v>33</v>
      </c>
      <c r="B149" t="str">
        <f t="shared" si="64"/>
        <v>revia</v>
      </c>
      <c r="C149">
        <f t="shared" si="61"/>
        <v>492</v>
      </c>
      <c r="D149">
        <f t="shared" si="62"/>
        <v>0</v>
      </c>
      <c r="E149">
        <f t="shared" si="62"/>
        <v>0</v>
      </c>
      <c r="F149">
        <f t="shared" si="62"/>
        <v>111</v>
      </c>
      <c r="G149">
        <f t="shared" si="62"/>
        <v>0</v>
      </c>
      <c r="H149">
        <f t="shared" si="62"/>
        <v>0</v>
      </c>
      <c r="I149">
        <f t="shared" si="62"/>
        <v>51</v>
      </c>
      <c r="J149">
        <f t="shared" si="62"/>
        <v>326</v>
      </c>
      <c r="K149">
        <f t="shared" si="62"/>
        <v>4</v>
      </c>
      <c r="L149" t="b">
        <f t="shared" si="63"/>
        <v>1</v>
      </c>
      <c r="W149" t="s">
        <v>34</v>
      </c>
      <c r="X149" t="s">
        <v>23</v>
      </c>
      <c r="Y149">
        <v>81</v>
      </c>
      <c r="Z149">
        <v>0</v>
      </c>
      <c r="AA149">
        <v>0</v>
      </c>
      <c r="AB149">
        <v>43</v>
      </c>
      <c r="AC149">
        <v>0</v>
      </c>
      <c r="AD149">
        <v>0</v>
      </c>
      <c r="AE149">
        <v>22</v>
      </c>
      <c r="AF149">
        <v>14</v>
      </c>
      <c r="AG149">
        <v>2</v>
      </c>
      <c r="AH149">
        <v>11</v>
      </c>
    </row>
    <row r="150" spans="1:34" x14ac:dyDescent="0.25">
      <c r="A150" t="s">
        <v>33</v>
      </c>
      <c r="B150" t="str">
        <f t="shared" si="64"/>
        <v>pashta</v>
      </c>
      <c r="C150">
        <f t="shared" si="61"/>
        <v>1224</v>
      </c>
      <c r="D150">
        <f t="shared" si="62"/>
        <v>0</v>
      </c>
      <c r="E150">
        <f t="shared" si="62"/>
        <v>0</v>
      </c>
      <c r="F150">
        <f t="shared" si="62"/>
        <v>286</v>
      </c>
      <c r="G150">
        <f t="shared" si="62"/>
        <v>23</v>
      </c>
      <c r="H150">
        <f t="shared" si="62"/>
        <v>0</v>
      </c>
      <c r="I150">
        <f t="shared" si="62"/>
        <v>112</v>
      </c>
      <c r="J150">
        <f t="shared" si="62"/>
        <v>167</v>
      </c>
      <c r="K150">
        <f t="shared" si="62"/>
        <v>636</v>
      </c>
      <c r="L150" t="b">
        <f t="shared" si="63"/>
        <v>1</v>
      </c>
      <c r="W150" t="s">
        <v>34</v>
      </c>
      <c r="X150" t="s">
        <v>64</v>
      </c>
      <c r="Y150">
        <v>114</v>
      </c>
      <c r="Z150">
        <v>0</v>
      </c>
      <c r="AA150">
        <v>1</v>
      </c>
      <c r="AB150">
        <v>58</v>
      </c>
      <c r="AC150">
        <v>0</v>
      </c>
      <c r="AD150">
        <v>0</v>
      </c>
      <c r="AE150">
        <v>14</v>
      </c>
      <c r="AF150">
        <v>41</v>
      </c>
      <c r="AG150">
        <v>0</v>
      </c>
      <c r="AH150">
        <v>11</v>
      </c>
    </row>
    <row r="151" spans="1:34" x14ac:dyDescent="0.25">
      <c r="A151" t="s">
        <v>33</v>
      </c>
      <c r="B151" t="str">
        <f t="shared" si="64"/>
        <v>zaqef-qatan</v>
      </c>
      <c r="C151">
        <f t="shared" si="61"/>
        <v>1230</v>
      </c>
      <c r="D151">
        <f t="shared" si="62"/>
        <v>0</v>
      </c>
      <c r="E151">
        <f t="shared" si="62"/>
        <v>0</v>
      </c>
      <c r="F151">
        <f t="shared" si="62"/>
        <v>129</v>
      </c>
      <c r="G151">
        <f t="shared" si="62"/>
        <v>11</v>
      </c>
      <c r="H151">
        <f t="shared" si="62"/>
        <v>0</v>
      </c>
      <c r="I151">
        <f t="shared" si="62"/>
        <v>25</v>
      </c>
      <c r="J151">
        <f t="shared" si="62"/>
        <v>843</v>
      </c>
      <c r="K151">
        <f t="shared" si="62"/>
        <v>222</v>
      </c>
      <c r="L151" t="b">
        <f t="shared" si="63"/>
        <v>1</v>
      </c>
      <c r="W151" t="s">
        <v>34</v>
      </c>
      <c r="X151" t="s">
        <v>8</v>
      </c>
      <c r="Y151">
        <v>236</v>
      </c>
      <c r="Z151">
        <v>0</v>
      </c>
      <c r="AA151">
        <v>0</v>
      </c>
      <c r="AB151">
        <v>117</v>
      </c>
      <c r="AC151">
        <v>0</v>
      </c>
      <c r="AD151">
        <v>0</v>
      </c>
      <c r="AE151">
        <v>47</v>
      </c>
      <c r="AF151">
        <v>70</v>
      </c>
      <c r="AG151">
        <v>2</v>
      </c>
      <c r="AH151">
        <v>11</v>
      </c>
    </row>
    <row r="152" spans="1:34" x14ac:dyDescent="0.25">
      <c r="D152" t="s">
        <v>60</v>
      </c>
      <c r="E152" t="s">
        <v>14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W152" t="s">
        <v>34</v>
      </c>
      <c r="X152" t="s">
        <v>6</v>
      </c>
      <c r="Y152">
        <v>371</v>
      </c>
      <c r="Z152">
        <v>0</v>
      </c>
      <c r="AA152">
        <v>1</v>
      </c>
      <c r="AB152">
        <v>173</v>
      </c>
      <c r="AC152">
        <v>0</v>
      </c>
      <c r="AD152">
        <v>0</v>
      </c>
      <c r="AE152">
        <v>77</v>
      </c>
      <c r="AF152">
        <v>111</v>
      </c>
      <c r="AG152">
        <v>9</v>
      </c>
      <c r="AH152">
        <v>11</v>
      </c>
    </row>
    <row r="153" spans="1:34" x14ac:dyDescent="0.25">
      <c r="A153" t="s">
        <v>34</v>
      </c>
      <c r="B153" t="str">
        <f>X142</f>
        <v>geresh t-gedola</v>
      </c>
      <c r="C153">
        <f t="shared" ref="C153:C166" si="65">SUM(D153:K153)</f>
        <v>1</v>
      </c>
      <c r="D153">
        <f t="shared" ref="D153:K166" si="66">Z142</f>
        <v>0</v>
      </c>
      <c r="E153">
        <f t="shared" si="66"/>
        <v>0</v>
      </c>
      <c r="F153">
        <f t="shared" si="66"/>
        <v>0</v>
      </c>
      <c r="G153">
        <f t="shared" si="66"/>
        <v>0</v>
      </c>
      <c r="H153">
        <f t="shared" si="66"/>
        <v>0</v>
      </c>
      <c r="I153">
        <f t="shared" si="66"/>
        <v>0</v>
      </c>
      <c r="J153">
        <f t="shared" si="66"/>
        <v>1</v>
      </c>
      <c r="K153">
        <f t="shared" si="66"/>
        <v>0</v>
      </c>
      <c r="L153" t="b">
        <f t="shared" ref="L153:L166" si="67">SUM(D153:K153)=Y142</f>
        <v>1</v>
      </c>
      <c r="W153" t="s">
        <v>34</v>
      </c>
      <c r="X153" t="s">
        <v>1</v>
      </c>
      <c r="Y153">
        <v>475</v>
      </c>
      <c r="Z153">
        <v>0</v>
      </c>
      <c r="AA153">
        <v>0</v>
      </c>
      <c r="AB153">
        <v>100</v>
      </c>
      <c r="AC153">
        <v>0</v>
      </c>
      <c r="AD153">
        <v>0</v>
      </c>
      <c r="AE153">
        <v>53</v>
      </c>
      <c r="AF153">
        <v>318</v>
      </c>
      <c r="AG153">
        <v>4</v>
      </c>
      <c r="AH153">
        <v>11</v>
      </c>
    </row>
    <row r="154" spans="1:34" x14ac:dyDescent="0.25">
      <c r="A154" t="s">
        <v>34</v>
      </c>
      <c r="B154" t="str">
        <f t="shared" ref="B154:B166" si="68">X143</f>
        <v>qarne-farah</v>
      </c>
      <c r="C154">
        <f t="shared" si="65"/>
        <v>1</v>
      </c>
      <c r="D154">
        <f t="shared" si="66"/>
        <v>0</v>
      </c>
      <c r="E154">
        <f t="shared" si="66"/>
        <v>1</v>
      </c>
      <c r="F154">
        <f t="shared" si="66"/>
        <v>0</v>
      </c>
      <c r="G154">
        <f t="shared" si="66"/>
        <v>0</v>
      </c>
      <c r="H154">
        <f t="shared" si="66"/>
        <v>0</v>
      </c>
      <c r="I154">
        <f t="shared" si="66"/>
        <v>0</v>
      </c>
      <c r="J154">
        <f t="shared" si="66"/>
        <v>0</v>
      </c>
      <c r="K154">
        <f t="shared" si="66"/>
        <v>0</v>
      </c>
      <c r="L154" t="b">
        <f t="shared" si="67"/>
        <v>1</v>
      </c>
      <c r="W154" t="s">
        <v>34</v>
      </c>
      <c r="X154" t="s">
        <v>24</v>
      </c>
      <c r="Y154">
        <v>1087</v>
      </c>
      <c r="Z154">
        <v>0</v>
      </c>
      <c r="AA154">
        <v>0</v>
      </c>
      <c r="AB154">
        <v>278</v>
      </c>
      <c r="AC154">
        <v>26</v>
      </c>
      <c r="AD154">
        <v>0</v>
      </c>
      <c r="AE154">
        <v>80</v>
      </c>
      <c r="AF154">
        <v>133</v>
      </c>
      <c r="AG154">
        <v>570</v>
      </c>
      <c r="AH154">
        <v>11</v>
      </c>
    </row>
    <row r="155" spans="1:34" x14ac:dyDescent="0.25">
      <c r="A155" t="s">
        <v>34</v>
      </c>
      <c r="B155" t="str">
        <f t="shared" si="68"/>
        <v>pazer</v>
      </c>
      <c r="C155">
        <f t="shared" si="65"/>
        <v>44</v>
      </c>
      <c r="D155">
        <f t="shared" si="66"/>
        <v>0</v>
      </c>
      <c r="E155">
        <f t="shared" si="66"/>
        <v>0</v>
      </c>
      <c r="F155">
        <f t="shared" si="66"/>
        <v>14</v>
      </c>
      <c r="G155">
        <f t="shared" si="66"/>
        <v>0</v>
      </c>
      <c r="H155">
        <f t="shared" si="66"/>
        <v>0</v>
      </c>
      <c r="I155">
        <f t="shared" si="66"/>
        <v>4</v>
      </c>
      <c r="J155">
        <f t="shared" si="66"/>
        <v>26</v>
      </c>
      <c r="K155">
        <f t="shared" si="66"/>
        <v>0</v>
      </c>
      <c r="L155" t="b">
        <f t="shared" si="67"/>
        <v>1</v>
      </c>
      <c r="W155" t="s">
        <v>34</v>
      </c>
      <c r="X155" t="s">
        <v>66</v>
      </c>
      <c r="Y155">
        <v>1100</v>
      </c>
      <c r="Z155">
        <v>0</v>
      </c>
      <c r="AA155">
        <v>0</v>
      </c>
      <c r="AB155">
        <v>119</v>
      </c>
      <c r="AC155">
        <v>7</v>
      </c>
      <c r="AD155">
        <v>0</v>
      </c>
      <c r="AE155">
        <v>31</v>
      </c>
      <c r="AF155">
        <v>743</v>
      </c>
      <c r="AG155">
        <v>200</v>
      </c>
      <c r="AH155">
        <v>11</v>
      </c>
    </row>
    <row r="156" spans="1:34" x14ac:dyDescent="0.25">
      <c r="A156" t="s">
        <v>34</v>
      </c>
      <c r="B156" t="str">
        <f t="shared" si="68"/>
        <v>segol</v>
      </c>
      <c r="C156">
        <f t="shared" si="65"/>
        <v>47</v>
      </c>
      <c r="D156">
        <f t="shared" si="66"/>
        <v>0</v>
      </c>
      <c r="E156">
        <f t="shared" si="66"/>
        <v>0</v>
      </c>
      <c r="F156">
        <f t="shared" si="66"/>
        <v>5</v>
      </c>
      <c r="G156">
        <f t="shared" si="66"/>
        <v>1</v>
      </c>
      <c r="H156">
        <f t="shared" si="66"/>
        <v>0</v>
      </c>
      <c r="I156">
        <f t="shared" si="66"/>
        <v>0</v>
      </c>
      <c r="J156">
        <f t="shared" si="66"/>
        <v>41</v>
      </c>
      <c r="K156">
        <f t="shared" si="66"/>
        <v>0</v>
      </c>
      <c r="L156" t="b">
        <f t="shared" si="67"/>
        <v>1</v>
      </c>
      <c r="W156" t="s">
        <v>35</v>
      </c>
      <c r="X156" t="s">
        <v>62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12</v>
      </c>
    </row>
    <row r="157" spans="1:34" x14ac:dyDescent="0.25">
      <c r="A157" t="s">
        <v>34</v>
      </c>
      <c r="B157" t="str">
        <f t="shared" si="68"/>
        <v>tsinnor</v>
      </c>
      <c r="C157">
        <f t="shared" si="65"/>
        <v>54</v>
      </c>
      <c r="D157">
        <f t="shared" si="66"/>
        <v>0</v>
      </c>
      <c r="E157">
        <f t="shared" si="66"/>
        <v>0</v>
      </c>
      <c r="F157">
        <f t="shared" si="66"/>
        <v>15</v>
      </c>
      <c r="G157">
        <f t="shared" si="66"/>
        <v>2</v>
      </c>
      <c r="H157">
        <f t="shared" si="66"/>
        <v>0</v>
      </c>
      <c r="I157">
        <f t="shared" si="66"/>
        <v>0</v>
      </c>
      <c r="J157">
        <f t="shared" si="66"/>
        <v>37</v>
      </c>
      <c r="K157">
        <f t="shared" si="66"/>
        <v>0</v>
      </c>
      <c r="L157" t="b">
        <f t="shared" si="67"/>
        <v>1</v>
      </c>
      <c r="W157" t="s">
        <v>35</v>
      </c>
      <c r="X157" t="s">
        <v>11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12</v>
      </c>
    </row>
    <row r="158" spans="1:34" x14ac:dyDescent="0.25">
      <c r="A158" t="s">
        <v>34</v>
      </c>
      <c r="B158" t="str">
        <f t="shared" si="68"/>
        <v>zaqef-gadol</v>
      </c>
      <c r="C158">
        <f t="shared" si="65"/>
        <v>73</v>
      </c>
      <c r="D158">
        <f t="shared" si="66"/>
        <v>0</v>
      </c>
      <c r="E158">
        <f t="shared" si="66"/>
        <v>0</v>
      </c>
      <c r="F158">
        <f t="shared" si="66"/>
        <v>27</v>
      </c>
      <c r="G158">
        <f t="shared" si="66"/>
        <v>1</v>
      </c>
      <c r="H158">
        <f t="shared" si="66"/>
        <v>0</v>
      </c>
      <c r="I158">
        <f t="shared" si="66"/>
        <v>16</v>
      </c>
      <c r="J158">
        <f t="shared" si="66"/>
        <v>22</v>
      </c>
      <c r="K158">
        <f t="shared" si="66"/>
        <v>7</v>
      </c>
      <c r="L158" t="b">
        <f t="shared" si="67"/>
        <v>1</v>
      </c>
      <c r="W158" t="s">
        <v>35</v>
      </c>
      <c r="X158" t="s">
        <v>5</v>
      </c>
      <c r="Y158">
        <v>24</v>
      </c>
      <c r="Z158">
        <v>0</v>
      </c>
      <c r="AA158">
        <v>0</v>
      </c>
      <c r="AB158">
        <v>10</v>
      </c>
      <c r="AC158">
        <v>0</v>
      </c>
      <c r="AD158">
        <v>0</v>
      </c>
      <c r="AE158">
        <v>3</v>
      </c>
      <c r="AF158">
        <v>11</v>
      </c>
      <c r="AG158">
        <v>0</v>
      </c>
      <c r="AH158">
        <v>12</v>
      </c>
    </row>
    <row r="159" spans="1:34" x14ac:dyDescent="0.25">
      <c r="A159" t="s">
        <v>34</v>
      </c>
      <c r="B159" t="str">
        <f t="shared" si="68"/>
        <v>telisha-gedola</v>
      </c>
      <c r="C159">
        <f t="shared" si="65"/>
        <v>76</v>
      </c>
      <c r="D159">
        <f t="shared" si="66"/>
        <v>0</v>
      </c>
      <c r="E159">
        <f t="shared" si="66"/>
        <v>0</v>
      </c>
      <c r="F159">
        <f t="shared" si="66"/>
        <v>25</v>
      </c>
      <c r="G159">
        <f t="shared" si="66"/>
        <v>0</v>
      </c>
      <c r="H159">
        <f t="shared" si="66"/>
        <v>0</v>
      </c>
      <c r="I159">
        <f t="shared" si="66"/>
        <v>18</v>
      </c>
      <c r="J159">
        <f t="shared" si="66"/>
        <v>32</v>
      </c>
      <c r="K159">
        <f t="shared" si="66"/>
        <v>1</v>
      </c>
      <c r="L159" t="b">
        <f t="shared" si="67"/>
        <v>1</v>
      </c>
      <c r="W159" t="s">
        <v>35</v>
      </c>
      <c r="X159" t="s">
        <v>22</v>
      </c>
      <c r="Y159">
        <v>25</v>
      </c>
      <c r="Z159">
        <v>0</v>
      </c>
      <c r="AA159">
        <v>0</v>
      </c>
      <c r="AB159">
        <v>3</v>
      </c>
      <c r="AC159">
        <v>0</v>
      </c>
      <c r="AD159">
        <v>0</v>
      </c>
      <c r="AE159">
        <v>0</v>
      </c>
      <c r="AF159">
        <v>22</v>
      </c>
      <c r="AG159">
        <v>0</v>
      </c>
      <c r="AH159">
        <v>12</v>
      </c>
    </row>
    <row r="160" spans="1:34" x14ac:dyDescent="0.25">
      <c r="A160" t="s">
        <v>34</v>
      </c>
      <c r="B160" t="str">
        <f t="shared" si="68"/>
        <v>tarsin</v>
      </c>
      <c r="C160">
        <f t="shared" si="65"/>
        <v>81</v>
      </c>
      <c r="D160">
        <f t="shared" si="66"/>
        <v>0</v>
      </c>
      <c r="E160">
        <f t="shared" si="66"/>
        <v>0</v>
      </c>
      <c r="F160">
        <f t="shared" si="66"/>
        <v>43</v>
      </c>
      <c r="G160">
        <f t="shared" si="66"/>
        <v>0</v>
      </c>
      <c r="H160">
        <f t="shared" si="66"/>
        <v>0</v>
      </c>
      <c r="I160">
        <f t="shared" si="66"/>
        <v>22</v>
      </c>
      <c r="J160">
        <f t="shared" si="66"/>
        <v>14</v>
      </c>
      <c r="K160">
        <f t="shared" si="66"/>
        <v>2</v>
      </c>
      <c r="L160" t="b">
        <f t="shared" si="67"/>
        <v>1</v>
      </c>
      <c r="W160" t="s">
        <v>35</v>
      </c>
      <c r="X160" t="s">
        <v>4</v>
      </c>
      <c r="Y160">
        <v>29</v>
      </c>
      <c r="Z160">
        <v>0</v>
      </c>
      <c r="AA160">
        <v>0</v>
      </c>
      <c r="AB160">
        <v>7</v>
      </c>
      <c r="AC160">
        <v>0</v>
      </c>
      <c r="AD160">
        <v>0</v>
      </c>
      <c r="AE160">
        <v>0</v>
      </c>
      <c r="AF160">
        <v>22</v>
      </c>
      <c r="AG160">
        <v>0</v>
      </c>
      <c r="AH160">
        <v>12</v>
      </c>
    </row>
    <row r="161" spans="1:34" x14ac:dyDescent="0.25">
      <c r="A161" t="s">
        <v>34</v>
      </c>
      <c r="B161" t="str">
        <f t="shared" si="68"/>
        <v>telisha-qetana</v>
      </c>
      <c r="C161">
        <f t="shared" si="65"/>
        <v>114</v>
      </c>
      <c r="D161">
        <f t="shared" si="66"/>
        <v>0</v>
      </c>
      <c r="E161">
        <f t="shared" si="66"/>
        <v>1</v>
      </c>
      <c r="F161">
        <f t="shared" si="66"/>
        <v>58</v>
      </c>
      <c r="G161">
        <f t="shared" si="66"/>
        <v>0</v>
      </c>
      <c r="H161">
        <f t="shared" si="66"/>
        <v>0</v>
      </c>
      <c r="I161">
        <f t="shared" si="66"/>
        <v>14</v>
      </c>
      <c r="J161">
        <f t="shared" si="66"/>
        <v>41</v>
      </c>
      <c r="K161">
        <f t="shared" si="66"/>
        <v>0</v>
      </c>
      <c r="L161" t="b">
        <f t="shared" si="67"/>
        <v>1</v>
      </c>
      <c r="W161" t="s">
        <v>35</v>
      </c>
      <c r="X161" t="s">
        <v>63</v>
      </c>
      <c r="Y161">
        <v>37</v>
      </c>
      <c r="Z161">
        <v>0</v>
      </c>
      <c r="AA161">
        <v>0</v>
      </c>
      <c r="AB161">
        <v>15</v>
      </c>
      <c r="AC161">
        <v>0</v>
      </c>
      <c r="AD161">
        <v>0</v>
      </c>
      <c r="AE161">
        <v>7</v>
      </c>
      <c r="AF161">
        <v>15</v>
      </c>
      <c r="AG161">
        <v>0</v>
      </c>
      <c r="AH161">
        <v>12</v>
      </c>
    </row>
    <row r="162" spans="1:34" x14ac:dyDescent="0.25">
      <c r="A162" t="s">
        <v>34</v>
      </c>
      <c r="B162" t="str">
        <f t="shared" si="68"/>
        <v>azla</v>
      </c>
      <c r="C162">
        <f t="shared" si="65"/>
        <v>236</v>
      </c>
      <c r="D162">
        <f t="shared" si="66"/>
        <v>0</v>
      </c>
      <c r="E162">
        <f t="shared" si="66"/>
        <v>0</v>
      </c>
      <c r="F162">
        <f t="shared" si="66"/>
        <v>117</v>
      </c>
      <c r="G162">
        <f t="shared" si="66"/>
        <v>0</v>
      </c>
      <c r="H162">
        <f t="shared" si="66"/>
        <v>0</v>
      </c>
      <c r="I162">
        <f t="shared" si="66"/>
        <v>47</v>
      </c>
      <c r="J162">
        <f t="shared" si="66"/>
        <v>70</v>
      </c>
      <c r="K162">
        <f t="shared" si="66"/>
        <v>2</v>
      </c>
      <c r="L162" t="b">
        <f t="shared" si="67"/>
        <v>1</v>
      </c>
      <c r="W162" t="s">
        <v>35</v>
      </c>
      <c r="X162" t="s">
        <v>64</v>
      </c>
      <c r="Y162">
        <v>56</v>
      </c>
      <c r="Z162">
        <v>0</v>
      </c>
      <c r="AA162">
        <v>0</v>
      </c>
      <c r="AB162">
        <v>23</v>
      </c>
      <c r="AC162">
        <v>0</v>
      </c>
      <c r="AD162">
        <v>0</v>
      </c>
      <c r="AE162">
        <v>10</v>
      </c>
      <c r="AF162">
        <v>22</v>
      </c>
      <c r="AG162">
        <v>1</v>
      </c>
      <c r="AH162">
        <v>12</v>
      </c>
    </row>
    <row r="163" spans="1:34" x14ac:dyDescent="0.25">
      <c r="A163" t="s">
        <v>34</v>
      </c>
      <c r="B163" t="str">
        <f t="shared" si="68"/>
        <v>qadma</v>
      </c>
      <c r="C163">
        <f t="shared" si="65"/>
        <v>371</v>
      </c>
      <c r="D163">
        <f t="shared" si="66"/>
        <v>0</v>
      </c>
      <c r="E163">
        <f t="shared" si="66"/>
        <v>1</v>
      </c>
      <c r="F163">
        <f t="shared" si="66"/>
        <v>173</v>
      </c>
      <c r="G163">
        <f t="shared" si="66"/>
        <v>0</v>
      </c>
      <c r="H163">
        <f t="shared" si="66"/>
        <v>0</v>
      </c>
      <c r="I163">
        <f t="shared" si="66"/>
        <v>77</v>
      </c>
      <c r="J163">
        <f t="shared" si="66"/>
        <v>111</v>
      </c>
      <c r="K163">
        <f t="shared" si="66"/>
        <v>9</v>
      </c>
      <c r="L163" t="b">
        <f t="shared" si="67"/>
        <v>1</v>
      </c>
      <c r="W163" t="s">
        <v>35</v>
      </c>
      <c r="X163" t="s">
        <v>65</v>
      </c>
      <c r="Y163">
        <v>62</v>
      </c>
      <c r="Z163">
        <v>0</v>
      </c>
      <c r="AA163">
        <v>0</v>
      </c>
      <c r="AB163">
        <v>22</v>
      </c>
      <c r="AC163">
        <v>0</v>
      </c>
      <c r="AD163">
        <v>0</v>
      </c>
      <c r="AE163">
        <v>22</v>
      </c>
      <c r="AF163">
        <v>13</v>
      </c>
      <c r="AG163">
        <v>5</v>
      </c>
      <c r="AH163">
        <v>12</v>
      </c>
    </row>
    <row r="164" spans="1:34" x14ac:dyDescent="0.25">
      <c r="A164" t="s">
        <v>34</v>
      </c>
      <c r="B164" t="str">
        <f t="shared" si="68"/>
        <v>revia</v>
      </c>
      <c r="C164">
        <f t="shared" si="65"/>
        <v>475</v>
      </c>
      <c r="D164">
        <f t="shared" si="66"/>
        <v>0</v>
      </c>
      <c r="E164">
        <f t="shared" si="66"/>
        <v>0</v>
      </c>
      <c r="F164">
        <f t="shared" si="66"/>
        <v>100</v>
      </c>
      <c r="G164">
        <f t="shared" si="66"/>
        <v>0</v>
      </c>
      <c r="H164">
        <f t="shared" si="66"/>
        <v>0</v>
      </c>
      <c r="I164">
        <f t="shared" si="66"/>
        <v>53</v>
      </c>
      <c r="J164">
        <f t="shared" si="66"/>
        <v>318</v>
      </c>
      <c r="K164">
        <f t="shared" si="66"/>
        <v>4</v>
      </c>
      <c r="L164" t="b">
        <f t="shared" si="67"/>
        <v>1</v>
      </c>
      <c r="W164" t="s">
        <v>35</v>
      </c>
      <c r="X164" t="s">
        <v>23</v>
      </c>
      <c r="Y164">
        <v>76</v>
      </c>
      <c r="Z164">
        <v>0</v>
      </c>
      <c r="AA164">
        <v>0</v>
      </c>
      <c r="AB164">
        <v>40</v>
      </c>
      <c r="AC164">
        <v>0</v>
      </c>
      <c r="AD164">
        <v>0</v>
      </c>
      <c r="AE164">
        <v>21</v>
      </c>
      <c r="AF164">
        <v>14</v>
      </c>
      <c r="AG164">
        <v>1</v>
      </c>
      <c r="AH164">
        <v>12</v>
      </c>
    </row>
    <row r="165" spans="1:34" x14ac:dyDescent="0.25">
      <c r="A165" t="s">
        <v>34</v>
      </c>
      <c r="B165" t="str">
        <f t="shared" si="68"/>
        <v>pashta</v>
      </c>
      <c r="C165">
        <f t="shared" si="65"/>
        <v>1087</v>
      </c>
      <c r="D165">
        <f t="shared" si="66"/>
        <v>0</v>
      </c>
      <c r="E165">
        <f t="shared" si="66"/>
        <v>0</v>
      </c>
      <c r="F165">
        <f t="shared" si="66"/>
        <v>278</v>
      </c>
      <c r="G165">
        <f t="shared" si="66"/>
        <v>26</v>
      </c>
      <c r="H165">
        <f t="shared" si="66"/>
        <v>0</v>
      </c>
      <c r="I165">
        <f t="shared" si="66"/>
        <v>80</v>
      </c>
      <c r="J165">
        <f t="shared" si="66"/>
        <v>133</v>
      </c>
      <c r="K165">
        <f t="shared" si="66"/>
        <v>570</v>
      </c>
      <c r="L165" t="b">
        <f t="shared" si="67"/>
        <v>1</v>
      </c>
      <c r="W165" t="s">
        <v>35</v>
      </c>
      <c r="X165" t="s">
        <v>8</v>
      </c>
      <c r="Y165">
        <v>138</v>
      </c>
      <c r="Z165">
        <v>0</v>
      </c>
      <c r="AA165">
        <v>0</v>
      </c>
      <c r="AB165">
        <v>76</v>
      </c>
      <c r="AC165">
        <v>0</v>
      </c>
      <c r="AD165">
        <v>0</v>
      </c>
      <c r="AE165">
        <v>28</v>
      </c>
      <c r="AF165">
        <v>34</v>
      </c>
      <c r="AG165">
        <v>0</v>
      </c>
      <c r="AH165">
        <v>12</v>
      </c>
    </row>
    <row r="166" spans="1:34" x14ac:dyDescent="0.25">
      <c r="A166" t="s">
        <v>34</v>
      </c>
      <c r="B166" t="str">
        <f t="shared" si="68"/>
        <v>zaqef-qatan</v>
      </c>
      <c r="C166">
        <f t="shared" si="65"/>
        <v>1100</v>
      </c>
      <c r="D166">
        <f t="shared" si="66"/>
        <v>0</v>
      </c>
      <c r="E166">
        <f t="shared" si="66"/>
        <v>0</v>
      </c>
      <c r="F166">
        <f t="shared" si="66"/>
        <v>119</v>
      </c>
      <c r="G166">
        <f t="shared" si="66"/>
        <v>7</v>
      </c>
      <c r="H166">
        <f t="shared" si="66"/>
        <v>0</v>
      </c>
      <c r="I166">
        <f t="shared" si="66"/>
        <v>31</v>
      </c>
      <c r="J166">
        <f t="shared" si="66"/>
        <v>743</v>
      </c>
      <c r="K166">
        <f t="shared" si="66"/>
        <v>200</v>
      </c>
      <c r="L166" t="b">
        <f t="shared" si="67"/>
        <v>1</v>
      </c>
      <c r="W166" t="s">
        <v>35</v>
      </c>
      <c r="X166" t="s">
        <v>6</v>
      </c>
      <c r="Y166">
        <v>275</v>
      </c>
      <c r="Z166">
        <v>0</v>
      </c>
      <c r="AA166">
        <v>0</v>
      </c>
      <c r="AB166">
        <v>140</v>
      </c>
      <c r="AC166">
        <v>0</v>
      </c>
      <c r="AD166">
        <v>0</v>
      </c>
      <c r="AE166">
        <v>62</v>
      </c>
      <c r="AF166">
        <v>67</v>
      </c>
      <c r="AG166">
        <v>6</v>
      </c>
      <c r="AH166">
        <v>12</v>
      </c>
    </row>
    <row r="167" spans="1:34" x14ac:dyDescent="0.25">
      <c r="D167" t="s">
        <v>60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W167" t="s">
        <v>35</v>
      </c>
      <c r="X167" t="s">
        <v>1</v>
      </c>
      <c r="Y167">
        <v>398</v>
      </c>
      <c r="Z167">
        <v>0</v>
      </c>
      <c r="AA167">
        <v>0</v>
      </c>
      <c r="AB167">
        <v>98</v>
      </c>
      <c r="AC167">
        <v>0</v>
      </c>
      <c r="AD167">
        <v>0</v>
      </c>
      <c r="AE167">
        <v>42</v>
      </c>
      <c r="AF167">
        <v>257</v>
      </c>
      <c r="AG167">
        <v>1</v>
      </c>
      <c r="AH167">
        <v>12</v>
      </c>
    </row>
    <row r="168" spans="1:34" x14ac:dyDescent="0.25">
      <c r="A168" t="s">
        <v>35</v>
      </c>
      <c r="B168" t="str">
        <f>X156</f>
        <v>pashta pashta</v>
      </c>
      <c r="C168">
        <f t="shared" ref="C168:C181" si="69">SUM(D168:K168)</f>
        <v>1</v>
      </c>
      <c r="D168">
        <f t="shared" ref="D168:K181" si="70">Z156</f>
        <v>0</v>
      </c>
      <c r="E168">
        <f t="shared" si="70"/>
        <v>0</v>
      </c>
      <c r="F168">
        <f t="shared" si="70"/>
        <v>0</v>
      </c>
      <c r="G168">
        <f t="shared" si="70"/>
        <v>0</v>
      </c>
      <c r="H168">
        <f t="shared" si="70"/>
        <v>0</v>
      </c>
      <c r="I168">
        <f t="shared" si="70"/>
        <v>0</v>
      </c>
      <c r="J168">
        <f t="shared" si="70"/>
        <v>0</v>
      </c>
      <c r="K168">
        <f t="shared" si="70"/>
        <v>1</v>
      </c>
      <c r="L168" t="b">
        <f t="shared" ref="L168:L181" si="71">SUM(D168:K168)=Y156</f>
        <v>1</v>
      </c>
      <c r="W168" t="s">
        <v>35</v>
      </c>
      <c r="X168" t="s">
        <v>24</v>
      </c>
      <c r="Y168">
        <v>1761</v>
      </c>
      <c r="Z168">
        <v>0</v>
      </c>
      <c r="AA168">
        <v>0</v>
      </c>
      <c r="AB168">
        <v>374</v>
      </c>
      <c r="AC168">
        <v>54</v>
      </c>
      <c r="AD168">
        <v>0</v>
      </c>
      <c r="AE168">
        <v>214</v>
      </c>
      <c r="AF168">
        <v>140</v>
      </c>
      <c r="AG168">
        <v>979</v>
      </c>
      <c r="AH168">
        <v>12</v>
      </c>
    </row>
    <row r="169" spans="1:34" x14ac:dyDescent="0.25">
      <c r="A169" t="s">
        <v>35</v>
      </c>
      <c r="B169" t="str">
        <f t="shared" ref="B169:B181" si="72">X157</f>
        <v>shalshelet</v>
      </c>
      <c r="C169">
        <f t="shared" si="69"/>
        <v>1</v>
      </c>
      <c r="D169">
        <f t="shared" si="70"/>
        <v>0</v>
      </c>
      <c r="E169">
        <f t="shared" si="70"/>
        <v>0</v>
      </c>
      <c r="F169">
        <f t="shared" si="70"/>
        <v>1</v>
      </c>
      <c r="G169">
        <f t="shared" si="70"/>
        <v>0</v>
      </c>
      <c r="H169">
        <f t="shared" si="70"/>
        <v>0</v>
      </c>
      <c r="I169">
        <f t="shared" si="70"/>
        <v>0</v>
      </c>
      <c r="J169">
        <f t="shared" si="70"/>
        <v>0</v>
      </c>
      <c r="K169">
        <f t="shared" si="70"/>
        <v>0</v>
      </c>
      <c r="L169" t="b">
        <f t="shared" si="71"/>
        <v>1</v>
      </c>
      <c r="W169" t="s">
        <v>35</v>
      </c>
      <c r="X169" t="s">
        <v>66</v>
      </c>
      <c r="Y169">
        <v>1774</v>
      </c>
      <c r="Z169">
        <v>0</v>
      </c>
      <c r="AA169">
        <v>0</v>
      </c>
      <c r="AB169">
        <v>204</v>
      </c>
      <c r="AC169">
        <v>27</v>
      </c>
      <c r="AD169">
        <v>0</v>
      </c>
      <c r="AE169">
        <v>42</v>
      </c>
      <c r="AF169">
        <v>1058</v>
      </c>
      <c r="AG169">
        <v>443</v>
      </c>
      <c r="AH169">
        <v>12</v>
      </c>
    </row>
    <row r="170" spans="1:34" x14ac:dyDescent="0.25">
      <c r="A170" t="s">
        <v>35</v>
      </c>
      <c r="B170" t="str">
        <f t="shared" si="72"/>
        <v>pazer</v>
      </c>
      <c r="C170">
        <f t="shared" si="69"/>
        <v>24</v>
      </c>
      <c r="D170">
        <f t="shared" si="70"/>
        <v>0</v>
      </c>
      <c r="E170">
        <f t="shared" si="70"/>
        <v>0</v>
      </c>
      <c r="F170">
        <f t="shared" si="70"/>
        <v>10</v>
      </c>
      <c r="G170">
        <f t="shared" si="70"/>
        <v>0</v>
      </c>
      <c r="H170">
        <f t="shared" si="70"/>
        <v>0</v>
      </c>
      <c r="I170">
        <f t="shared" si="70"/>
        <v>3</v>
      </c>
      <c r="J170">
        <f t="shared" si="70"/>
        <v>11</v>
      </c>
      <c r="K170">
        <f t="shared" si="70"/>
        <v>0</v>
      </c>
      <c r="L170" t="b">
        <f t="shared" si="71"/>
        <v>1</v>
      </c>
      <c r="W170" t="s">
        <v>36</v>
      </c>
      <c r="X170" t="s">
        <v>72</v>
      </c>
      <c r="Y170">
        <v>2</v>
      </c>
      <c r="Z170">
        <v>0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13</v>
      </c>
    </row>
    <row r="171" spans="1:34" x14ac:dyDescent="0.25">
      <c r="A171" t="s">
        <v>35</v>
      </c>
      <c r="B171" t="str">
        <f t="shared" si="72"/>
        <v>segol</v>
      </c>
      <c r="C171">
        <f t="shared" si="69"/>
        <v>25</v>
      </c>
      <c r="D171">
        <f t="shared" si="70"/>
        <v>0</v>
      </c>
      <c r="E171">
        <f t="shared" si="70"/>
        <v>0</v>
      </c>
      <c r="F171">
        <f t="shared" si="70"/>
        <v>3</v>
      </c>
      <c r="G171">
        <f t="shared" si="70"/>
        <v>0</v>
      </c>
      <c r="H171">
        <f t="shared" si="70"/>
        <v>0</v>
      </c>
      <c r="I171">
        <f t="shared" si="70"/>
        <v>0</v>
      </c>
      <c r="J171">
        <f t="shared" si="70"/>
        <v>22</v>
      </c>
      <c r="K171">
        <f t="shared" si="70"/>
        <v>0</v>
      </c>
      <c r="L171" t="b">
        <f t="shared" si="71"/>
        <v>1</v>
      </c>
      <c r="W171" t="s">
        <v>36</v>
      </c>
      <c r="X171" t="s">
        <v>22</v>
      </c>
      <c r="Y171">
        <v>63</v>
      </c>
      <c r="Z171">
        <v>0</v>
      </c>
      <c r="AA171">
        <v>0</v>
      </c>
      <c r="AB171">
        <v>8</v>
      </c>
      <c r="AC171">
        <v>1</v>
      </c>
      <c r="AD171">
        <v>0</v>
      </c>
      <c r="AE171">
        <v>0</v>
      </c>
      <c r="AF171">
        <v>54</v>
      </c>
      <c r="AG171">
        <v>0</v>
      </c>
      <c r="AH171">
        <v>13</v>
      </c>
    </row>
    <row r="172" spans="1:34" x14ac:dyDescent="0.25">
      <c r="A172" t="s">
        <v>35</v>
      </c>
      <c r="B172" t="str">
        <f t="shared" si="72"/>
        <v>tsinnor</v>
      </c>
      <c r="C172">
        <f t="shared" si="69"/>
        <v>29</v>
      </c>
      <c r="D172">
        <f t="shared" si="70"/>
        <v>0</v>
      </c>
      <c r="E172">
        <f t="shared" si="70"/>
        <v>0</v>
      </c>
      <c r="F172">
        <f t="shared" si="70"/>
        <v>7</v>
      </c>
      <c r="G172">
        <f t="shared" si="70"/>
        <v>0</v>
      </c>
      <c r="H172">
        <f t="shared" si="70"/>
        <v>0</v>
      </c>
      <c r="I172">
        <f t="shared" si="70"/>
        <v>0</v>
      </c>
      <c r="J172">
        <f t="shared" si="70"/>
        <v>22</v>
      </c>
      <c r="K172">
        <f t="shared" si="70"/>
        <v>0</v>
      </c>
      <c r="L172" t="b">
        <f t="shared" si="71"/>
        <v>1</v>
      </c>
      <c r="W172" t="s">
        <v>36</v>
      </c>
      <c r="X172" t="s">
        <v>4</v>
      </c>
      <c r="Y172">
        <v>65</v>
      </c>
      <c r="Z172">
        <v>0</v>
      </c>
      <c r="AA172">
        <v>0</v>
      </c>
      <c r="AB172">
        <v>18</v>
      </c>
      <c r="AC172">
        <v>3</v>
      </c>
      <c r="AD172">
        <v>0</v>
      </c>
      <c r="AE172">
        <v>0</v>
      </c>
      <c r="AF172">
        <v>44</v>
      </c>
      <c r="AG172">
        <v>0</v>
      </c>
      <c r="AH172">
        <v>13</v>
      </c>
    </row>
    <row r="173" spans="1:34" x14ac:dyDescent="0.25">
      <c r="A173" t="s">
        <v>35</v>
      </c>
      <c r="B173" t="str">
        <f t="shared" si="72"/>
        <v>telisha-gedola</v>
      </c>
      <c r="C173">
        <f t="shared" si="69"/>
        <v>37</v>
      </c>
      <c r="D173">
        <f t="shared" si="70"/>
        <v>0</v>
      </c>
      <c r="E173">
        <f t="shared" si="70"/>
        <v>0</v>
      </c>
      <c r="F173">
        <f t="shared" si="70"/>
        <v>15</v>
      </c>
      <c r="G173">
        <f t="shared" si="70"/>
        <v>0</v>
      </c>
      <c r="H173">
        <f t="shared" si="70"/>
        <v>0</v>
      </c>
      <c r="I173">
        <f t="shared" si="70"/>
        <v>7</v>
      </c>
      <c r="J173">
        <f t="shared" si="70"/>
        <v>15</v>
      </c>
      <c r="K173">
        <f t="shared" si="70"/>
        <v>0</v>
      </c>
      <c r="L173" t="b">
        <f t="shared" si="71"/>
        <v>1</v>
      </c>
      <c r="W173" t="s">
        <v>36</v>
      </c>
      <c r="X173" t="s">
        <v>5</v>
      </c>
      <c r="Y173">
        <v>71</v>
      </c>
      <c r="Z173">
        <v>0</v>
      </c>
      <c r="AA173">
        <v>0</v>
      </c>
      <c r="AB173">
        <v>26</v>
      </c>
      <c r="AC173">
        <v>0</v>
      </c>
      <c r="AD173">
        <v>0</v>
      </c>
      <c r="AE173">
        <v>9</v>
      </c>
      <c r="AF173">
        <v>36</v>
      </c>
      <c r="AG173">
        <v>0</v>
      </c>
      <c r="AH173">
        <v>13</v>
      </c>
    </row>
    <row r="174" spans="1:34" x14ac:dyDescent="0.25">
      <c r="A174" t="s">
        <v>35</v>
      </c>
      <c r="B174" t="str">
        <f t="shared" si="72"/>
        <v>telisha-qetana</v>
      </c>
      <c r="C174">
        <f t="shared" si="69"/>
        <v>56</v>
      </c>
      <c r="D174">
        <f t="shared" si="70"/>
        <v>0</v>
      </c>
      <c r="E174">
        <f t="shared" si="70"/>
        <v>0</v>
      </c>
      <c r="F174">
        <f t="shared" si="70"/>
        <v>23</v>
      </c>
      <c r="G174">
        <f t="shared" si="70"/>
        <v>0</v>
      </c>
      <c r="H174">
        <f t="shared" si="70"/>
        <v>0</v>
      </c>
      <c r="I174">
        <f t="shared" si="70"/>
        <v>10</v>
      </c>
      <c r="J174">
        <f t="shared" si="70"/>
        <v>22</v>
      </c>
      <c r="K174">
        <f t="shared" si="70"/>
        <v>1</v>
      </c>
      <c r="L174" t="b">
        <f t="shared" si="71"/>
        <v>1</v>
      </c>
      <c r="W174" t="s">
        <v>36</v>
      </c>
      <c r="X174" t="s">
        <v>63</v>
      </c>
      <c r="Y174">
        <v>97</v>
      </c>
      <c r="Z174">
        <v>0</v>
      </c>
      <c r="AA174">
        <v>0</v>
      </c>
      <c r="AB174">
        <v>38</v>
      </c>
      <c r="AC174">
        <v>0</v>
      </c>
      <c r="AD174">
        <v>0</v>
      </c>
      <c r="AE174">
        <v>10</v>
      </c>
      <c r="AF174">
        <v>46</v>
      </c>
      <c r="AG174">
        <v>3</v>
      </c>
      <c r="AH174">
        <v>13</v>
      </c>
    </row>
    <row r="175" spans="1:34" x14ac:dyDescent="0.25">
      <c r="A175" t="s">
        <v>35</v>
      </c>
      <c r="B175" t="str">
        <f t="shared" si="72"/>
        <v>zaqef-gadol</v>
      </c>
      <c r="C175">
        <f t="shared" si="69"/>
        <v>62</v>
      </c>
      <c r="D175">
        <f t="shared" si="70"/>
        <v>0</v>
      </c>
      <c r="E175">
        <f t="shared" si="70"/>
        <v>0</v>
      </c>
      <c r="F175">
        <f t="shared" si="70"/>
        <v>22</v>
      </c>
      <c r="G175">
        <f t="shared" si="70"/>
        <v>0</v>
      </c>
      <c r="H175">
        <f t="shared" si="70"/>
        <v>0</v>
      </c>
      <c r="I175">
        <f t="shared" si="70"/>
        <v>22</v>
      </c>
      <c r="J175">
        <f t="shared" si="70"/>
        <v>13</v>
      </c>
      <c r="K175">
        <f t="shared" si="70"/>
        <v>5</v>
      </c>
      <c r="L175" t="b">
        <f t="shared" si="71"/>
        <v>1</v>
      </c>
      <c r="W175" t="s">
        <v>36</v>
      </c>
      <c r="X175" t="s">
        <v>65</v>
      </c>
      <c r="Y175">
        <v>104</v>
      </c>
      <c r="Z175">
        <v>0</v>
      </c>
      <c r="AA175">
        <v>0</v>
      </c>
      <c r="AB175">
        <v>33</v>
      </c>
      <c r="AC175">
        <v>1</v>
      </c>
      <c r="AD175">
        <v>0</v>
      </c>
      <c r="AE175">
        <v>30</v>
      </c>
      <c r="AF175">
        <v>33</v>
      </c>
      <c r="AG175">
        <v>7</v>
      </c>
      <c r="AH175">
        <v>13</v>
      </c>
    </row>
    <row r="176" spans="1:34" x14ac:dyDescent="0.25">
      <c r="A176" t="s">
        <v>35</v>
      </c>
      <c r="B176" t="str">
        <f t="shared" si="72"/>
        <v>tarsin</v>
      </c>
      <c r="C176">
        <f t="shared" si="69"/>
        <v>76</v>
      </c>
      <c r="D176">
        <f t="shared" si="70"/>
        <v>0</v>
      </c>
      <c r="E176">
        <f t="shared" si="70"/>
        <v>0</v>
      </c>
      <c r="F176">
        <f t="shared" si="70"/>
        <v>40</v>
      </c>
      <c r="G176">
        <f t="shared" si="70"/>
        <v>0</v>
      </c>
      <c r="H176">
        <f t="shared" si="70"/>
        <v>0</v>
      </c>
      <c r="I176">
        <f t="shared" si="70"/>
        <v>21</v>
      </c>
      <c r="J176">
        <f t="shared" si="70"/>
        <v>14</v>
      </c>
      <c r="K176">
        <f t="shared" si="70"/>
        <v>1</v>
      </c>
      <c r="L176" t="b">
        <f t="shared" si="71"/>
        <v>1</v>
      </c>
      <c r="W176" t="s">
        <v>36</v>
      </c>
      <c r="X176" t="s">
        <v>64</v>
      </c>
      <c r="Y176">
        <v>178</v>
      </c>
      <c r="Z176">
        <v>0</v>
      </c>
      <c r="AA176">
        <v>0</v>
      </c>
      <c r="AB176">
        <v>89</v>
      </c>
      <c r="AC176">
        <v>0</v>
      </c>
      <c r="AD176">
        <v>0</v>
      </c>
      <c r="AE176">
        <v>34</v>
      </c>
      <c r="AF176">
        <v>53</v>
      </c>
      <c r="AG176">
        <v>2</v>
      </c>
      <c r="AH176">
        <v>13</v>
      </c>
    </row>
    <row r="177" spans="1:34" x14ac:dyDescent="0.25">
      <c r="A177" t="s">
        <v>35</v>
      </c>
      <c r="B177" t="str">
        <f t="shared" si="72"/>
        <v>azla</v>
      </c>
      <c r="C177">
        <f t="shared" si="69"/>
        <v>138</v>
      </c>
      <c r="D177">
        <f t="shared" si="70"/>
        <v>0</v>
      </c>
      <c r="E177">
        <f t="shared" si="70"/>
        <v>0</v>
      </c>
      <c r="F177">
        <f t="shared" si="70"/>
        <v>76</v>
      </c>
      <c r="G177">
        <f t="shared" si="70"/>
        <v>0</v>
      </c>
      <c r="H177">
        <f t="shared" si="70"/>
        <v>0</v>
      </c>
      <c r="I177">
        <f t="shared" si="70"/>
        <v>28</v>
      </c>
      <c r="J177">
        <f t="shared" si="70"/>
        <v>34</v>
      </c>
      <c r="K177">
        <f t="shared" si="70"/>
        <v>0</v>
      </c>
      <c r="L177" t="b">
        <f t="shared" si="71"/>
        <v>1</v>
      </c>
      <c r="W177" t="s">
        <v>36</v>
      </c>
      <c r="X177" t="s">
        <v>23</v>
      </c>
      <c r="Y177">
        <v>184</v>
      </c>
      <c r="Z177">
        <v>0</v>
      </c>
      <c r="AA177">
        <v>0</v>
      </c>
      <c r="AB177">
        <v>110</v>
      </c>
      <c r="AC177">
        <v>0</v>
      </c>
      <c r="AD177">
        <v>0</v>
      </c>
      <c r="AE177">
        <v>26</v>
      </c>
      <c r="AF177">
        <v>45</v>
      </c>
      <c r="AG177">
        <v>3</v>
      </c>
      <c r="AH177">
        <v>13</v>
      </c>
    </row>
    <row r="178" spans="1:34" x14ac:dyDescent="0.25">
      <c r="A178" t="s">
        <v>35</v>
      </c>
      <c r="B178" t="str">
        <f t="shared" si="72"/>
        <v>qadma</v>
      </c>
      <c r="C178">
        <f t="shared" si="69"/>
        <v>275</v>
      </c>
      <c r="D178">
        <f t="shared" si="70"/>
        <v>0</v>
      </c>
      <c r="E178">
        <f t="shared" si="70"/>
        <v>0</v>
      </c>
      <c r="F178">
        <f t="shared" si="70"/>
        <v>140</v>
      </c>
      <c r="G178">
        <f t="shared" si="70"/>
        <v>0</v>
      </c>
      <c r="H178">
        <f t="shared" si="70"/>
        <v>0</v>
      </c>
      <c r="I178">
        <f t="shared" si="70"/>
        <v>62</v>
      </c>
      <c r="J178">
        <f t="shared" si="70"/>
        <v>67</v>
      </c>
      <c r="K178">
        <f t="shared" si="70"/>
        <v>6</v>
      </c>
      <c r="L178" t="b">
        <f t="shared" si="71"/>
        <v>1</v>
      </c>
      <c r="W178" t="s">
        <v>36</v>
      </c>
      <c r="X178" t="s">
        <v>8</v>
      </c>
      <c r="Y178">
        <v>368</v>
      </c>
      <c r="Z178">
        <v>0</v>
      </c>
      <c r="AA178">
        <v>1</v>
      </c>
      <c r="AB178">
        <v>190</v>
      </c>
      <c r="AC178">
        <v>0</v>
      </c>
      <c r="AD178">
        <v>0</v>
      </c>
      <c r="AE178">
        <v>68</v>
      </c>
      <c r="AF178">
        <v>108</v>
      </c>
      <c r="AG178">
        <v>1</v>
      </c>
      <c r="AH178">
        <v>13</v>
      </c>
    </row>
    <row r="179" spans="1:34" x14ac:dyDescent="0.25">
      <c r="A179" t="s">
        <v>35</v>
      </c>
      <c r="B179" t="str">
        <f t="shared" si="72"/>
        <v>revia</v>
      </c>
      <c r="C179">
        <f t="shared" si="69"/>
        <v>398</v>
      </c>
      <c r="D179">
        <f t="shared" si="70"/>
        <v>0</v>
      </c>
      <c r="E179">
        <f t="shared" si="70"/>
        <v>0</v>
      </c>
      <c r="F179">
        <f t="shared" si="70"/>
        <v>98</v>
      </c>
      <c r="G179">
        <f t="shared" si="70"/>
        <v>0</v>
      </c>
      <c r="H179">
        <f t="shared" si="70"/>
        <v>0</v>
      </c>
      <c r="I179">
        <f t="shared" si="70"/>
        <v>42</v>
      </c>
      <c r="J179">
        <f t="shared" si="70"/>
        <v>257</v>
      </c>
      <c r="K179">
        <f t="shared" si="70"/>
        <v>1</v>
      </c>
      <c r="L179" t="b">
        <f t="shared" si="71"/>
        <v>1</v>
      </c>
      <c r="W179" t="s">
        <v>36</v>
      </c>
      <c r="X179" t="s">
        <v>6</v>
      </c>
      <c r="Y179">
        <v>589</v>
      </c>
      <c r="Z179">
        <v>0</v>
      </c>
      <c r="AA179">
        <v>1</v>
      </c>
      <c r="AB179">
        <v>278</v>
      </c>
      <c r="AC179">
        <v>0</v>
      </c>
      <c r="AD179">
        <v>0</v>
      </c>
      <c r="AE179">
        <v>117</v>
      </c>
      <c r="AF179">
        <v>175</v>
      </c>
      <c r="AG179">
        <v>18</v>
      </c>
      <c r="AH179">
        <v>13</v>
      </c>
    </row>
    <row r="180" spans="1:34" x14ac:dyDescent="0.25">
      <c r="A180" t="s">
        <v>35</v>
      </c>
      <c r="B180" t="str">
        <f t="shared" si="72"/>
        <v>pashta</v>
      </c>
      <c r="C180">
        <f t="shared" si="69"/>
        <v>1761</v>
      </c>
      <c r="D180">
        <f t="shared" si="70"/>
        <v>0</v>
      </c>
      <c r="E180">
        <f t="shared" si="70"/>
        <v>0</v>
      </c>
      <c r="F180">
        <f t="shared" si="70"/>
        <v>374</v>
      </c>
      <c r="G180">
        <f t="shared" si="70"/>
        <v>54</v>
      </c>
      <c r="H180">
        <f t="shared" si="70"/>
        <v>0</v>
      </c>
      <c r="I180">
        <f t="shared" si="70"/>
        <v>214</v>
      </c>
      <c r="J180">
        <f t="shared" si="70"/>
        <v>140</v>
      </c>
      <c r="K180">
        <f t="shared" si="70"/>
        <v>979</v>
      </c>
      <c r="L180" t="b">
        <f t="shared" si="71"/>
        <v>1</v>
      </c>
      <c r="W180" t="s">
        <v>36</v>
      </c>
      <c r="X180" t="s">
        <v>1</v>
      </c>
      <c r="Y180">
        <v>738</v>
      </c>
      <c r="Z180">
        <v>0</v>
      </c>
      <c r="AA180">
        <v>0</v>
      </c>
      <c r="AB180">
        <v>193</v>
      </c>
      <c r="AC180">
        <v>2</v>
      </c>
      <c r="AD180">
        <v>0</v>
      </c>
      <c r="AE180">
        <v>71</v>
      </c>
      <c r="AF180">
        <v>465</v>
      </c>
      <c r="AG180">
        <v>7</v>
      </c>
      <c r="AH180">
        <v>13</v>
      </c>
    </row>
    <row r="181" spans="1:34" x14ac:dyDescent="0.25">
      <c r="A181" t="s">
        <v>35</v>
      </c>
      <c r="B181" t="str">
        <f t="shared" si="72"/>
        <v>zaqef-qatan</v>
      </c>
      <c r="C181">
        <f t="shared" si="69"/>
        <v>1774</v>
      </c>
      <c r="D181">
        <f t="shared" si="70"/>
        <v>0</v>
      </c>
      <c r="E181">
        <f t="shared" si="70"/>
        <v>0</v>
      </c>
      <c r="F181">
        <f t="shared" si="70"/>
        <v>204</v>
      </c>
      <c r="G181">
        <f t="shared" si="70"/>
        <v>27</v>
      </c>
      <c r="H181">
        <f t="shared" si="70"/>
        <v>0</v>
      </c>
      <c r="I181">
        <f t="shared" si="70"/>
        <v>42</v>
      </c>
      <c r="J181">
        <f t="shared" si="70"/>
        <v>1058</v>
      </c>
      <c r="K181">
        <f t="shared" si="70"/>
        <v>443</v>
      </c>
      <c r="L181" t="b">
        <f t="shared" si="71"/>
        <v>1</v>
      </c>
      <c r="W181" t="s">
        <v>36</v>
      </c>
      <c r="X181" t="s">
        <v>24</v>
      </c>
      <c r="Y181">
        <v>1985</v>
      </c>
      <c r="Z181">
        <v>0</v>
      </c>
      <c r="AA181">
        <v>0</v>
      </c>
      <c r="AB181">
        <v>498</v>
      </c>
      <c r="AC181">
        <v>57</v>
      </c>
      <c r="AD181">
        <v>0</v>
      </c>
      <c r="AE181">
        <v>175</v>
      </c>
      <c r="AF181">
        <v>213</v>
      </c>
      <c r="AG181">
        <v>1042</v>
      </c>
      <c r="AH181">
        <v>13</v>
      </c>
    </row>
    <row r="182" spans="1:34" x14ac:dyDescent="0.25">
      <c r="D182" t="s">
        <v>60</v>
      </c>
      <c r="E182" t="s">
        <v>14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W182" t="s">
        <v>36</v>
      </c>
      <c r="X182" t="s">
        <v>66</v>
      </c>
      <c r="Y182">
        <v>2051</v>
      </c>
      <c r="Z182">
        <v>0</v>
      </c>
      <c r="AA182">
        <v>0</v>
      </c>
      <c r="AB182">
        <v>251</v>
      </c>
      <c r="AC182">
        <v>28</v>
      </c>
      <c r="AD182">
        <v>0</v>
      </c>
      <c r="AE182">
        <v>43</v>
      </c>
      <c r="AF182">
        <v>1288</v>
      </c>
      <c r="AG182">
        <v>441</v>
      </c>
      <c r="AH182">
        <v>13</v>
      </c>
    </row>
    <row r="183" spans="1:34" x14ac:dyDescent="0.25">
      <c r="A183" t="s">
        <v>36</v>
      </c>
      <c r="B183" t="str">
        <f>X170</f>
        <v>qarne-farah</v>
      </c>
      <c r="C183">
        <f t="shared" ref="C183:C195" si="73">SUM(D183:K183)</f>
        <v>2</v>
      </c>
      <c r="D183">
        <f t="shared" ref="D183:K195" si="74">Z170</f>
        <v>0</v>
      </c>
      <c r="E183">
        <f t="shared" si="74"/>
        <v>2</v>
      </c>
      <c r="F183">
        <f t="shared" si="74"/>
        <v>0</v>
      </c>
      <c r="G183">
        <f t="shared" si="74"/>
        <v>0</v>
      </c>
      <c r="H183">
        <f t="shared" si="74"/>
        <v>0</v>
      </c>
      <c r="I183">
        <f t="shared" si="74"/>
        <v>0</v>
      </c>
      <c r="J183">
        <f t="shared" si="74"/>
        <v>0</v>
      </c>
      <c r="K183">
        <f t="shared" si="74"/>
        <v>0</v>
      </c>
      <c r="L183" t="b">
        <f t="shared" ref="L183:L195" si="75">SUM(D183:K183)=Y170</f>
        <v>1</v>
      </c>
      <c r="W183" t="s">
        <v>37</v>
      </c>
      <c r="X183" t="s">
        <v>72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14</v>
      </c>
    </row>
    <row r="184" spans="1:34" x14ac:dyDescent="0.25">
      <c r="A184" t="s">
        <v>36</v>
      </c>
      <c r="B184" t="str">
        <f t="shared" ref="B184:B195" si="76">X171</f>
        <v>segol</v>
      </c>
      <c r="C184">
        <f t="shared" si="73"/>
        <v>63</v>
      </c>
      <c r="D184">
        <f t="shared" si="74"/>
        <v>0</v>
      </c>
      <c r="E184">
        <f t="shared" si="74"/>
        <v>0</v>
      </c>
      <c r="F184">
        <f t="shared" si="74"/>
        <v>8</v>
      </c>
      <c r="G184">
        <f t="shared" si="74"/>
        <v>1</v>
      </c>
      <c r="H184">
        <f t="shared" si="74"/>
        <v>0</v>
      </c>
      <c r="I184">
        <f t="shared" si="74"/>
        <v>0</v>
      </c>
      <c r="J184">
        <f t="shared" si="74"/>
        <v>54</v>
      </c>
      <c r="K184">
        <f t="shared" si="74"/>
        <v>0</v>
      </c>
      <c r="L184" t="b">
        <f t="shared" si="75"/>
        <v>1</v>
      </c>
      <c r="W184" t="s">
        <v>37</v>
      </c>
      <c r="X184" t="s">
        <v>5</v>
      </c>
      <c r="Y184">
        <v>63</v>
      </c>
      <c r="Z184">
        <v>0</v>
      </c>
      <c r="AA184">
        <v>0</v>
      </c>
      <c r="AB184">
        <v>25</v>
      </c>
      <c r="AC184">
        <v>0</v>
      </c>
      <c r="AD184">
        <v>0</v>
      </c>
      <c r="AE184">
        <v>3</v>
      </c>
      <c r="AF184">
        <v>35</v>
      </c>
      <c r="AG184">
        <v>0</v>
      </c>
      <c r="AH184">
        <v>14</v>
      </c>
    </row>
    <row r="185" spans="1:34" x14ac:dyDescent="0.25">
      <c r="A185" t="s">
        <v>36</v>
      </c>
      <c r="B185" t="str">
        <f t="shared" si="76"/>
        <v>tsinnor</v>
      </c>
      <c r="C185">
        <f t="shared" si="73"/>
        <v>65</v>
      </c>
      <c r="D185">
        <f t="shared" si="74"/>
        <v>0</v>
      </c>
      <c r="E185">
        <f t="shared" si="74"/>
        <v>0</v>
      </c>
      <c r="F185">
        <f t="shared" si="74"/>
        <v>18</v>
      </c>
      <c r="G185">
        <f t="shared" si="74"/>
        <v>3</v>
      </c>
      <c r="H185">
        <f t="shared" si="74"/>
        <v>0</v>
      </c>
      <c r="I185">
        <f t="shared" si="74"/>
        <v>0</v>
      </c>
      <c r="J185">
        <f t="shared" si="74"/>
        <v>44</v>
      </c>
      <c r="K185">
        <f t="shared" si="74"/>
        <v>0</v>
      </c>
      <c r="L185" t="b">
        <f t="shared" si="75"/>
        <v>1</v>
      </c>
      <c r="W185" t="s">
        <v>37</v>
      </c>
      <c r="X185" t="s">
        <v>63</v>
      </c>
      <c r="Y185">
        <v>68</v>
      </c>
      <c r="Z185">
        <v>0</v>
      </c>
      <c r="AA185">
        <v>0</v>
      </c>
      <c r="AB185">
        <v>22</v>
      </c>
      <c r="AC185">
        <v>0</v>
      </c>
      <c r="AD185">
        <v>0</v>
      </c>
      <c r="AE185">
        <v>9</v>
      </c>
      <c r="AF185">
        <v>37</v>
      </c>
      <c r="AG185">
        <v>0</v>
      </c>
      <c r="AH185">
        <v>14</v>
      </c>
    </row>
    <row r="186" spans="1:34" x14ac:dyDescent="0.25">
      <c r="A186" t="s">
        <v>36</v>
      </c>
      <c r="B186" t="str">
        <f t="shared" si="76"/>
        <v>pazer</v>
      </c>
      <c r="C186">
        <f t="shared" si="73"/>
        <v>71</v>
      </c>
      <c r="D186">
        <f t="shared" si="74"/>
        <v>0</v>
      </c>
      <c r="E186">
        <f t="shared" si="74"/>
        <v>0</v>
      </c>
      <c r="F186">
        <f t="shared" si="74"/>
        <v>26</v>
      </c>
      <c r="G186">
        <f t="shared" si="74"/>
        <v>0</v>
      </c>
      <c r="H186">
        <f t="shared" si="74"/>
        <v>0</v>
      </c>
      <c r="I186">
        <f t="shared" si="74"/>
        <v>9</v>
      </c>
      <c r="J186">
        <f t="shared" si="74"/>
        <v>36</v>
      </c>
      <c r="K186">
        <f t="shared" si="74"/>
        <v>0</v>
      </c>
      <c r="L186" t="b">
        <f t="shared" si="75"/>
        <v>1</v>
      </c>
      <c r="W186" t="s">
        <v>37</v>
      </c>
      <c r="X186" t="s">
        <v>22</v>
      </c>
      <c r="Y186">
        <v>70</v>
      </c>
      <c r="Z186">
        <v>0</v>
      </c>
      <c r="AA186">
        <v>0</v>
      </c>
      <c r="AB186">
        <v>6</v>
      </c>
      <c r="AC186">
        <v>1</v>
      </c>
      <c r="AD186">
        <v>0</v>
      </c>
      <c r="AE186">
        <v>0</v>
      </c>
      <c r="AF186">
        <v>63</v>
      </c>
      <c r="AG186">
        <v>0</v>
      </c>
      <c r="AH186">
        <v>14</v>
      </c>
    </row>
    <row r="187" spans="1:34" x14ac:dyDescent="0.25">
      <c r="A187" t="s">
        <v>36</v>
      </c>
      <c r="B187" t="str">
        <f t="shared" si="76"/>
        <v>telisha-gedola</v>
      </c>
      <c r="C187">
        <f t="shared" si="73"/>
        <v>97</v>
      </c>
      <c r="D187">
        <f t="shared" si="74"/>
        <v>0</v>
      </c>
      <c r="E187">
        <f t="shared" si="74"/>
        <v>0</v>
      </c>
      <c r="F187">
        <f t="shared" si="74"/>
        <v>38</v>
      </c>
      <c r="G187">
        <f t="shared" si="74"/>
        <v>0</v>
      </c>
      <c r="H187">
        <f t="shared" si="74"/>
        <v>0</v>
      </c>
      <c r="I187">
        <f t="shared" si="74"/>
        <v>10</v>
      </c>
      <c r="J187">
        <f t="shared" si="74"/>
        <v>46</v>
      </c>
      <c r="K187">
        <f t="shared" si="74"/>
        <v>3</v>
      </c>
      <c r="L187" t="b">
        <f t="shared" si="75"/>
        <v>1</v>
      </c>
      <c r="W187" t="s">
        <v>37</v>
      </c>
      <c r="X187" t="s">
        <v>4</v>
      </c>
      <c r="Y187">
        <v>70</v>
      </c>
      <c r="Z187">
        <v>0</v>
      </c>
      <c r="AA187">
        <v>0</v>
      </c>
      <c r="AB187">
        <v>25</v>
      </c>
      <c r="AC187">
        <v>2</v>
      </c>
      <c r="AD187">
        <v>0</v>
      </c>
      <c r="AE187">
        <v>0</v>
      </c>
      <c r="AF187">
        <v>43</v>
      </c>
      <c r="AG187">
        <v>0</v>
      </c>
      <c r="AH187">
        <v>14</v>
      </c>
    </row>
    <row r="188" spans="1:34" x14ac:dyDescent="0.25">
      <c r="A188" t="s">
        <v>36</v>
      </c>
      <c r="B188" t="str">
        <f t="shared" si="76"/>
        <v>zaqef-gadol</v>
      </c>
      <c r="C188">
        <f t="shared" si="73"/>
        <v>104</v>
      </c>
      <c r="D188">
        <f t="shared" si="74"/>
        <v>0</v>
      </c>
      <c r="E188">
        <f t="shared" si="74"/>
        <v>0</v>
      </c>
      <c r="F188">
        <f t="shared" si="74"/>
        <v>33</v>
      </c>
      <c r="G188">
        <f t="shared" si="74"/>
        <v>1</v>
      </c>
      <c r="H188">
        <f t="shared" si="74"/>
        <v>0</v>
      </c>
      <c r="I188">
        <f t="shared" si="74"/>
        <v>30</v>
      </c>
      <c r="J188">
        <f t="shared" si="74"/>
        <v>33</v>
      </c>
      <c r="K188">
        <f t="shared" si="74"/>
        <v>7</v>
      </c>
      <c r="L188" t="b">
        <f t="shared" si="75"/>
        <v>1</v>
      </c>
      <c r="W188" t="s">
        <v>37</v>
      </c>
      <c r="X188" t="s">
        <v>23</v>
      </c>
      <c r="Y188">
        <v>106</v>
      </c>
      <c r="Z188">
        <v>0</v>
      </c>
      <c r="AA188">
        <v>0</v>
      </c>
      <c r="AB188">
        <v>65</v>
      </c>
      <c r="AC188">
        <v>0</v>
      </c>
      <c r="AD188">
        <v>0</v>
      </c>
      <c r="AE188">
        <v>20</v>
      </c>
      <c r="AF188">
        <v>21</v>
      </c>
      <c r="AG188">
        <v>0</v>
      </c>
      <c r="AH188">
        <v>14</v>
      </c>
    </row>
    <row r="189" spans="1:34" x14ac:dyDescent="0.25">
      <c r="A189" t="s">
        <v>36</v>
      </c>
      <c r="B189" t="str">
        <f t="shared" si="76"/>
        <v>telisha-qetana</v>
      </c>
      <c r="C189">
        <f t="shared" si="73"/>
        <v>178</v>
      </c>
      <c r="D189">
        <f t="shared" si="74"/>
        <v>0</v>
      </c>
      <c r="E189">
        <f t="shared" si="74"/>
        <v>0</v>
      </c>
      <c r="F189">
        <f t="shared" si="74"/>
        <v>89</v>
      </c>
      <c r="G189">
        <f t="shared" si="74"/>
        <v>0</v>
      </c>
      <c r="H189">
        <f t="shared" si="74"/>
        <v>0</v>
      </c>
      <c r="I189">
        <f t="shared" si="74"/>
        <v>34</v>
      </c>
      <c r="J189">
        <f t="shared" si="74"/>
        <v>53</v>
      </c>
      <c r="K189">
        <f t="shared" si="74"/>
        <v>2</v>
      </c>
      <c r="L189" t="b">
        <f t="shared" si="75"/>
        <v>1</v>
      </c>
      <c r="W189" t="s">
        <v>37</v>
      </c>
      <c r="X189" t="s">
        <v>64</v>
      </c>
      <c r="Y189">
        <v>122</v>
      </c>
      <c r="Z189">
        <v>0</v>
      </c>
      <c r="AA189">
        <v>0</v>
      </c>
      <c r="AB189">
        <v>55</v>
      </c>
      <c r="AC189">
        <v>0</v>
      </c>
      <c r="AD189">
        <v>0</v>
      </c>
      <c r="AE189">
        <v>25</v>
      </c>
      <c r="AF189">
        <v>42</v>
      </c>
      <c r="AG189">
        <v>0</v>
      </c>
      <c r="AH189">
        <v>14</v>
      </c>
    </row>
    <row r="190" spans="1:34" x14ac:dyDescent="0.25">
      <c r="A190" t="s">
        <v>36</v>
      </c>
      <c r="B190" t="str">
        <f t="shared" si="76"/>
        <v>tarsin</v>
      </c>
      <c r="C190">
        <f t="shared" si="73"/>
        <v>184</v>
      </c>
      <c r="D190">
        <f t="shared" si="74"/>
        <v>0</v>
      </c>
      <c r="E190">
        <f t="shared" si="74"/>
        <v>0</v>
      </c>
      <c r="F190">
        <f t="shared" si="74"/>
        <v>110</v>
      </c>
      <c r="G190">
        <f t="shared" si="74"/>
        <v>0</v>
      </c>
      <c r="H190">
        <f t="shared" si="74"/>
        <v>0</v>
      </c>
      <c r="I190">
        <f t="shared" si="74"/>
        <v>26</v>
      </c>
      <c r="J190">
        <f t="shared" si="74"/>
        <v>45</v>
      </c>
      <c r="K190">
        <f t="shared" si="74"/>
        <v>3</v>
      </c>
      <c r="L190" t="b">
        <f t="shared" si="75"/>
        <v>1</v>
      </c>
      <c r="W190" t="s">
        <v>37</v>
      </c>
      <c r="X190" t="s">
        <v>65</v>
      </c>
      <c r="Y190">
        <v>140</v>
      </c>
      <c r="Z190">
        <v>0</v>
      </c>
      <c r="AA190">
        <v>0</v>
      </c>
      <c r="AB190">
        <v>49</v>
      </c>
      <c r="AC190">
        <v>0</v>
      </c>
      <c r="AD190">
        <v>0</v>
      </c>
      <c r="AE190">
        <v>38</v>
      </c>
      <c r="AF190">
        <v>41</v>
      </c>
      <c r="AG190">
        <v>12</v>
      </c>
      <c r="AH190">
        <v>14</v>
      </c>
    </row>
    <row r="191" spans="1:34" x14ac:dyDescent="0.25">
      <c r="A191" t="s">
        <v>36</v>
      </c>
      <c r="B191" t="str">
        <f t="shared" si="76"/>
        <v>azla</v>
      </c>
      <c r="C191">
        <f t="shared" si="73"/>
        <v>368</v>
      </c>
      <c r="D191">
        <f t="shared" si="74"/>
        <v>0</v>
      </c>
      <c r="E191">
        <f t="shared" si="74"/>
        <v>1</v>
      </c>
      <c r="F191">
        <f t="shared" si="74"/>
        <v>190</v>
      </c>
      <c r="G191">
        <f t="shared" si="74"/>
        <v>0</v>
      </c>
      <c r="H191">
        <f t="shared" si="74"/>
        <v>0</v>
      </c>
      <c r="I191">
        <f t="shared" si="74"/>
        <v>68</v>
      </c>
      <c r="J191">
        <f t="shared" si="74"/>
        <v>108</v>
      </c>
      <c r="K191">
        <f t="shared" si="74"/>
        <v>1</v>
      </c>
      <c r="L191" t="b">
        <f t="shared" si="75"/>
        <v>1</v>
      </c>
      <c r="W191" t="s">
        <v>37</v>
      </c>
      <c r="X191" t="s">
        <v>8</v>
      </c>
      <c r="Y191">
        <v>291</v>
      </c>
      <c r="Z191">
        <v>0</v>
      </c>
      <c r="AA191">
        <v>0</v>
      </c>
      <c r="AB191">
        <v>152</v>
      </c>
      <c r="AC191">
        <v>0</v>
      </c>
      <c r="AD191">
        <v>0</v>
      </c>
      <c r="AE191">
        <v>69</v>
      </c>
      <c r="AF191">
        <v>68</v>
      </c>
      <c r="AG191">
        <v>2</v>
      </c>
      <c r="AH191">
        <v>14</v>
      </c>
    </row>
    <row r="192" spans="1:34" x14ac:dyDescent="0.25">
      <c r="A192" t="s">
        <v>36</v>
      </c>
      <c r="B192" t="str">
        <f t="shared" si="76"/>
        <v>qadma</v>
      </c>
      <c r="C192">
        <f t="shared" si="73"/>
        <v>589</v>
      </c>
      <c r="D192">
        <f t="shared" si="74"/>
        <v>0</v>
      </c>
      <c r="E192">
        <f t="shared" si="74"/>
        <v>1</v>
      </c>
      <c r="F192">
        <f t="shared" si="74"/>
        <v>278</v>
      </c>
      <c r="G192">
        <f t="shared" si="74"/>
        <v>0</v>
      </c>
      <c r="H192">
        <f t="shared" si="74"/>
        <v>0</v>
      </c>
      <c r="I192">
        <f t="shared" si="74"/>
        <v>117</v>
      </c>
      <c r="J192">
        <f t="shared" si="74"/>
        <v>175</v>
      </c>
      <c r="K192">
        <f t="shared" si="74"/>
        <v>18</v>
      </c>
      <c r="L192" t="b">
        <f t="shared" si="75"/>
        <v>1</v>
      </c>
      <c r="W192" t="s">
        <v>37</v>
      </c>
      <c r="X192" t="s">
        <v>6</v>
      </c>
      <c r="Y192">
        <v>481</v>
      </c>
      <c r="Z192">
        <v>0</v>
      </c>
      <c r="AA192">
        <v>0</v>
      </c>
      <c r="AB192">
        <v>231</v>
      </c>
      <c r="AC192">
        <v>1</v>
      </c>
      <c r="AD192">
        <v>0</v>
      </c>
      <c r="AE192">
        <v>117</v>
      </c>
      <c r="AF192">
        <v>125</v>
      </c>
      <c r="AG192">
        <v>7</v>
      </c>
      <c r="AH192">
        <v>14</v>
      </c>
    </row>
    <row r="193" spans="1:34" x14ac:dyDescent="0.25">
      <c r="A193" t="s">
        <v>36</v>
      </c>
      <c r="B193" t="str">
        <f t="shared" si="76"/>
        <v>revia</v>
      </c>
      <c r="C193">
        <f t="shared" si="73"/>
        <v>738</v>
      </c>
      <c r="D193">
        <f t="shared" si="74"/>
        <v>0</v>
      </c>
      <c r="E193">
        <f t="shared" si="74"/>
        <v>0</v>
      </c>
      <c r="F193">
        <f t="shared" si="74"/>
        <v>193</v>
      </c>
      <c r="G193">
        <f t="shared" si="74"/>
        <v>2</v>
      </c>
      <c r="H193">
        <f t="shared" si="74"/>
        <v>0</v>
      </c>
      <c r="I193">
        <f t="shared" si="74"/>
        <v>71</v>
      </c>
      <c r="J193">
        <f t="shared" si="74"/>
        <v>465</v>
      </c>
      <c r="K193">
        <f t="shared" si="74"/>
        <v>7</v>
      </c>
      <c r="L193" t="b">
        <f t="shared" si="75"/>
        <v>1</v>
      </c>
      <c r="W193" t="s">
        <v>37</v>
      </c>
      <c r="X193" t="s">
        <v>1</v>
      </c>
      <c r="Y193">
        <v>666</v>
      </c>
      <c r="Z193">
        <v>0</v>
      </c>
      <c r="AA193">
        <v>0</v>
      </c>
      <c r="AB193">
        <v>188</v>
      </c>
      <c r="AC193">
        <v>1</v>
      </c>
      <c r="AD193">
        <v>0</v>
      </c>
      <c r="AE193">
        <v>61</v>
      </c>
      <c r="AF193">
        <v>411</v>
      </c>
      <c r="AG193">
        <v>5</v>
      </c>
      <c r="AH193">
        <v>14</v>
      </c>
    </row>
    <row r="194" spans="1:34" x14ac:dyDescent="0.25">
      <c r="A194" t="s">
        <v>36</v>
      </c>
      <c r="B194" t="str">
        <f t="shared" si="76"/>
        <v>pashta</v>
      </c>
      <c r="C194">
        <f t="shared" si="73"/>
        <v>1985</v>
      </c>
      <c r="D194">
        <f t="shared" si="74"/>
        <v>0</v>
      </c>
      <c r="E194">
        <f t="shared" si="74"/>
        <v>0</v>
      </c>
      <c r="F194">
        <f t="shared" si="74"/>
        <v>498</v>
      </c>
      <c r="G194">
        <f t="shared" si="74"/>
        <v>57</v>
      </c>
      <c r="H194">
        <f t="shared" si="74"/>
        <v>0</v>
      </c>
      <c r="I194">
        <f t="shared" si="74"/>
        <v>175</v>
      </c>
      <c r="J194">
        <f t="shared" si="74"/>
        <v>213</v>
      </c>
      <c r="K194">
        <f t="shared" si="74"/>
        <v>1042</v>
      </c>
      <c r="L194" t="b">
        <f t="shared" si="75"/>
        <v>1</v>
      </c>
      <c r="W194" t="s">
        <v>37</v>
      </c>
      <c r="X194" t="s">
        <v>24</v>
      </c>
      <c r="Y194">
        <v>1842</v>
      </c>
      <c r="Z194">
        <v>0</v>
      </c>
      <c r="AA194">
        <v>0</v>
      </c>
      <c r="AB194">
        <v>407</v>
      </c>
      <c r="AC194">
        <v>46</v>
      </c>
      <c r="AD194">
        <v>0</v>
      </c>
      <c r="AE194">
        <v>154</v>
      </c>
      <c r="AF194">
        <v>216</v>
      </c>
      <c r="AG194">
        <v>1019</v>
      </c>
      <c r="AH194">
        <v>14</v>
      </c>
    </row>
    <row r="195" spans="1:34" x14ac:dyDescent="0.25">
      <c r="A195" t="s">
        <v>36</v>
      </c>
      <c r="B195" t="str">
        <f t="shared" si="76"/>
        <v>zaqef-qatan</v>
      </c>
      <c r="C195">
        <f t="shared" si="73"/>
        <v>2051</v>
      </c>
      <c r="D195">
        <f t="shared" si="74"/>
        <v>0</v>
      </c>
      <c r="E195">
        <f t="shared" si="74"/>
        <v>0</v>
      </c>
      <c r="F195">
        <f t="shared" si="74"/>
        <v>251</v>
      </c>
      <c r="G195">
        <f t="shared" si="74"/>
        <v>28</v>
      </c>
      <c r="H195">
        <f t="shared" si="74"/>
        <v>0</v>
      </c>
      <c r="I195">
        <f t="shared" si="74"/>
        <v>43</v>
      </c>
      <c r="J195">
        <f t="shared" si="74"/>
        <v>1288</v>
      </c>
      <c r="K195">
        <f t="shared" si="74"/>
        <v>441</v>
      </c>
      <c r="L195" t="b">
        <f t="shared" si="75"/>
        <v>1</v>
      </c>
      <c r="W195" t="s">
        <v>37</v>
      </c>
      <c r="X195" t="s">
        <v>66</v>
      </c>
      <c r="Y195">
        <v>1859</v>
      </c>
      <c r="Z195">
        <v>0</v>
      </c>
      <c r="AA195">
        <v>0</v>
      </c>
      <c r="AB195">
        <v>183</v>
      </c>
      <c r="AC195">
        <v>16</v>
      </c>
      <c r="AD195">
        <v>0</v>
      </c>
      <c r="AE195">
        <v>42</v>
      </c>
      <c r="AF195">
        <v>1234</v>
      </c>
      <c r="AG195">
        <v>384</v>
      </c>
      <c r="AH195">
        <v>14</v>
      </c>
    </row>
    <row r="196" spans="1:34" x14ac:dyDescent="0.25">
      <c r="D196" t="s">
        <v>60</v>
      </c>
      <c r="E196" t="s">
        <v>14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W196" t="s">
        <v>38</v>
      </c>
      <c r="X196" t="s">
        <v>22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15</v>
      </c>
    </row>
    <row r="197" spans="1:34" x14ac:dyDescent="0.25">
      <c r="A197" t="s">
        <v>37</v>
      </c>
      <c r="B197" t="str">
        <f>X183</f>
        <v>qarne-farah</v>
      </c>
      <c r="C197">
        <f t="shared" ref="C197:C209" si="77">SUM(D197:K197)</f>
        <v>1</v>
      </c>
      <c r="D197">
        <f t="shared" ref="D197:K209" si="78">Z183</f>
        <v>0</v>
      </c>
      <c r="E197">
        <f t="shared" si="78"/>
        <v>1</v>
      </c>
      <c r="F197">
        <f t="shared" si="78"/>
        <v>0</v>
      </c>
      <c r="G197">
        <f t="shared" si="78"/>
        <v>0</v>
      </c>
      <c r="H197">
        <f t="shared" si="78"/>
        <v>0</v>
      </c>
      <c r="I197">
        <f t="shared" si="78"/>
        <v>0</v>
      </c>
      <c r="J197">
        <f t="shared" si="78"/>
        <v>0</v>
      </c>
      <c r="K197">
        <f t="shared" si="78"/>
        <v>0</v>
      </c>
      <c r="L197" t="b">
        <f t="shared" ref="L197:L209" si="79">SUM(D197:K197)=Y183</f>
        <v>1</v>
      </c>
      <c r="W197" t="s">
        <v>38</v>
      </c>
      <c r="X197" t="s">
        <v>4</v>
      </c>
      <c r="Y197">
        <v>2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15</v>
      </c>
    </row>
    <row r="198" spans="1:34" x14ac:dyDescent="0.25">
      <c r="A198" t="s">
        <v>37</v>
      </c>
      <c r="B198" t="str">
        <f t="shared" ref="B198:B209" si="80">X184</f>
        <v>pazer</v>
      </c>
      <c r="C198">
        <f t="shared" si="77"/>
        <v>63</v>
      </c>
      <c r="D198">
        <f t="shared" si="78"/>
        <v>0</v>
      </c>
      <c r="E198">
        <f t="shared" si="78"/>
        <v>0</v>
      </c>
      <c r="F198">
        <f t="shared" si="78"/>
        <v>25</v>
      </c>
      <c r="G198">
        <f t="shared" si="78"/>
        <v>0</v>
      </c>
      <c r="H198">
        <f t="shared" si="78"/>
        <v>0</v>
      </c>
      <c r="I198">
        <f t="shared" si="78"/>
        <v>3</v>
      </c>
      <c r="J198">
        <f t="shared" si="78"/>
        <v>35</v>
      </c>
      <c r="K198">
        <f t="shared" si="78"/>
        <v>0</v>
      </c>
      <c r="L198" t="b">
        <f t="shared" si="79"/>
        <v>1</v>
      </c>
      <c r="W198" t="s">
        <v>38</v>
      </c>
      <c r="X198" t="s">
        <v>64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2</v>
      </c>
      <c r="AG198">
        <v>0</v>
      </c>
      <c r="AH198">
        <v>15</v>
      </c>
    </row>
    <row r="199" spans="1:34" x14ac:dyDescent="0.25">
      <c r="A199" t="s">
        <v>37</v>
      </c>
      <c r="B199" t="str">
        <f t="shared" si="80"/>
        <v>telisha-gedola</v>
      </c>
      <c r="C199">
        <f t="shared" si="77"/>
        <v>68</v>
      </c>
      <c r="D199">
        <f t="shared" si="78"/>
        <v>0</v>
      </c>
      <c r="E199">
        <f t="shared" si="78"/>
        <v>0</v>
      </c>
      <c r="F199">
        <f t="shared" si="78"/>
        <v>22</v>
      </c>
      <c r="G199">
        <f t="shared" si="78"/>
        <v>0</v>
      </c>
      <c r="H199">
        <f t="shared" si="78"/>
        <v>0</v>
      </c>
      <c r="I199">
        <f t="shared" si="78"/>
        <v>9</v>
      </c>
      <c r="J199">
        <f t="shared" si="78"/>
        <v>37</v>
      </c>
      <c r="K199">
        <f t="shared" si="78"/>
        <v>0</v>
      </c>
      <c r="L199" t="b">
        <f t="shared" si="79"/>
        <v>1</v>
      </c>
      <c r="W199" t="s">
        <v>38</v>
      </c>
      <c r="X199" t="s">
        <v>63</v>
      </c>
      <c r="Y199">
        <v>4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15</v>
      </c>
    </row>
    <row r="200" spans="1:34" x14ac:dyDescent="0.25">
      <c r="A200" t="s">
        <v>37</v>
      </c>
      <c r="B200" t="str">
        <f t="shared" si="80"/>
        <v>segol</v>
      </c>
      <c r="C200">
        <f t="shared" si="77"/>
        <v>70</v>
      </c>
      <c r="D200">
        <f t="shared" si="78"/>
        <v>0</v>
      </c>
      <c r="E200">
        <f t="shared" si="78"/>
        <v>0</v>
      </c>
      <c r="F200">
        <f t="shared" si="78"/>
        <v>6</v>
      </c>
      <c r="G200">
        <f t="shared" si="78"/>
        <v>1</v>
      </c>
      <c r="H200">
        <f t="shared" si="78"/>
        <v>0</v>
      </c>
      <c r="I200">
        <f t="shared" si="78"/>
        <v>0</v>
      </c>
      <c r="J200">
        <f t="shared" si="78"/>
        <v>63</v>
      </c>
      <c r="K200">
        <f t="shared" si="78"/>
        <v>0</v>
      </c>
      <c r="L200" t="b">
        <f t="shared" si="79"/>
        <v>1</v>
      </c>
      <c r="W200" t="s">
        <v>38</v>
      </c>
      <c r="X200" t="s">
        <v>23</v>
      </c>
      <c r="Y200">
        <v>10</v>
      </c>
      <c r="Z200">
        <v>0</v>
      </c>
      <c r="AA200">
        <v>0</v>
      </c>
      <c r="AB200">
        <v>4</v>
      </c>
      <c r="AC200">
        <v>0</v>
      </c>
      <c r="AD200">
        <v>0</v>
      </c>
      <c r="AE200">
        <v>3</v>
      </c>
      <c r="AF200">
        <v>3</v>
      </c>
      <c r="AG200">
        <v>0</v>
      </c>
      <c r="AH200">
        <v>15</v>
      </c>
    </row>
    <row r="201" spans="1:34" x14ac:dyDescent="0.25">
      <c r="A201" t="s">
        <v>37</v>
      </c>
      <c r="B201" t="str">
        <f t="shared" si="80"/>
        <v>tsinnor</v>
      </c>
      <c r="C201">
        <f t="shared" si="77"/>
        <v>70</v>
      </c>
      <c r="D201">
        <f t="shared" si="78"/>
        <v>0</v>
      </c>
      <c r="E201">
        <f t="shared" si="78"/>
        <v>0</v>
      </c>
      <c r="F201">
        <f t="shared" si="78"/>
        <v>25</v>
      </c>
      <c r="G201">
        <f t="shared" si="78"/>
        <v>2</v>
      </c>
      <c r="H201">
        <f t="shared" si="78"/>
        <v>0</v>
      </c>
      <c r="I201">
        <f t="shared" si="78"/>
        <v>0</v>
      </c>
      <c r="J201">
        <f t="shared" si="78"/>
        <v>43</v>
      </c>
      <c r="K201">
        <f t="shared" si="78"/>
        <v>0</v>
      </c>
      <c r="L201" t="b">
        <f t="shared" si="79"/>
        <v>1</v>
      </c>
      <c r="W201" t="s">
        <v>38</v>
      </c>
      <c r="X201" t="s">
        <v>8</v>
      </c>
      <c r="Y201">
        <v>16</v>
      </c>
      <c r="Z201">
        <v>0</v>
      </c>
      <c r="AA201">
        <v>0</v>
      </c>
      <c r="AB201">
        <v>9</v>
      </c>
      <c r="AC201">
        <v>0</v>
      </c>
      <c r="AD201">
        <v>0</v>
      </c>
      <c r="AE201">
        <v>5</v>
      </c>
      <c r="AF201">
        <v>2</v>
      </c>
      <c r="AG201">
        <v>0</v>
      </c>
      <c r="AH201">
        <v>15</v>
      </c>
    </row>
    <row r="202" spans="1:34" x14ac:dyDescent="0.25">
      <c r="A202" t="s">
        <v>37</v>
      </c>
      <c r="B202" t="str">
        <f t="shared" si="80"/>
        <v>tarsin</v>
      </c>
      <c r="C202">
        <f t="shared" si="77"/>
        <v>106</v>
      </c>
      <c r="D202">
        <f t="shared" si="78"/>
        <v>0</v>
      </c>
      <c r="E202">
        <f t="shared" si="78"/>
        <v>0</v>
      </c>
      <c r="F202">
        <f t="shared" si="78"/>
        <v>65</v>
      </c>
      <c r="G202">
        <f t="shared" si="78"/>
        <v>0</v>
      </c>
      <c r="H202">
        <f t="shared" si="78"/>
        <v>0</v>
      </c>
      <c r="I202">
        <f t="shared" si="78"/>
        <v>20</v>
      </c>
      <c r="J202">
        <f t="shared" si="78"/>
        <v>21</v>
      </c>
      <c r="K202">
        <f t="shared" si="78"/>
        <v>0</v>
      </c>
      <c r="L202" t="b">
        <f t="shared" si="79"/>
        <v>1</v>
      </c>
      <c r="W202" t="s">
        <v>38</v>
      </c>
      <c r="X202" t="s">
        <v>65</v>
      </c>
      <c r="Y202">
        <v>20</v>
      </c>
      <c r="Z202">
        <v>0</v>
      </c>
      <c r="AA202">
        <v>0</v>
      </c>
      <c r="AB202">
        <v>10</v>
      </c>
      <c r="AC202">
        <v>0</v>
      </c>
      <c r="AD202">
        <v>0</v>
      </c>
      <c r="AE202">
        <v>7</v>
      </c>
      <c r="AF202">
        <v>3</v>
      </c>
      <c r="AG202">
        <v>0</v>
      </c>
      <c r="AH202">
        <v>15</v>
      </c>
    </row>
    <row r="203" spans="1:34" x14ac:dyDescent="0.25">
      <c r="A203" t="s">
        <v>37</v>
      </c>
      <c r="B203" t="str">
        <f t="shared" si="80"/>
        <v>telisha-qetana</v>
      </c>
      <c r="C203">
        <f t="shared" si="77"/>
        <v>122</v>
      </c>
      <c r="D203">
        <f t="shared" si="78"/>
        <v>0</v>
      </c>
      <c r="E203">
        <f t="shared" si="78"/>
        <v>0</v>
      </c>
      <c r="F203">
        <f t="shared" si="78"/>
        <v>55</v>
      </c>
      <c r="G203">
        <f t="shared" si="78"/>
        <v>0</v>
      </c>
      <c r="H203">
        <f t="shared" si="78"/>
        <v>0</v>
      </c>
      <c r="I203">
        <f t="shared" si="78"/>
        <v>25</v>
      </c>
      <c r="J203">
        <f t="shared" si="78"/>
        <v>42</v>
      </c>
      <c r="K203">
        <f t="shared" si="78"/>
        <v>0</v>
      </c>
      <c r="L203" t="b">
        <f t="shared" si="79"/>
        <v>1</v>
      </c>
      <c r="W203" t="s">
        <v>38</v>
      </c>
      <c r="X203" t="s">
        <v>6</v>
      </c>
      <c r="Y203">
        <v>28</v>
      </c>
      <c r="Z203">
        <v>0</v>
      </c>
      <c r="AA203">
        <v>0</v>
      </c>
      <c r="AB203">
        <v>14</v>
      </c>
      <c r="AC203">
        <v>0</v>
      </c>
      <c r="AD203">
        <v>0</v>
      </c>
      <c r="AE203">
        <v>7</v>
      </c>
      <c r="AF203">
        <v>7</v>
      </c>
      <c r="AG203">
        <v>0</v>
      </c>
      <c r="AH203">
        <v>15</v>
      </c>
    </row>
    <row r="204" spans="1:34" x14ac:dyDescent="0.25">
      <c r="A204" t="s">
        <v>37</v>
      </c>
      <c r="B204" t="str">
        <f t="shared" si="80"/>
        <v>zaqef-gadol</v>
      </c>
      <c r="C204">
        <f t="shared" si="77"/>
        <v>140</v>
      </c>
      <c r="D204">
        <f t="shared" si="78"/>
        <v>0</v>
      </c>
      <c r="E204">
        <f t="shared" si="78"/>
        <v>0</v>
      </c>
      <c r="F204">
        <f t="shared" si="78"/>
        <v>49</v>
      </c>
      <c r="G204">
        <f t="shared" si="78"/>
        <v>0</v>
      </c>
      <c r="H204">
        <f t="shared" si="78"/>
        <v>0</v>
      </c>
      <c r="I204">
        <f t="shared" si="78"/>
        <v>38</v>
      </c>
      <c r="J204">
        <f t="shared" si="78"/>
        <v>41</v>
      </c>
      <c r="K204">
        <f t="shared" si="78"/>
        <v>12</v>
      </c>
      <c r="L204" t="b">
        <f t="shared" si="79"/>
        <v>1</v>
      </c>
      <c r="W204" t="s">
        <v>38</v>
      </c>
      <c r="X204" t="s">
        <v>1</v>
      </c>
      <c r="Y204">
        <v>60</v>
      </c>
      <c r="Z204">
        <v>0</v>
      </c>
      <c r="AA204">
        <v>0</v>
      </c>
      <c r="AB204">
        <v>14</v>
      </c>
      <c r="AC204">
        <v>0</v>
      </c>
      <c r="AD204">
        <v>0</v>
      </c>
      <c r="AE204">
        <v>8</v>
      </c>
      <c r="AF204">
        <v>38</v>
      </c>
      <c r="AG204">
        <v>0</v>
      </c>
      <c r="AH204">
        <v>15</v>
      </c>
    </row>
    <row r="205" spans="1:34" x14ac:dyDescent="0.25">
      <c r="A205" t="s">
        <v>37</v>
      </c>
      <c r="B205" t="str">
        <f t="shared" si="80"/>
        <v>azla</v>
      </c>
      <c r="C205">
        <f t="shared" si="77"/>
        <v>291</v>
      </c>
      <c r="D205">
        <f t="shared" si="78"/>
        <v>0</v>
      </c>
      <c r="E205">
        <f t="shared" si="78"/>
        <v>0</v>
      </c>
      <c r="F205">
        <f t="shared" si="78"/>
        <v>152</v>
      </c>
      <c r="G205">
        <f t="shared" si="78"/>
        <v>0</v>
      </c>
      <c r="H205">
        <f t="shared" si="78"/>
        <v>0</v>
      </c>
      <c r="I205">
        <f t="shared" si="78"/>
        <v>69</v>
      </c>
      <c r="J205">
        <f t="shared" si="78"/>
        <v>68</v>
      </c>
      <c r="K205">
        <f t="shared" si="78"/>
        <v>2</v>
      </c>
      <c r="L205" t="b">
        <f t="shared" si="79"/>
        <v>1</v>
      </c>
      <c r="W205" t="s">
        <v>38</v>
      </c>
      <c r="X205" t="s">
        <v>24</v>
      </c>
      <c r="Y205">
        <v>238</v>
      </c>
      <c r="Z205">
        <v>0</v>
      </c>
      <c r="AA205">
        <v>0</v>
      </c>
      <c r="AB205">
        <v>60</v>
      </c>
      <c r="AC205">
        <v>15</v>
      </c>
      <c r="AD205">
        <v>0</v>
      </c>
      <c r="AE205">
        <v>28</v>
      </c>
      <c r="AF205">
        <v>23</v>
      </c>
      <c r="AG205">
        <v>112</v>
      </c>
      <c r="AH205">
        <v>15</v>
      </c>
    </row>
    <row r="206" spans="1:34" x14ac:dyDescent="0.25">
      <c r="A206" t="s">
        <v>37</v>
      </c>
      <c r="B206" t="str">
        <f t="shared" si="80"/>
        <v>qadma</v>
      </c>
      <c r="C206">
        <f t="shared" si="77"/>
        <v>481</v>
      </c>
      <c r="D206">
        <f t="shared" si="78"/>
        <v>0</v>
      </c>
      <c r="E206">
        <f t="shared" si="78"/>
        <v>0</v>
      </c>
      <c r="F206">
        <f t="shared" si="78"/>
        <v>231</v>
      </c>
      <c r="G206">
        <f t="shared" si="78"/>
        <v>1</v>
      </c>
      <c r="H206">
        <f t="shared" si="78"/>
        <v>0</v>
      </c>
      <c r="I206">
        <f t="shared" si="78"/>
        <v>117</v>
      </c>
      <c r="J206">
        <f t="shared" si="78"/>
        <v>125</v>
      </c>
      <c r="K206">
        <f t="shared" si="78"/>
        <v>7</v>
      </c>
      <c r="L206" t="b">
        <f t="shared" si="79"/>
        <v>1</v>
      </c>
      <c r="W206" t="s">
        <v>38</v>
      </c>
      <c r="X206" t="s">
        <v>66</v>
      </c>
      <c r="Y206">
        <v>264</v>
      </c>
      <c r="Z206">
        <v>0</v>
      </c>
      <c r="AA206">
        <v>0</v>
      </c>
      <c r="AB206">
        <v>37</v>
      </c>
      <c r="AC206">
        <v>5</v>
      </c>
      <c r="AD206">
        <v>0</v>
      </c>
      <c r="AE206">
        <v>4</v>
      </c>
      <c r="AF206">
        <v>158</v>
      </c>
      <c r="AG206">
        <v>60</v>
      </c>
      <c r="AH206">
        <v>15</v>
      </c>
    </row>
    <row r="207" spans="1:34" x14ac:dyDescent="0.25">
      <c r="A207" t="s">
        <v>37</v>
      </c>
      <c r="B207" t="str">
        <f t="shared" si="80"/>
        <v>revia</v>
      </c>
      <c r="C207">
        <f t="shared" si="77"/>
        <v>666</v>
      </c>
      <c r="D207">
        <f t="shared" si="78"/>
        <v>0</v>
      </c>
      <c r="E207">
        <f t="shared" si="78"/>
        <v>0</v>
      </c>
      <c r="F207">
        <f t="shared" si="78"/>
        <v>188</v>
      </c>
      <c r="G207">
        <f t="shared" si="78"/>
        <v>1</v>
      </c>
      <c r="H207">
        <f t="shared" si="78"/>
        <v>0</v>
      </c>
      <c r="I207">
        <f t="shared" si="78"/>
        <v>61</v>
      </c>
      <c r="J207">
        <f t="shared" si="78"/>
        <v>411</v>
      </c>
      <c r="K207">
        <f t="shared" si="78"/>
        <v>5</v>
      </c>
      <c r="L207" t="b">
        <f t="shared" si="79"/>
        <v>1</v>
      </c>
      <c r="W207" t="s">
        <v>39</v>
      </c>
      <c r="X207" t="s">
        <v>22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16</v>
      </c>
    </row>
    <row r="208" spans="1:34" x14ac:dyDescent="0.25">
      <c r="A208" t="s">
        <v>37</v>
      </c>
      <c r="B208" t="str">
        <f t="shared" si="80"/>
        <v>pashta</v>
      </c>
      <c r="C208">
        <f t="shared" si="77"/>
        <v>1842</v>
      </c>
      <c r="D208">
        <f t="shared" si="78"/>
        <v>0</v>
      </c>
      <c r="E208">
        <f t="shared" si="78"/>
        <v>0</v>
      </c>
      <c r="F208">
        <f t="shared" si="78"/>
        <v>407</v>
      </c>
      <c r="G208">
        <f t="shared" si="78"/>
        <v>46</v>
      </c>
      <c r="H208">
        <f t="shared" si="78"/>
        <v>0</v>
      </c>
      <c r="I208">
        <f t="shared" si="78"/>
        <v>154</v>
      </c>
      <c r="J208">
        <f t="shared" si="78"/>
        <v>216</v>
      </c>
      <c r="K208">
        <f t="shared" si="78"/>
        <v>1019</v>
      </c>
      <c r="L208" t="b">
        <f t="shared" si="79"/>
        <v>1</v>
      </c>
      <c r="W208" t="s">
        <v>39</v>
      </c>
      <c r="X208" t="s">
        <v>4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16</v>
      </c>
    </row>
    <row r="209" spans="1:34" x14ac:dyDescent="0.25">
      <c r="A209" t="s">
        <v>37</v>
      </c>
      <c r="B209" t="str">
        <f t="shared" si="80"/>
        <v>zaqef-qatan</v>
      </c>
      <c r="C209">
        <f t="shared" si="77"/>
        <v>1859</v>
      </c>
      <c r="D209">
        <f t="shared" si="78"/>
        <v>0</v>
      </c>
      <c r="E209">
        <f t="shared" si="78"/>
        <v>0</v>
      </c>
      <c r="F209">
        <f t="shared" si="78"/>
        <v>183</v>
      </c>
      <c r="G209">
        <f t="shared" si="78"/>
        <v>16</v>
      </c>
      <c r="H209">
        <f t="shared" si="78"/>
        <v>0</v>
      </c>
      <c r="I209">
        <f t="shared" si="78"/>
        <v>42</v>
      </c>
      <c r="J209">
        <f t="shared" si="78"/>
        <v>1234</v>
      </c>
      <c r="K209">
        <f t="shared" si="78"/>
        <v>384</v>
      </c>
      <c r="L209" t="b">
        <f t="shared" si="79"/>
        <v>1</v>
      </c>
      <c r="W209" t="s">
        <v>39</v>
      </c>
      <c r="X209" t="s">
        <v>64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16</v>
      </c>
    </row>
    <row r="210" spans="1:34" x14ac:dyDescent="0.25">
      <c r="D210" t="s">
        <v>60</v>
      </c>
      <c r="E210" t="s">
        <v>14</v>
      </c>
      <c r="F210" t="s">
        <v>15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W210" t="s">
        <v>39</v>
      </c>
      <c r="X210" t="s">
        <v>63</v>
      </c>
      <c r="Y210">
        <v>2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16</v>
      </c>
    </row>
    <row r="211" spans="1:34" x14ac:dyDescent="0.25">
      <c r="A211" t="s">
        <v>38</v>
      </c>
      <c r="B211" t="str">
        <f>X196</f>
        <v>segol</v>
      </c>
      <c r="C211">
        <f t="shared" ref="C211:C221" si="81">SUM(D211:K211)</f>
        <v>2</v>
      </c>
      <c r="D211">
        <f t="shared" ref="D211:K221" si="82">Z196</f>
        <v>0</v>
      </c>
      <c r="E211">
        <f t="shared" si="82"/>
        <v>0</v>
      </c>
      <c r="F211">
        <f t="shared" si="82"/>
        <v>0</v>
      </c>
      <c r="G211">
        <f t="shared" si="82"/>
        <v>0</v>
      </c>
      <c r="H211">
        <f t="shared" si="82"/>
        <v>0</v>
      </c>
      <c r="I211">
        <f t="shared" si="82"/>
        <v>0</v>
      </c>
      <c r="J211">
        <f t="shared" si="82"/>
        <v>2</v>
      </c>
      <c r="K211">
        <f t="shared" si="82"/>
        <v>0</v>
      </c>
      <c r="L211" t="b">
        <f t="shared" ref="L211:L221" si="83">SUM(D211:K211)=Y196</f>
        <v>1</v>
      </c>
      <c r="W211" t="s">
        <v>39</v>
      </c>
      <c r="X211" t="s">
        <v>65</v>
      </c>
      <c r="Y211">
        <v>6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2</v>
      </c>
      <c r="AF211">
        <v>2</v>
      </c>
      <c r="AG211">
        <v>0</v>
      </c>
      <c r="AH211">
        <v>16</v>
      </c>
    </row>
    <row r="212" spans="1:34" x14ac:dyDescent="0.25">
      <c r="A212" t="s">
        <v>38</v>
      </c>
      <c r="B212" t="str">
        <f t="shared" ref="B212:B221" si="84">X197</f>
        <v>tsinnor</v>
      </c>
      <c r="C212">
        <f t="shared" si="81"/>
        <v>2</v>
      </c>
      <c r="D212">
        <f t="shared" si="82"/>
        <v>0</v>
      </c>
      <c r="E212">
        <f t="shared" si="82"/>
        <v>0</v>
      </c>
      <c r="F212">
        <f t="shared" si="82"/>
        <v>0</v>
      </c>
      <c r="G212">
        <f t="shared" si="82"/>
        <v>1</v>
      </c>
      <c r="H212">
        <f t="shared" si="82"/>
        <v>0</v>
      </c>
      <c r="I212">
        <f t="shared" si="82"/>
        <v>0</v>
      </c>
      <c r="J212">
        <f t="shared" si="82"/>
        <v>1</v>
      </c>
      <c r="K212">
        <f t="shared" si="82"/>
        <v>0</v>
      </c>
      <c r="L212" t="b">
        <f t="shared" si="83"/>
        <v>1</v>
      </c>
      <c r="W212" t="s">
        <v>39</v>
      </c>
      <c r="X212" t="s">
        <v>23</v>
      </c>
      <c r="Y212">
        <v>6</v>
      </c>
      <c r="Z212">
        <v>0</v>
      </c>
      <c r="AA212">
        <v>0</v>
      </c>
      <c r="AB212">
        <v>5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16</v>
      </c>
    </row>
    <row r="213" spans="1:34" x14ac:dyDescent="0.25">
      <c r="A213" t="s">
        <v>38</v>
      </c>
      <c r="B213" t="str">
        <f t="shared" si="84"/>
        <v>telisha-qetana</v>
      </c>
      <c r="C213">
        <f t="shared" si="81"/>
        <v>3</v>
      </c>
      <c r="D213">
        <f t="shared" si="82"/>
        <v>0</v>
      </c>
      <c r="E213">
        <f t="shared" si="82"/>
        <v>0</v>
      </c>
      <c r="F213">
        <f t="shared" si="82"/>
        <v>0</v>
      </c>
      <c r="G213">
        <f t="shared" si="82"/>
        <v>0</v>
      </c>
      <c r="H213">
        <f t="shared" si="82"/>
        <v>0</v>
      </c>
      <c r="I213">
        <f t="shared" si="82"/>
        <v>1</v>
      </c>
      <c r="J213">
        <f t="shared" si="82"/>
        <v>2</v>
      </c>
      <c r="K213">
        <f t="shared" si="82"/>
        <v>0</v>
      </c>
      <c r="L213" t="b">
        <f t="shared" si="83"/>
        <v>1</v>
      </c>
      <c r="W213" t="s">
        <v>39</v>
      </c>
      <c r="X213" t="s">
        <v>8</v>
      </c>
      <c r="Y213">
        <v>7</v>
      </c>
      <c r="Z213">
        <v>0</v>
      </c>
      <c r="AA213">
        <v>0</v>
      </c>
      <c r="AB213">
        <v>4</v>
      </c>
      <c r="AC213">
        <v>0</v>
      </c>
      <c r="AD213">
        <v>0</v>
      </c>
      <c r="AE213">
        <v>3</v>
      </c>
      <c r="AF213">
        <v>0</v>
      </c>
      <c r="AG213">
        <v>0</v>
      </c>
      <c r="AH213">
        <v>16</v>
      </c>
    </row>
    <row r="214" spans="1:34" x14ac:dyDescent="0.25">
      <c r="A214" t="s">
        <v>38</v>
      </c>
      <c r="B214" t="str">
        <f t="shared" si="84"/>
        <v>telisha-gedola</v>
      </c>
      <c r="C214">
        <f t="shared" si="81"/>
        <v>4</v>
      </c>
      <c r="D214">
        <f t="shared" si="82"/>
        <v>0</v>
      </c>
      <c r="E214">
        <f t="shared" si="82"/>
        <v>0</v>
      </c>
      <c r="F214">
        <f t="shared" si="82"/>
        <v>3</v>
      </c>
      <c r="G214">
        <f t="shared" si="82"/>
        <v>0</v>
      </c>
      <c r="H214">
        <f t="shared" si="82"/>
        <v>0</v>
      </c>
      <c r="I214">
        <f t="shared" si="82"/>
        <v>0</v>
      </c>
      <c r="J214">
        <f t="shared" si="82"/>
        <v>1</v>
      </c>
      <c r="K214">
        <f t="shared" si="82"/>
        <v>0</v>
      </c>
      <c r="L214" t="b">
        <f t="shared" si="83"/>
        <v>1</v>
      </c>
      <c r="W214" t="s">
        <v>39</v>
      </c>
      <c r="X214" t="s">
        <v>6</v>
      </c>
      <c r="Y214">
        <v>13</v>
      </c>
      <c r="Z214">
        <v>0</v>
      </c>
      <c r="AA214">
        <v>0</v>
      </c>
      <c r="AB214">
        <v>4</v>
      </c>
      <c r="AC214">
        <v>0</v>
      </c>
      <c r="AD214">
        <v>0</v>
      </c>
      <c r="AE214">
        <v>5</v>
      </c>
      <c r="AF214">
        <v>4</v>
      </c>
      <c r="AG214">
        <v>0</v>
      </c>
      <c r="AH214">
        <v>16</v>
      </c>
    </row>
    <row r="215" spans="1:34" x14ac:dyDescent="0.25">
      <c r="A215" t="s">
        <v>38</v>
      </c>
      <c r="B215" t="str">
        <f t="shared" si="84"/>
        <v>tarsin</v>
      </c>
      <c r="C215">
        <f t="shared" si="81"/>
        <v>10</v>
      </c>
      <c r="D215">
        <f t="shared" si="82"/>
        <v>0</v>
      </c>
      <c r="E215">
        <f t="shared" si="82"/>
        <v>0</v>
      </c>
      <c r="F215">
        <f t="shared" si="82"/>
        <v>4</v>
      </c>
      <c r="G215">
        <f t="shared" si="82"/>
        <v>0</v>
      </c>
      <c r="H215">
        <f t="shared" si="82"/>
        <v>0</v>
      </c>
      <c r="I215">
        <f t="shared" si="82"/>
        <v>3</v>
      </c>
      <c r="J215">
        <f t="shared" si="82"/>
        <v>3</v>
      </c>
      <c r="K215">
        <f t="shared" si="82"/>
        <v>0</v>
      </c>
      <c r="L215" t="b">
        <f t="shared" si="83"/>
        <v>1</v>
      </c>
      <c r="W215" t="s">
        <v>39</v>
      </c>
      <c r="X215" t="s">
        <v>1</v>
      </c>
      <c r="Y215">
        <v>36</v>
      </c>
      <c r="Z215">
        <v>0</v>
      </c>
      <c r="AA215">
        <v>0</v>
      </c>
      <c r="AB215">
        <v>8</v>
      </c>
      <c r="AC215">
        <v>0</v>
      </c>
      <c r="AD215">
        <v>0</v>
      </c>
      <c r="AE215">
        <v>5</v>
      </c>
      <c r="AF215">
        <v>22</v>
      </c>
      <c r="AG215">
        <v>1</v>
      </c>
      <c r="AH215">
        <v>16</v>
      </c>
    </row>
    <row r="216" spans="1:34" x14ac:dyDescent="0.25">
      <c r="A216" t="s">
        <v>38</v>
      </c>
      <c r="B216" t="str">
        <f t="shared" si="84"/>
        <v>azla</v>
      </c>
      <c r="C216">
        <f t="shared" si="81"/>
        <v>16</v>
      </c>
      <c r="D216">
        <f t="shared" si="82"/>
        <v>0</v>
      </c>
      <c r="E216">
        <f t="shared" si="82"/>
        <v>0</v>
      </c>
      <c r="F216">
        <f t="shared" si="82"/>
        <v>9</v>
      </c>
      <c r="G216">
        <f t="shared" si="82"/>
        <v>0</v>
      </c>
      <c r="H216">
        <f t="shared" si="82"/>
        <v>0</v>
      </c>
      <c r="I216">
        <f t="shared" si="82"/>
        <v>5</v>
      </c>
      <c r="J216">
        <f t="shared" si="82"/>
        <v>2</v>
      </c>
      <c r="K216">
        <f t="shared" si="82"/>
        <v>0</v>
      </c>
      <c r="L216" t="b">
        <f t="shared" si="83"/>
        <v>1</v>
      </c>
      <c r="W216" t="s">
        <v>39</v>
      </c>
      <c r="X216" t="s">
        <v>24</v>
      </c>
      <c r="Y216">
        <v>104</v>
      </c>
      <c r="Z216">
        <v>0</v>
      </c>
      <c r="AA216">
        <v>0</v>
      </c>
      <c r="AB216">
        <v>34</v>
      </c>
      <c r="AC216">
        <v>1</v>
      </c>
      <c r="AD216">
        <v>0</v>
      </c>
      <c r="AE216">
        <v>8</v>
      </c>
      <c r="AF216">
        <v>15</v>
      </c>
      <c r="AG216">
        <v>46</v>
      </c>
      <c r="AH216">
        <v>16</v>
      </c>
    </row>
    <row r="217" spans="1:34" x14ac:dyDescent="0.25">
      <c r="A217" t="s">
        <v>38</v>
      </c>
      <c r="B217" t="str">
        <f t="shared" si="84"/>
        <v>zaqef-gadol</v>
      </c>
      <c r="C217">
        <f t="shared" si="81"/>
        <v>20</v>
      </c>
      <c r="D217">
        <f t="shared" si="82"/>
        <v>0</v>
      </c>
      <c r="E217">
        <f t="shared" si="82"/>
        <v>0</v>
      </c>
      <c r="F217">
        <f t="shared" si="82"/>
        <v>10</v>
      </c>
      <c r="G217">
        <f t="shared" si="82"/>
        <v>0</v>
      </c>
      <c r="H217">
        <f t="shared" si="82"/>
        <v>0</v>
      </c>
      <c r="I217">
        <f t="shared" si="82"/>
        <v>7</v>
      </c>
      <c r="J217">
        <f t="shared" si="82"/>
        <v>3</v>
      </c>
      <c r="K217">
        <f t="shared" si="82"/>
        <v>0</v>
      </c>
      <c r="L217" t="b">
        <f t="shared" si="83"/>
        <v>1</v>
      </c>
      <c r="W217" t="s">
        <v>39</v>
      </c>
      <c r="X217" t="s">
        <v>66</v>
      </c>
      <c r="Y217">
        <v>115</v>
      </c>
      <c r="Z217">
        <v>0</v>
      </c>
      <c r="AA217">
        <v>0</v>
      </c>
      <c r="AB217">
        <v>19</v>
      </c>
      <c r="AC217">
        <v>0</v>
      </c>
      <c r="AD217">
        <v>0</v>
      </c>
      <c r="AE217">
        <v>3</v>
      </c>
      <c r="AF217">
        <v>72</v>
      </c>
      <c r="AG217">
        <v>21</v>
      </c>
      <c r="AH217">
        <v>16</v>
      </c>
    </row>
    <row r="218" spans="1:34" x14ac:dyDescent="0.25">
      <c r="A218" t="s">
        <v>38</v>
      </c>
      <c r="B218" t="str">
        <f t="shared" si="84"/>
        <v>qadma</v>
      </c>
      <c r="C218">
        <f t="shared" si="81"/>
        <v>28</v>
      </c>
      <c r="D218">
        <f t="shared" si="82"/>
        <v>0</v>
      </c>
      <c r="E218">
        <f t="shared" si="82"/>
        <v>0</v>
      </c>
      <c r="F218">
        <f t="shared" si="82"/>
        <v>14</v>
      </c>
      <c r="G218">
        <f t="shared" si="82"/>
        <v>0</v>
      </c>
      <c r="H218">
        <f t="shared" si="82"/>
        <v>0</v>
      </c>
      <c r="I218">
        <f t="shared" si="82"/>
        <v>7</v>
      </c>
      <c r="J218">
        <f t="shared" si="82"/>
        <v>7</v>
      </c>
      <c r="K218">
        <f t="shared" si="82"/>
        <v>0</v>
      </c>
      <c r="L218" t="b">
        <f t="shared" si="83"/>
        <v>1</v>
      </c>
      <c r="W218" t="s">
        <v>40</v>
      </c>
      <c r="X218" t="s">
        <v>11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17</v>
      </c>
    </row>
    <row r="219" spans="1:34" x14ac:dyDescent="0.25">
      <c r="A219" t="s">
        <v>38</v>
      </c>
      <c r="B219" t="str">
        <f t="shared" si="84"/>
        <v>revia</v>
      </c>
      <c r="C219">
        <f t="shared" si="81"/>
        <v>60</v>
      </c>
      <c r="D219">
        <f t="shared" si="82"/>
        <v>0</v>
      </c>
      <c r="E219">
        <f t="shared" si="82"/>
        <v>0</v>
      </c>
      <c r="F219">
        <f t="shared" si="82"/>
        <v>14</v>
      </c>
      <c r="G219">
        <f t="shared" si="82"/>
        <v>0</v>
      </c>
      <c r="H219">
        <f t="shared" si="82"/>
        <v>0</v>
      </c>
      <c r="I219">
        <f t="shared" si="82"/>
        <v>8</v>
      </c>
      <c r="J219">
        <f t="shared" si="82"/>
        <v>38</v>
      </c>
      <c r="K219">
        <f t="shared" si="82"/>
        <v>0</v>
      </c>
      <c r="L219" t="b">
        <f t="shared" si="83"/>
        <v>1</v>
      </c>
      <c r="W219" t="s">
        <v>40</v>
      </c>
      <c r="X219" t="s">
        <v>5</v>
      </c>
      <c r="Y219">
        <v>3</v>
      </c>
      <c r="Z219">
        <v>0</v>
      </c>
      <c r="AA219">
        <v>0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17</v>
      </c>
    </row>
    <row r="220" spans="1:34" x14ac:dyDescent="0.25">
      <c r="A220" t="s">
        <v>38</v>
      </c>
      <c r="B220" t="str">
        <f t="shared" si="84"/>
        <v>pashta</v>
      </c>
      <c r="C220">
        <f t="shared" si="81"/>
        <v>238</v>
      </c>
      <c r="D220">
        <f t="shared" si="82"/>
        <v>0</v>
      </c>
      <c r="E220">
        <f t="shared" si="82"/>
        <v>0</v>
      </c>
      <c r="F220">
        <f t="shared" si="82"/>
        <v>60</v>
      </c>
      <c r="G220">
        <f t="shared" si="82"/>
        <v>15</v>
      </c>
      <c r="H220">
        <f t="shared" si="82"/>
        <v>0</v>
      </c>
      <c r="I220">
        <f t="shared" si="82"/>
        <v>28</v>
      </c>
      <c r="J220">
        <f t="shared" si="82"/>
        <v>23</v>
      </c>
      <c r="K220">
        <f t="shared" si="82"/>
        <v>112</v>
      </c>
      <c r="L220" t="b">
        <f t="shared" si="83"/>
        <v>1</v>
      </c>
      <c r="W220" t="s">
        <v>40</v>
      </c>
      <c r="X220" t="s">
        <v>22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</v>
      </c>
      <c r="AG220">
        <v>0</v>
      </c>
      <c r="AH220">
        <v>17</v>
      </c>
    </row>
    <row r="221" spans="1:34" x14ac:dyDescent="0.25">
      <c r="A221" t="s">
        <v>38</v>
      </c>
      <c r="B221" t="str">
        <f t="shared" si="84"/>
        <v>zaqef-qatan</v>
      </c>
      <c r="C221">
        <f t="shared" si="81"/>
        <v>264</v>
      </c>
      <c r="D221">
        <f t="shared" si="82"/>
        <v>0</v>
      </c>
      <c r="E221">
        <f t="shared" si="82"/>
        <v>0</v>
      </c>
      <c r="F221">
        <f t="shared" si="82"/>
        <v>37</v>
      </c>
      <c r="G221">
        <f t="shared" si="82"/>
        <v>5</v>
      </c>
      <c r="H221">
        <f t="shared" si="82"/>
        <v>0</v>
      </c>
      <c r="I221">
        <f t="shared" si="82"/>
        <v>4</v>
      </c>
      <c r="J221">
        <f t="shared" si="82"/>
        <v>158</v>
      </c>
      <c r="K221">
        <f t="shared" si="82"/>
        <v>60</v>
      </c>
      <c r="L221" t="b">
        <f t="shared" si="83"/>
        <v>1</v>
      </c>
      <c r="W221" t="s">
        <v>40</v>
      </c>
      <c r="X221" t="s">
        <v>4</v>
      </c>
      <c r="Y221">
        <v>4</v>
      </c>
      <c r="Z221">
        <v>0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17</v>
      </c>
    </row>
    <row r="222" spans="1:34" x14ac:dyDescent="0.25">
      <c r="D222" t="s">
        <v>60</v>
      </c>
      <c r="E222" t="s">
        <v>14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W222" t="s">
        <v>40</v>
      </c>
      <c r="X222" t="s">
        <v>63</v>
      </c>
      <c r="Y222">
        <v>4</v>
      </c>
      <c r="Z222">
        <v>0</v>
      </c>
      <c r="AA222">
        <v>0</v>
      </c>
      <c r="AB222">
        <v>3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17</v>
      </c>
    </row>
    <row r="223" spans="1:34" x14ac:dyDescent="0.25">
      <c r="A223" t="s">
        <v>39</v>
      </c>
      <c r="B223" t="str">
        <f>X207</f>
        <v>segol</v>
      </c>
      <c r="C223">
        <f t="shared" ref="C223:C233" si="85">SUM(D223:K223)</f>
        <v>1</v>
      </c>
      <c r="D223">
        <f t="shared" ref="D223:K233" si="86">Z207</f>
        <v>0</v>
      </c>
      <c r="E223">
        <f t="shared" si="86"/>
        <v>0</v>
      </c>
      <c r="F223">
        <f t="shared" si="86"/>
        <v>0</v>
      </c>
      <c r="G223">
        <f t="shared" si="86"/>
        <v>0</v>
      </c>
      <c r="H223">
        <f t="shared" si="86"/>
        <v>0</v>
      </c>
      <c r="I223">
        <f t="shared" si="86"/>
        <v>0</v>
      </c>
      <c r="J223">
        <f t="shared" si="86"/>
        <v>1</v>
      </c>
      <c r="K223">
        <f t="shared" si="86"/>
        <v>0</v>
      </c>
      <c r="L223" t="b">
        <f t="shared" ref="L223:L233" si="87">SUM(D223:K223)=Y207</f>
        <v>1</v>
      </c>
      <c r="W223" t="s">
        <v>40</v>
      </c>
      <c r="X223" t="s">
        <v>65</v>
      </c>
      <c r="Y223">
        <v>5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1</v>
      </c>
      <c r="AF223">
        <v>1</v>
      </c>
      <c r="AG223">
        <v>1</v>
      </c>
      <c r="AH223">
        <v>17</v>
      </c>
    </row>
    <row r="224" spans="1:34" x14ac:dyDescent="0.25">
      <c r="A224" t="s">
        <v>39</v>
      </c>
      <c r="B224" t="str">
        <f t="shared" ref="B224:B233" si="88">X208</f>
        <v>tsinnor</v>
      </c>
      <c r="C224">
        <f t="shared" si="85"/>
        <v>1</v>
      </c>
      <c r="D224">
        <f t="shared" si="86"/>
        <v>0</v>
      </c>
      <c r="E224">
        <f t="shared" si="86"/>
        <v>0</v>
      </c>
      <c r="F224">
        <f t="shared" si="86"/>
        <v>0</v>
      </c>
      <c r="G224">
        <f t="shared" si="86"/>
        <v>0</v>
      </c>
      <c r="H224">
        <f t="shared" si="86"/>
        <v>0</v>
      </c>
      <c r="I224">
        <f t="shared" si="86"/>
        <v>0</v>
      </c>
      <c r="J224">
        <f t="shared" si="86"/>
        <v>1</v>
      </c>
      <c r="K224">
        <f t="shared" si="86"/>
        <v>0</v>
      </c>
      <c r="L224" t="b">
        <f t="shared" si="87"/>
        <v>1</v>
      </c>
      <c r="W224" t="s">
        <v>40</v>
      </c>
      <c r="X224" t="s">
        <v>64</v>
      </c>
      <c r="Y224">
        <v>10</v>
      </c>
      <c r="Z224">
        <v>0</v>
      </c>
      <c r="AA224">
        <v>0</v>
      </c>
      <c r="AB224">
        <v>6</v>
      </c>
      <c r="AC224">
        <v>0</v>
      </c>
      <c r="AD224">
        <v>0</v>
      </c>
      <c r="AE224">
        <v>1</v>
      </c>
      <c r="AF224">
        <v>3</v>
      </c>
      <c r="AG224">
        <v>0</v>
      </c>
      <c r="AH224">
        <v>17</v>
      </c>
    </row>
    <row r="225" spans="1:34" x14ac:dyDescent="0.25">
      <c r="A225" t="s">
        <v>39</v>
      </c>
      <c r="B225" t="str">
        <f t="shared" si="88"/>
        <v>telisha-qetana</v>
      </c>
      <c r="C225">
        <f t="shared" si="85"/>
        <v>1</v>
      </c>
      <c r="D225">
        <f t="shared" si="86"/>
        <v>0</v>
      </c>
      <c r="E225">
        <f t="shared" si="86"/>
        <v>0</v>
      </c>
      <c r="F225">
        <f t="shared" si="86"/>
        <v>1</v>
      </c>
      <c r="G225">
        <f t="shared" si="86"/>
        <v>0</v>
      </c>
      <c r="H225">
        <f t="shared" si="86"/>
        <v>0</v>
      </c>
      <c r="I225">
        <f t="shared" si="86"/>
        <v>0</v>
      </c>
      <c r="J225">
        <f t="shared" si="86"/>
        <v>0</v>
      </c>
      <c r="K225">
        <f t="shared" si="86"/>
        <v>0</v>
      </c>
      <c r="L225" t="b">
        <f t="shared" si="87"/>
        <v>1</v>
      </c>
      <c r="W225" t="s">
        <v>40</v>
      </c>
      <c r="X225" t="s">
        <v>23</v>
      </c>
      <c r="Y225">
        <v>19</v>
      </c>
      <c r="Z225">
        <v>0</v>
      </c>
      <c r="AA225">
        <v>0</v>
      </c>
      <c r="AB225">
        <v>9</v>
      </c>
      <c r="AC225">
        <v>0</v>
      </c>
      <c r="AD225">
        <v>0</v>
      </c>
      <c r="AE225">
        <v>3</v>
      </c>
      <c r="AF225">
        <v>7</v>
      </c>
      <c r="AG225">
        <v>0</v>
      </c>
      <c r="AH225">
        <v>17</v>
      </c>
    </row>
    <row r="226" spans="1:34" x14ac:dyDescent="0.25">
      <c r="A226" t="s">
        <v>39</v>
      </c>
      <c r="B226" t="str">
        <f t="shared" si="88"/>
        <v>telisha-gedola</v>
      </c>
      <c r="C226">
        <f t="shared" si="85"/>
        <v>2</v>
      </c>
      <c r="D226">
        <f t="shared" si="86"/>
        <v>0</v>
      </c>
      <c r="E226">
        <f t="shared" si="86"/>
        <v>0</v>
      </c>
      <c r="F226">
        <f t="shared" si="86"/>
        <v>1</v>
      </c>
      <c r="G226">
        <f t="shared" si="86"/>
        <v>0</v>
      </c>
      <c r="H226">
        <f t="shared" si="86"/>
        <v>0</v>
      </c>
      <c r="I226">
        <f t="shared" si="86"/>
        <v>1</v>
      </c>
      <c r="J226">
        <f t="shared" si="86"/>
        <v>0</v>
      </c>
      <c r="K226">
        <f t="shared" si="86"/>
        <v>0</v>
      </c>
      <c r="L226" t="b">
        <f t="shared" si="87"/>
        <v>1</v>
      </c>
      <c r="W226" t="s">
        <v>40</v>
      </c>
      <c r="X226" t="s">
        <v>8</v>
      </c>
      <c r="Y226">
        <v>27</v>
      </c>
      <c r="Z226">
        <v>0</v>
      </c>
      <c r="AA226">
        <v>0</v>
      </c>
      <c r="AB226">
        <v>18</v>
      </c>
      <c r="AC226">
        <v>0</v>
      </c>
      <c r="AD226">
        <v>0</v>
      </c>
      <c r="AE226">
        <v>6</v>
      </c>
      <c r="AF226">
        <v>3</v>
      </c>
      <c r="AG226">
        <v>0</v>
      </c>
      <c r="AH226">
        <v>17</v>
      </c>
    </row>
    <row r="227" spans="1:34" x14ac:dyDescent="0.25">
      <c r="A227" t="s">
        <v>39</v>
      </c>
      <c r="B227" t="str">
        <f t="shared" si="88"/>
        <v>zaqef-gadol</v>
      </c>
      <c r="C227">
        <f t="shared" si="85"/>
        <v>6</v>
      </c>
      <c r="D227">
        <f t="shared" si="86"/>
        <v>0</v>
      </c>
      <c r="E227">
        <f t="shared" si="86"/>
        <v>0</v>
      </c>
      <c r="F227">
        <f t="shared" si="86"/>
        <v>2</v>
      </c>
      <c r="G227">
        <f t="shared" si="86"/>
        <v>0</v>
      </c>
      <c r="H227">
        <f t="shared" si="86"/>
        <v>0</v>
      </c>
      <c r="I227">
        <f t="shared" si="86"/>
        <v>2</v>
      </c>
      <c r="J227">
        <f t="shared" si="86"/>
        <v>2</v>
      </c>
      <c r="K227">
        <f t="shared" si="86"/>
        <v>0</v>
      </c>
      <c r="L227" t="b">
        <f t="shared" si="87"/>
        <v>1</v>
      </c>
      <c r="W227" t="s">
        <v>40</v>
      </c>
      <c r="X227" t="s">
        <v>6</v>
      </c>
      <c r="Y227">
        <v>44</v>
      </c>
      <c r="Z227">
        <v>0</v>
      </c>
      <c r="AA227">
        <v>0</v>
      </c>
      <c r="AB227">
        <v>21</v>
      </c>
      <c r="AC227">
        <v>0</v>
      </c>
      <c r="AD227">
        <v>0</v>
      </c>
      <c r="AE227">
        <v>12</v>
      </c>
      <c r="AF227">
        <v>9</v>
      </c>
      <c r="AG227">
        <v>2</v>
      </c>
      <c r="AH227">
        <v>17</v>
      </c>
    </row>
    <row r="228" spans="1:34" x14ac:dyDescent="0.25">
      <c r="A228" t="s">
        <v>39</v>
      </c>
      <c r="B228" t="str">
        <f t="shared" si="88"/>
        <v>tarsin</v>
      </c>
      <c r="C228">
        <f t="shared" si="85"/>
        <v>6</v>
      </c>
      <c r="D228">
        <f t="shared" si="86"/>
        <v>0</v>
      </c>
      <c r="E228">
        <f t="shared" si="86"/>
        <v>0</v>
      </c>
      <c r="F228">
        <f t="shared" si="86"/>
        <v>5</v>
      </c>
      <c r="G228">
        <f t="shared" si="86"/>
        <v>0</v>
      </c>
      <c r="H228">
        <f t="shared" si="86"/>
        <v>0</v>
      </c>
      <c r="I228">
        <f t="shared" si="86"/>
        <v>1</v>
      </c>
      <c r="J228">
        <f t="shared" si="86"/>
        <v>0</v>
      </c>
      <c r="K228">
        <f t="shared" si="86"/>
        <v>0</v>
      </c>
      <c r="L228" t="b">
        <f t="shared" si="87"/>
        <v>1</v>
      </c>
      <c r="W228" t="s">
        <v>40</v>
      </c>
      <c r="X228" t="s">
        <v>1</v>
      </c>
      <c r="Y228">
        <v>53</v>
      </c>
      <c r="Z228">
        <v>0</v>
      </c>
      <c r="AA228">
        <v>0</v>
      </c>
      <c r="AB228">
        <v>18</v>
      </c>
      <c r="AC228">
        <v>0</v>
      </c>
      <c r="AD228">
        <v>0</v>
      </c>
      <c r="AE228">
        <v>9</v>
      </c>
      <c r="AF228">
        <v>26</v>
      </c>
      <c r="AG228">
        <v>0</v>
      </c>
      <c r="AH228">
        <v>17</v>
      </c>
    </row>
    <row r="229" spans="1:34" x14ac:dyDescent="0.25">
      <c r="A229" t="s">
        <v>39</v>
      </c>
      <c r="B229" t="str">
        <f t="shared" si="88"/>
        <v>azla</v>
      </c>
      <c r="C229">
        <f t="shared" si="85"/>
        <v>7</v>
      </c>
      <c r="D229">
        <f t="shared" si="86"/>
        <v>0</v>
      </c>
      <c r="E229">
        <f t="shared" si="86"/>
        <v>0</v>
      </c>
      <c r="F229">
        <f t="shared" si="86"/>
        <v>4</v>
      </c>
      <c r="G229">
        <f t="shared" si="86"/>
        <v>0</v>
      </c>
      <c r="H229">
        <f t="shared" si="86"/>
        <v>0</v>
      </c>
      <c r="I229">
        <f t="shared" si="86"/>
        <v>3</v>
      </c>
      <c r="J229">
        <f t="shared" si="86"/>
        <v>0</v>
      </c>
      <c r="K229">
        <f t="shared" si="86"/>
        <v>0</v>
      </c>
      <c r="L229" t="b">
        <f t="shared" si="87"/>
        <v>1</v>
      </c>
      <c r="W229" t="s">
        <v>40</v>
      </c>
      <c r="X229" t="s">
        <v>24</v>
      </c>
      <c r="Y229">
        <v>191</v>
      </c>
      <c r="Z229">
        <v>0</v>
      </c>
      <c r="AA229">
        <v>0</v>
      </c>
      <c r="AB229">
        <v>35</v>
      </c>
      <c r="AC229">
        <v>5</v>
      </c>
      <c r="AD229">
        <v>0</v>
      </c>
      <c r="AE229">
        <v>13</v>
      </c>
      <c r="AF229">
        <v>20</v>
      </c>
      <c r="AG229">
        <v>118</v>
      </c>
      <c r="AH229">
        <v>17</v>
      </c>
    </row>
    <row r="230" spans="1:34" x14ac:dyDescent="0.25">
      <c r="A230" t="s">
        <v>39</v>
      </c>
      <c r="B230" t="str">
        <f t="shared" si="88"/>
        <v>qadma</v>
      </c>
      <c r="C230">
        <f t="shared" si="85"/>
        <v>13</v>
      </c>
      <c r="D230">
        <f t="shared" si="86"/>
        <v>0</v>
      </c>
      <c r="E230">
        <f t="shared" si="86"/>
        <v>0</v>
      </c>
      <c r="F230">
        <f t="shared" si="86"/>
        <v>4</v>
      </c>
      <c r="G230">
        <f t="shared" si="86"/>
        <v>0</v>
      </c>
      <c r="H230">
        <f t="shared" si="86"/>
        <v>0</v>
      </c>
      <c r="I230">
        <f t="shared" si="86"/>
        <v>5</v>
      </c>
      <c r="J230">
        <f t="shared" si="86"/>
        <v>4</v>
      </c>
      <c r="K230">
        <f t="shared" si="86"/>
        <v>0</v>
      </c>
      <c r="L230" t="b">
        <f t="shared" si="87"/>
        <v>1</v>
      </c>
      <c r="W230" t="s">
        <v>40</v>
      </c>
      <c r="X230" t="s">
        <v>66</v>
      </c>
      <c r="Y230">
        <v>198</v>
      </c>
      <c r="Z230">
        <v>0</v>
      </c>
      <c r="AA230">
        <v>0</v>
      </c>
      <c r="AB230">
        <v>19</v>
      </c>
      <c r="AC230">
        <v>1</v>
      </c>
      <c r="AD230">
        <v>0</v>
      </c>
      <c r="AE230">
        <v>2</v>
      </c>
      <c r="AF230">
        <v>119</v>
      </c>
      <c r="AG230">
        <v>57</v>
      </c>
      <c r="AH230">
        <v>17</v>
      </c>
    </row>
    <row r="231" spans="1:34" x14ac:dyDescent="0.25">
      <c r="A231" t="s">
        <v>39</v>
      </c>
      <c r="B231" t="str">
        <f t="shared" si="88"/>
        <v>revia</v>
      </c>
      <c r="C231">
        <f t="shared" si="85"/>
        <v>36</v>
      </c>
      <c r="D231">
        <f t="shared" si="86"/>
        <v>0</v>
      </c>
      <c r="E231">
        <f t="shared" si="86"/>
        <v>0</v>
      </c>
      <c r="F231">
        <f t="shared" si="86"/>
        <v>8</v>
      </c>
      <c r="G231">
        <f t="shared" si="86"/>
        <v>0</v>
      </c>
      <c r="H231">
        <f t="shared" si="86"/>
        <v>0</v>
      </c>
      <c r="I231">
        <f t="shared" si="86"/>
        <v>5</v>
      </c>
      <c r="J231">
        <f t="shared" si="86"/>
        <v>22</v>
      </c>
      <c r="K231">
        <f t="shared" si="86"/>
        <v>1</v>
      </c>
      <c r="L231" t="b">
        <f t="shared" si="87"/>
        <v>1</v>
      </c>
      <c r="W231" t="s">
        <v>41</v>
      </c>
      <c r="X231" t="s">
        <v>65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18</v>
      </c>
    </row>
    <row r="232" spans="1:34" x14ac:dyDescent="0.25">
      <c r="A232" t="s">
        <v>39</v>
      </c>
      <c r="B232" t="str">
        <f t="shared" si="88"/>
        <v>pashta</v>
      </c>
      <c r="C232">
        <f t="shared" si="85"/>
        <v>104</v>
      </c>
      <c r="D232">
        <f t="shared" si="86"/>
        <v>0</v>
      </c>
      <c r="E232">
        <f t="shared" si="86"/>
        <v>0</v>
      </c>
      <c r="F232">
        <f t="shared" si="86"/>
        <v>34</v>
      </c>
      <c r="G232">
        <f t="shared" si="86"/>
        <v>1</v>
      </c>
      <c r="H232">
        <f t="shared" si="86"/>
        <v>0</v>
      </c>
      <c r="I232">
        <f t="shared" si="86"/>
        <v>8</v>
      </c>
      <c r="J232">
        <f t="shared" si="86"/>
        <v>15</v>
      </c>
      <c r="K232">
        <f t="shared" si="86"/>
        <v>46</v>
      </c>
      <c r="L232" t="b">
        <f t="shared" si="87"/>
        <v>1</v>
      </c>
      <c r="W232" t="s">
        <v>41</v>
      </c>
      <c r="X232" t="s">
        <v>23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18</v>
      </c>
    </row>
    <row r="233" spans="1:34" x14ac:dyDescent="0.25">
      <c r="A233" t="s">
        <v>39</v>
      </c>
      <c r="B233" t="str">
        <f t="shared" si="88"/>
        <v>zaqef-qatan</v>
      </c>
      <c r="C233">
        <f t="shared" si="85"/>
        <v>115</v>
      </c>
      <c r="D233">
        <f t="shared" si="86"/>
        <v>0</v>
      </c>
      <c r="E233">
        <f t="shared" si="86"/>
        <v>0</v>
      </c>
      <c r="F233">
        <f t="shared" si="86"/>
        <v>19</v>
      </c>
      <c r="G233">
        <f t="shared" si="86"/>
        <v>0</v>
      </c>
      <c r="H233">
        <f t="shared" si="86"/>
        <v>0</v>
      </c>
      <c r="I233">
        <f t="shared" si="86"/>
        <v>3</v>
      </c>
      <c r="J233">
        <f t="shared" si="86"/>
        <v>72</v>
      </c>
      <c r="K233">
        <f t="shared" si="86"/>
        <v>21</v>
      </c>
      <c r="L233" t="b">
        <f t="shared" si="87"/>
        <v>1</v>
      </c>
      <c r="W233" t="s">
        <v>41</v>
      </c>
      <c r="X233" t="s">
        <v>63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18</v>
      </c>
    </row>
    <row r="234" spans="1:34" x14ac:dyDescent="0.25">
      <c r="D234" t="s">
        <v>60</v>
      </c>
      <c r="E234" t="s">
        <v>14</v>
      </c>
      <c r="F234" t="s">
        <v>15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  <c r="W234" t="s">
        <v>41</v>
      </c>
      <c r="X234" t="s">
        <v>64</v>
      </c>
      <c r="Y234">
        <v>2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18</v>
      </c>
    </row>
    <row r="235" spans="1:34" x14ac:dyDescent="0.25">
      <c r="A235" t="s">
        <v>40</v>
      </c>
      <c r="B235" t="str">
        <f>X218</f>
        <v>shalshelet</v>
      </c>
      <c r="C235">
        <f t="shared" ref="C235:C247" si="89">SUM(D235:K235)</f>
        <v>1</v>
      </c>
      <c r="D235">
        <f t="shared" ref="D235:K247" si="90">Z218</f>
        <v>0</v>
      </c>
      <c r="E235">
        <f t="shared" si="90"/>
        <v>0</v>
      </c>
      <c r="F235">
        <f t="shared" si="90"/>
        <v>1</v>
      </c>
      <c r="G235">
        <f t="shared" si="90"/>
        <v>0</v>
      </c>
      <c r="H235">
        <f t="shared" si="90"/>
        <v>0</v>
      </c>
      <c r="I235">
        <f t="shared" si="90"/>
        <v>0</v>
      </c>
      <c r="J235">
        <f t="shared" si="90"/>
        <v>0</v>
      </c>
      <c r="K235">
        <f t="shared" si="90"/>
        <v>0</v>
      </c>
      <c r="L235" t="b">
        <f t="shared" ref="L235:L247" si="91">SUM(D235:K235)=Y218</f>
        <v>1</v>
      </c>
      <c r="W235" t="s">
        <v>41</v>
      </c>
      <c r="X235" t="s">
        <v>8</v>
      </c>
      <c r="Y235">
        <v>4</v>
      </c>
      <c r="Z235">
        <v>0</v>
      </c>
      <c r="AA235">
        <v>0</v>
      </c>
      <c r="AB235">
        <v>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18</v>
      </c>
    </row>
    <row r="236" spans="1:34" x14ac:dyDescent="0.25">
      <c r="A236" t="s">
        <v>40</v>
      </c>
      <c r="B236" t="str">
        <f t="shared" ref="B236:B247" si="92">X219</f>
        <v>pazer</v>
      </c>
      <c r="C236">
        <f t="shared" si="89"/>
        <v>3</v>
      </c>
      <c r="D236">
        <f t="shared" si="90"/>
        <v>0</v>
      </c>
      <c r="E236">
        <f t="shared" si="90"/>
        <v>0</v>
      </c>
      <c r="F236">
        <f t="shared" si="90"/>
        <v>3</v>
      </c>
      <c r="G236">
        <f t="shared" si="90"/>
        <v>0</v>
      </c>
      <c r="H236">
        <f t="shared" si="90"/>
        <v>0</v>
      </c>
      <c r="I236">
        <f t="shared" si="90"/>
        <v>0</v>
      </c>
      <c r="J236">
        <f t="shared" si="90"/>
        <v>0</v>
      </c>
      <c r="K236">
        <f t="shared" si="90"/>
        <v>0</v>
      </c>
      <c r="L236" t="b">
        <f t="shared" si="91"/>
        <v>1</v>
      </c>
      <c r="W236" t="s">
        <v>41</v>
      </c>
      <c r="X236" t="s">
        <v>6</v>
      </c>
      <c r="Y236">
        <v>5</v>
      </c>
      <c r="Z236">
        <v>0</v>
      </c>
      <c r="AA236">
        <v>0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18</v>
      </c>
    </row>
    <row r="237" spans="1:34" x14ac:dyDescent="0.25">
      <c r="A237" t="s">
        <v>40</v>
      </c>
      <c r="B237" t="str">
        <f t="shared" si="92"/>
        <v>segol</v>
      </c>
      <c r="C237">
        <f t="shared" si="89"/>
        <v>4</v>
      </c>
      <c r="D237">
        <f t="shared" si="90"/>
        <v>0</v>
      </c>
      <c r="E237">
        <f t="shared" si="90"/>
        <v>0</v>
      </c>
      <c r="F237">
        <f t="shared" si="90"/>
        <v>0</v>
      </c>
      <c r="G237">
        <f t="shared" si="90"/>
        <v>0</v>
      </c>
      <c r="H237">
        <f t="shared" si="90"/>
        <v>0</v>
      </c>
      <c r="I237">
        <f t="shared" si="90"/>
        <v>0</v>
      </c>
      <c r="J237">
        <f t="shared" si="90"/>
        <v>4</v>
      </c>
      <c r="K237">
        <f t="shared" si="90"/>
        <v>0</v>
      </c>
      <c r="L237" t="b">
        <f t="shared" si="91"/>
        <v>1</v>
      </c>
      <c r="W237" t="s">
        <v>41</v>
      </c>
      <c r="X237" t="s">
        <v>1</v>
      </c>
      <c r="Y237">
        <v>7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1</v>
      </c>
      <c r="AF237">
        <v>4</v>
      </c>
      <c r="AG237">
        <v>0</v>
      </c>
      <c r="AH237">
        <v>18</v>
      </c>
    </row>
    <row r="238" spans="1:34" x14ac:dyDescent="0.25">
      <c r="A238" t="s">
        <v>40</v>
      </c>
      <c r="B238" t="str">
        <f t="shared" si="92"/>
        <v>tsinnor</v>
      </c>
      <c r="C238">
        <f t="shared" si="89"/>
        <v>4</v>
      </c>
      <c r="D238">
        <f t="shared" si="90"/>
        <v>0</v>
      </c>
      <c r="E238">
        <f t="shared" si="90"/>
        <v>0</v>
      </c>
      <c r="F238">
        <f t="shared" si="90"/>
        <v>2</v>
      </c>
      <c r="G238">
        <f t="shared" si="90"/>
        <v>0</v>
      </c>
      <c r="H238">
        <f t="shared" si="90"/>
        <v>0</v>
      </c>
      <c r="I238">
        <f t="shared" si="90"/>
        <v>0</v>
      </c>
      <c r="J238">
        <f t="shared" si="90"/>
        <v>2</v>
      </c>
      <c r="K238">
        <f t="shared" si="90"/>
        <v>0</v>
      </c>
      <c r="L238" t="b">
        <f t="shared" si="91"/>
        <v>1</v>
      </c>
      <c r="W238" t="s">
        <v>41</v>
      </c>
      <c r="X238" t="s">
        <v>24</v>
      </c>
      <c r="Y238">
        <v>24</v>
      </c>
      <c r="Z238">
        <v>0</v>
      </c>
      <c r="AA238">
        <v>0</v>
      </c>
      <c r="AB238">
        <v>8</v>
      </c>
      <c r="AC238">
        <v>0</v>
      </c>
      <c r="AD238">
        <v>0</v>
      </c>
      <c r="AE238">
        <v>0</v>
      </c>
      <c r="AF238">
        <v>4</v>
      </c>
      <c r="AG238">
        <v>12</v>
      </c>
      <c r="AH238">
        <v>18</v>
      </c>
    </row>
    <row r="239" spans="1:34" x14ac:dyDescent="0.25">
      <c r="A239" t="s">
        <v>40</v>
      </c>
      <c r="B239" t="str">
        <f t="shared" si="92"/>
        <v>telisha-gedola</v>
      </c>
      <c r="C239">
        <f t="shared" si="89"/>
        <v>4</v>
      </c>
      <c r="D239">
        <f t="shared" si="90"/>
        <v>0</v>
      </c>
      <c r="E239">
        <f t="shared" si="90"/>
        <v>0</v>
      </c>
      <c r="F239">
        <f t="shared" si="90"/>
        <v>3</v>
      </c>
      <c r="G239">
        <f t="shared" si="90"/>
        <v>0</v>
      </c>
      <c r="H239">
        <f t="shared" si="90"/>
        <v>0</v>
      </c>
      <c r="I239">
        <f t="shared" si="90"/>
        <v>1</v>
      </c>
      <c r="J239">
        <f t="shared" si="90"/>
        <v>0</v>
      </c>
      <c r="K239">
        <f t="shared" si="90"/>
        <v>0</v>
      </c>
      <c r="L239" t="b">
        <f t="shared" si="91"/>
        <v>1</v>
      </c>
      <c r="W239" t="s">
        <v>41</v>
      </c>
      <c r="X239" t="s">
        <v>66</v>
      </c>
      <c r="Y239">
        <v>26</v>
      </c>
      <c r="Z239">
        <v>0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21</v>
      </c>
      <c r="AG239">
        <v>3</v>
      </c>
      <c r="AH239">
        <v>18</v>
      </c>
    </row>
    <row r="240" spans="1:34" x14ac:dyDescent="0.25">
      <c r="A240" t="s">
        <v>40</v>
      </c>
      <c r="B240" t="str">
        <f t="shared" si="92"/>
        <v>zaqef-gadol</v>
      </c>
      <c r="C240">
        <f t="shared" si="89"/>
        <v>5</v>
      </c>
      <c r="D240">
        <f t="shared" si="90"/>
        <v>0</v>
      </c>
      <c r="E240">
        <f t="shared" si="90"/>
        <v>0</v>
      </c>
      <c r="F240">
        <f t="shared" si="90"/>
        <v>2</v>
      </c>
      <c r="G240">
        <f t="shared" si="90"/>
        <v>0</v>
      </c>
      <c r="H240">
        <f t="shared" si="90"/>
        <v>0</v>
      </c>
      <c r="I240">
        <f t="shared" si="90"/>
        <v>1</v>
      </c>
      <c r="J240">
        <f t="shared" si="90"/>
        <v>1</v>
      </c>
      <c r="K240">
        <f t="shared" si="90"/>
        <v>1</v>
      </c>
      <c r="L240" t="b">
        <f t="shared" si="91"/>
        <v>1</v>
      </c>
      <c r="W240" t="s">
        <v>42</v>
      </c>
      <c r="X240" t="s">
        <v>5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19</v>
      </c>
    </row>
    <row r="241" spans="1:34" x14ac:dyDescent="0.25">
      <c r="A241" t="s">
        <v>40</v>
      </c>
      <c r="B241" t="str">
        <f t="shared" si="92"/>
        <v>telisha-qetana</v>
      </c>
      <c r="C241">
        <f t="shared" si="89"/>
        <v>10</v>
      </c>
      <c r="D241">
        <f t="shared" si="90"/>
        <v>0</v>
      </c>
      <c r="E241">
        <f t="shared" si="90"/>
        <v>0</v>
      </c>
      <c r="F241">
        <f t="shared" si="90"/>
        <v>6</v>
      </c>
      <c r="G241">
        <f t="shared" si="90"/>
        <v>0</v>
      </c>
      <c r="H241">
        <f t="shared" si="90"/>
        <v>0</v>
      </c>
      <c r="I241">
        <f t="shared" si="90"/>
        <v>1</v>
      </c>
      <c r="J241">
        <f t="shared" si="90"/>
        <v>3</v>
      </c>
      <c r="K241">
        <f t="shared" si="90"/>
        <v>0</v>
      </c>
      <c r="L241" t="b">
        <f t="shared" si="91"/>
        <v>1</v>
      </c>
      <c r="W241" t="s">
        <v>42</v>
      </c>
      <c r="X241" t="s">
        <v>22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19</v>
      </c>
    </row>
    <row r="242" spans="1:34" x14ac:dyDescent="0.25">
      <c r="A242" t="s">
        <v>40</v>
      </c>
      <c r="B242" t="str">
        <f t="shared" si="92"/>
        <v>tarsin</v>
      </c>
      <c r="C242">
        <f t="shared" si="89"/>
        <v>19</v>
      </c>
      <c r="D242">
        <f t="shared" si="90"/>
        <v>0</v>
      </c>
      <c r="E242">
        <f t="shared" si="90"/>
        <v>0</v>
      </c>
      <c r="F242">
        <f t="shared" si="90"/>
        <v>9</v>
      </c>
      <c r="G242">
        <f t="shared" si="90"/>
        <v>0</v>
      </c>
      <c r="H242">
        <f t="shared" si="90"/>
        <v>0</v>
      </c>
      <c r="I242">
        <f t="shared" si="90"/>
        <v>3</v>
      </c>
      <c r="J242">
        <f t="shared" si="90"/>
        <v>7</v>
      </c>
      <c r="K242">
        <f t="shared" si="90"/>
        <v>0</v>
      </c>
      <c r="L242" t="b">
        <f t="shared" si="91"/>
        <v>1</v>
      </c>
      <c r="W242" t="s">
        <v>42</v>
      </c>
      <c r="X242" t="s">
        <v>4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19</v>
      </c>
    </row>
    <row r="243" spans="1:34" x14ac:dyDescent="0.25">
      <c r="A243" t="s">
        <v>40</v>
      </c>
      <c r="B243" t="str">
        <f t="shared" si="92"/>
        <v>azla</v>
      </c>
      <c r="C243">
        <f t="shared" si="89"/>
        <v>27</v>
      </c>
      <c r="D243">
        <f t="shared" si="90"/>
        <v>0</v>
      </c>
      <c r="E243">
        <f t="shared" si="90"/>
        <v>0</v>
      </c>
      <c r="F243">
        <f t="shared" si="90"/>
        <v>18</v>
      </c>
      <c r="G243">
        <f t="shared" si="90"/>
        <v>0</v>
      </c>
      <c r="H243">
        <f t="shared" si="90"/>
        <v>0</v>
      </c>
      <c r="I243">
        <f t="shared" si="90"/>
        <v>6</v>
      </c>
      <c r="J243">
        <f t="shared" si="90"/>
        <v>3</v>
      </c>
      <c r="K243">
        <f t="shared" si="90"/>
        <v>0</v>
      </c>
      <c r="L243" t="b">
        <f t="shared" si="91"/>
        <v>1</v>
      </c>
      <c r="W243" t="s">
        <v>42</v>
      </c>
      <c r="X243" t="s">
        <v>65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1</v>
      </c>
      <c r="AH243">
        <v>19</v>
      </c>
    </row>
    <row r="244" spans="1:34" x14ac:dyDescent="0.25">
      <c r="A244" t="s">
        <v>40</v>
      </c>
      <c r="B244" t="str">
        <f t="shared" si="92"/>
        <v>qadma</v>
      </c>
      <c r="C244">
        <f t="shared" si="89"/>
        <v>44</v>
      </c>
      <c r="D244">
        <f t="shared" si="90"/>
        <v>0</v>
      </c>
      <c r="E244">
        <f t="shared" si="90"/>
        <v>0</v>
      </c>
      <c r="F244">
        <f t="shared" si="90"/>
        <v>21</v>
      </c>
      <c r="G244">
        <f t="shared" si="90"/>
        <v>0</v>
      </c>
      <c r="H244">
        <f t="shared" si="90"/>
        <v>0</v>
      </c>
      <c r="I244">
        <f t="shared" si="90"/>
        <v>12</v>
      </c>
      <c r="J244">
        <f t="shared" si="90"/>
        <v>9</v>
      </c>
      <c r="K244">
        <f t="shared" si="90"/>
        <v>2</v>
      </c>
      <c r="L244" t="b">
        <f t="shared" si="91"/>
        <v>1</v>
      </c>
      <c r="W244" t="s">
        <v>42</v>
      </c>
      <c r="X244" t="s">
        <v>64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19</v>
      </c>
    </row>
    <row r="245" spans="1:34" x14ac:dyDescent="0.25">
      <c r="A245" t="s">
        <v>40</v>
      </c>
      <c r="B245" t="str">
        <f t="shared" si="92"/>
        <v>revia</v>
      </c>
      <c r="C245">
        <f t="shared" si="89"/>
        <v>53</v>
      </c>
      <c r="D245">
        <f t="shared" si="90"/>
        <v>0</v>
      </c>
      <c r="E245">
        <f t="shared" si="90"/>
        <v>0</v>
      </c>
      <c r="F245">
        <f t="shared" si="90"/>
        <v>18</v>
      </c>
      <c r="G245">
        <f t="shared" si="90"/>
        <v>0</v>
      </c>
      <c r="H245">
        <f t="shared" si="90"/>
        <v>0</v>
      </c>
      <c r="I245">
        <f t="shared" si="90"/>
        <v>9</v>
      </c>
      <c r="J245">
        <f t="shared" si="90"/>
        <v>26</v>
      </c>
      <c r="K245">
        <f t="shared" si="90"/>
        <v>0</v>
      </c>
      <c r="L245" t="b">
        <f t="shared" si="91"/>
        <v>1</v>
      </c>
      <c r="W245" t="s">
        <v>42</v>
      </c>
      <c r="X245" t="s">
        <v>63</v>
      </c>
      <c r="Y245">
        <v>3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19</v>
      </c>
    </row>
    <row r="246" spans="1:34" x14ac:dyDescent="0.25">
      <c r="A246" t="s">
        <v>40</v>
      </c>
      <c r="B246" t="str">
        <f t="shared" si="92"/>
        <v>pashta</v>
      </c>
      <c r="C246">
        <f t="shared" si="89"/>
        <v>191</v>
      </c>
      <c r="D246">
        <f t="shared" si="90"/>
        <v>0</v>
      </c>
      <c r="E246">
        <f t="shared" si="90"/>
        <v>0</v>
      </c>
      <c r="F246">
        <f t="shared" si="90"/>
        <v>35</v>
      </c>
      <c r="G246">
        <f t="shared" si="90"/>
        <v>5</v>
      </c>
      <c r="H246">
        <f t="shared" si="90"/>
        <v>0</v>
      </c>
      <c r="I246">
        <f t="shared" si="90"/>
        <v>13</v>
      </c>
      <c r="J246">
        <f t="shared" si="90"/>
        <v>20</v>
      </c>
      <c r="K246">
        <f t="shared" si="90"/>
        <v>118</v>
      </c>
      <c r="L246" t="b">
        <f t="shared" si="91"/>
        <v>1</v>
      </c>
      <c r="W246" t="s">
        <v>42</v>
      </c>
      <c r="X246" t="s">
        <v>23</v>
      </c>
      <c r="Y246">
        <v>4</v>
      </c>
      <c r="Z246">
        <v>0</v>
      </c>
      <c r="AA246">
        <v>0</v>
      </c>
      <c r="AB246">
        <v>2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19</v>
      </c>
    </row>
    <row r="247" spans="1:34" x14ac:dyDescent="0.25">
      <c r="A247" t="s">
        <v>40</v>
      </c>
      <c r="B247" t="str">
        <f t="shared" si="92"/>
        <v>zaqef-qatan</v>
      </c>
      <c r="C247">
        <f t="shared" si="89"/>
        <v>198</v>
      </c>
      <c r="D247">
        <f t="shared" si="90"/>
        <v>0</v>
      </c>
      <c r="E247">
        <f t="shared" si="90"/>
        <v>0</v>
      </c>
      <c r="F247">
        <f t="shared" si="90"/>
        <v>19</v>
      </c>
      <c r="G247">
        <f t="shared" si="90"/>
        <v>1</v>
      </c>
      <c r="H247">
        <f t="shared" si="90"/>
        <v>0</v>
      </c>
      <c r="I247">
        <f t="shared" si="90"/>
        <v>2</v>
      </c>
      <c r="J247">
        <f t="shared" si="90"/>
        <v>119</v>
      </c>
      <c r="K247">
        <f t="shared" si="90"/>
        <v>57</v>
      </c>
      <c r="L247" t="b">
        <f t="shared" si="91"/>
        <v>1</v>
      </c>
      <c r="W247" t="s">
        <v>42</v>
      </c>
      <c r="X247" t="s">
        <v>8</v>
      </c>
      <c r="Y247">
        <v>9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3</v>
      </c>
      <c r="AF247">
        <v>3</v>
      </c>
      <c r="AG247">
        <v>0</v>
      </c>
      <c r="AH247">
        <v>19</v>
      </c>
    </row>
    <row r="248" spans="1:34" x14ac:dyDescent="0.25">
      <c r="D248" t="s">
        <v>60</v>
      </c>
      <c r="E248" t="s">
        <v>14</v>
      </c>
      <c r="F248" t="s">
        <v>15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W248" t="s">
        <v>42</v>
      </c>
      <c r="X248" t="s">
        <v>6</v>
      </c>
      <c r="Y248">
        <v>10</v>
      </c>
      <c r="Z248">
        <v>0</v>
      </c>
      <c r="AA248">
        <v>0</v>
      </c>
      <c r="AB248">
        <v>4</v>
      </c>
      <c r="AC248">
        <v>0</v>
      </c>
      <c r="AD248">
        <v>0</v>
      </c>
      <c r="AE248">
        <v>3</v>
      </c>
      <c r="AF248">
        <v>3</v>
      </c>
      <c r="AG248">
        <v>0</v>
      </c>
      <c r="AH248">
        <v>19</v>
      </c>
    </row>
    <row r="249" spans="1:34" x14ac:dyDescent="0.25">
      <c r="A249" t="s">
        <v>41</v>
      </c>
      <c r="B249" t="str">
        <f>X231</f>
        <v>zaqef-gadol</v>
      </c>
      <c r="C249">
        <f t="shared" ref="C249:C257" si="93">SUM(D249:K249)</f>
        <v>1</v>
      </c>
      <c r="D249">
        <f t="shared" ref="D249:K249" si="94">Z231</f>
        <v>0</v>
      </c>
      <c r="E249">
        <f t="shared" si="94"/>
        <v>0</v>
      </c>
      <c r="F249">
        <f t="shared" si="94"/>
        <v>0</v>
      </c>
      <c r="G249">
        <f t="shared" si="94"/>
        <v>0</v>
      </c>
      <c r="H249">
        <f t="shared" si="94"/>
        <v>0</v>
      </c>
      <c r="I249">
        <f t="shared" si="94"/>
        <v>1</v>
      </c>
      <c r="J249">
        <f t="shared" si="94"/>
        <v>0</v>
      </c>
      <c r="K249">
        <f t="shared" si="94"/>
        <v>0</v>
      </c>
      <c r="L249" t="b">
        <f t="shared" ref="L249:L257" si="95">SUM(D249:K249)=Y231</f>
        <v>1</v>
      </c>
      <c r="W249" t="s">
        <v>42</v>
      </c>
      <c r="X249" t="s">
        <v>1</v>
      </c>
      <c r="Y249">
        <v>26</v>
      </c>
      <c r="Z249">
        <v>0</v>
      </c>
      <c r="AA249">
        <v>0</v>
      </c>
      <c r="AB249">
        <v>8</v>
      </c>
      <c r="AC249">
        <v>0</v>
      </c>
      <c r="AD249">
        <v>0</v>
      </c>
      <c r="AE249">
        <v>3</v>
      </c>
      <c r="AF249">
        <v>15</v>
      </c>
      <c r="AG249">
        <v>0</v>
      </c>
      <c r="AH249">
        <v>19</v>
      </c>
    </row>
    <row r="250" spans="1:34" x14ac:dyDescent="0.25">
      <c r="A250" t="s">
        <v>41</v>
      </c>
      <c r="B250" t="str">
        <f>X232</f>
        <v>tarsin</v>
      </c>
      <c r="C250">
        <f t="shared" si="93"/>
        <v>1</v>
      </c>
      <c r="D250">
        <f t="shared" ref="D250:K257" si="96">Z232</f>
        <v>0</v>
      </c>
      <c r="E250">
        <f t="shared" si="96"/>
        <v>0</v>
      </c>
      <c r="F250">
        <f t="shared" si="96"/>
        <v>0</v>
      </c>
      <c r="G250">
        <f t="shared" si="96"/>
        <v>0</v>
      </c>
      <c r="H250">
        <f t="shared" si="96"/>
        <v>0</v>
      </c>
      <c r="I250">
        <f t="shared" si="96"/>
        <v>1</v>
      </c>
      <c r="J250">
        <f t="shared" si="96"/>
        <v>0</v>
      </c>
      <c r="K250">
        <f t="shared" si="96"/>
        <v>0</v>
      </c>
      <c r="L250" t="b">
        <f t="shared" si="95"/>
        <v>1</v>
      </c>
      <c r="W250" t="s">
        <v>42</v>
      </c>
      <c r="X250" t="s">
        <v>24</v>
      </c>
      <c r="Y250">
        <v>66</v>
      </c>
      <c r="Z250">
        <v>0</v>
      </c>
      <c r="AA250">
        <v>0</v>
      </c>
      <c r="AB250">
        <v>16</v>
      </c>
      <c r="AC250">
        <v>3</v>
      </c>
      <c r="AD250">
        <v>0</v>
      </c>
      <c r="AE250">
        <v>6</v>
      </c>
      <c r="AF250">
        <v>7</v>
      </c>
      <c r="AG250">
        <v>34</v>
      </c>
      <c r="AH250">
        <v>19</v>
      </c>
    </row>
    <row r="251" spans="1:34" x14ac:dyDescent="0.25">
      <c r="A251" t="s">
        <v>41</v>
      </c>
      <c r="B251" t="str">
        <f t="shared" ref="B251:B257" si="97">X233</f>
        <v>telisha-gedola</v>
      </c>
      <c r="C251">
        <f t="shared" si="93"/>
        <v>1</v>
      </c>
      <c r="D251">
        <f t="shared" si="96"/>
        <v>0</v>
      </c>
      <c r="E251">
        <f t="shared" si="96"/>
        <v>0</v>
      </c>
      <c r="F251">
        <f t="shared" si="96"/>
        <v>1</v>
      </c>
      <c r="G251">
        <f t="shared" si="96"/>
        <v>0</v>
      </c>
      <c r="H251">
        <f t="shared" si="96"/>
        <v>0</v>
      </c>
      <c r="I251">
        <f t="shared" si="96"/>
        <v>0</v>
      </c>
      <c r="J251">
        <f t="shared" si="96"/>
        <v>0</v>
      </c>
      <c r="K251">
        <f t="shared" si="96"/>
        <v>0</v>
      </c>
      <c r="L251" t="b">
        <f t="shared" si="95"/>
        <v>1</v>
      </c>
      <c r="W251" t="s">
        <v>42</v>
      </c>
      <c r="X251" t="s">
        <v>66</v>
      </c>
      <c r="Y251">
        <v>72</v>
      </c>
      <c r="Z251">
        <v>0</v>
      </c>
      <c r="AA251">
        <v>0</v>
      </c>
      <c r="AB251">
        <v>14</v>
      </c>
      <c r="AC251">
        <v>1</v>
      </c>
      <c r="AD251">
        <v>0</v>
      </c>
      <c r="AE251">
        <v>1</v>
      </c>
      <c r="AF251">
        <v>43</v>
      </c>
      <c r="AG251">
        <v>13</v>
      </c>
      <c r="AH251">
        <v>19</v>
      </c>
    </row>
    <row r="252" spans="1:34" x14ac:dyDescent="0.25">
      <c r="A252" t="s">
        <v>41</v>
      </c>
      <c r="B252" t="str">
        <f t="shared" si="97"/>
        <v>telisha-qetana</v>
      </c>
      <c r="C252">
        <f t="shared" si="93"/>
        <v>2</v>
      </c>
      <c r="D252">
        <f t="shared" si="96"/>
        <v>0</v>
      </c>
      <c r="E252">
        <f t="shared" si="96"/>
        <v>0</v>
      </c>
      <c r="F252">
        <f t="shared" si="96"/>
        <v>2</v>
      </c>
      <c r="G252">
        <f t="shared" si="96"/>
        <v>0</v>
      </c>
      <c r="H252">
        <f t="shared" si="96"/>
        <v>0</v>
      </c>
      <c r="I252">
        <f t="shared" si="96"/>
        <v>0</v>
      </c>
      <c r="J252">
        <f t="shared" si="96"/>
        <v>0</v>
      </c>
      <c r="K252">
        <f t="shared" si="96"/>
        <v>0</v>
      </c>
      <c r="L252" t="b">
        <f t="shared" si="95"/>
        <v>1</v>
      </c>
      <c r="W252" t="s">
        <v>43</v>
      </c>
      <c r="X252" t="s">
        <v>22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20</v>
      </c>
    </row>
    <row r="253" spans="1:34" x14ac:dyDescent="0.25">
      <c r="A253" t="s">
        <v>41</v>
      </c>
      <c r="B253" t="str">
        <f t="shared" si="97"/>
        <v>azla</v>
      </c>
      <c r="C253">
        <f t="shared" si="93"/>
        <v>4</v>
      </c>
      <c r="D253">
        <f t="shared" si="96"/>
        <v>0</v>
      </c>
      <c r="E253">
        <f t="shared" si="96"/>
        <v>0</v>
      </c>
      <c r="F253">
        <f t="shared" si="96"/>
        <v>4</v>
      </c>
      <c r="G253">
        <f t="shared" si="96"/>
        <v>0</v>
      </c>
      <c r="H253">
        <f t="shared" si="96"/>
        <v>0</v>
      </c>
      <c r="I253">
        <f t="shared" si="96"/>
        <v>0</v>
      </c>
      <c r="J253">
        <f t="shared" si="96"/>
        <v>0</v>
      </c>
      <c r="K253">
        <f t="shared" si="96"/>
        <v>0</v>
      </c>
      <c r="L253" t="b">
        <f t="shared" si="95"/>
        <v>1</v>
      </c>
      <c r="W253" t="s">
        <v>43</v>
      </c>
      <c r="X253" t="s">
        <v>4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20</v>
      </c>
    </row>
    <row r="254" spans="1:34" x14ac:dyDescent="0.25">
      <c r="A254" t="s">
        <v>41</v>
      </c>
      <c r="B254" t="str">
        <f t="shared" si="97"/>
        <v>qadma</v>
      </c>
      <c r="C254">
        <f t="shared" si="93"/>
        <v>5</v>
      </c>
      <c r="D254">
        <f t="shared" si="96"/>
        <v>0</v>
      </c>
      <c r="E254">
        <f t="shared" si="96"/>
        <v>0</v>
      </c>
      <c r="F254">
        <f t="shared" si="96"/>
        <v>5</v>
      </c>
      <c r="G254">
        <f t="shared" si="96"/>
        <v>0</v>
      </c>
      <c r="H254">
        <f t="shared" si="96"/>
        <v>0</v>
      </c>
      <c r="I254">
        <f t="shared" si="96"/>
        <v>0</v>
      </c>
      <c r="J254">
        <f t="shared" si="96"/>
        <v>0</v>
      </c>
      <c r="K254">
        <f t="shared" si="96"/>
        <v>0</v>
      </c>
      <c r="L254" t="b">
        <f t="shared" si="95"/>
        <v>1</v>
      </c>
      <c r="W254" t="s">
        <v>43</v>
      </c>
      <c r="X254" t="s">
        <v>63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</v>
      </c>
      <c r="AF254">
        <v>1</v>
      </c>
      <c r="AG254">
        <v>0</v>
      </c>
      <c r="AH254">
        <v>20</v>
      </c>
    </row>
    <row r="255" spans="1:34" x14ac:dyDescent="0.25">
      <c r="A255" t="s">
        <v>41</v>
      </c>
      <c r="B255" t="str">
        <f t="shared" si="97"/>
        <v>revia</v>
      </c>
      <c r="C255">
        <f t="shared" si="93"/>
        <v>7</v>
      </c>
      <c r="D255">
        <f t="shared" si="96"/>
        <v>0</v>
      </c>
      <c r="E255">
        <f t="shared" si="96"/>
        <v>0</v>
      </c>
      <c r="F255">
        <f t="shared" si="96"/>
        <v>2</v>
      </c>
      <c r="G255">
        <f t="shared" si="96"/>
        <v>0</v>
      </c>
      <c r="H255">
        <f t="shared" si="96"/>
        <v>0</v>
      </c>
      <c r="I255">
        <f t="shared" si="96"/>
        <v>1</v>
      </c>
      <c r="J255">
        <f t="shared" si="96"/>
        <v>4</v>
      </c>
      <c r="K255">
        <f t="shared" si="96"/>
        <v>0</v>
      </c>
      <c r="L255" t="b">
        <f t="shared" si="95"/>
        <v>1</v>
      </c>
      <c r="W255" t="s">
        <v>43</v>
      </c>
      <c r="X255" t="s">
        <v>64</v>
      </c>
      <c r="Y255">
        <v>5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3</v>
      </c>
      <c r="AF255">
        <v>0</v>
      </c>
      <c r="AG255">
        <v>0</v>
      </c>
      <c r="AH255">
        <v>20</v>
      </c>
    </row>
    <row r="256" spans="1:34" x14ac:dyDescent="0.25">
      <c r="A256" t="s">
        <v>41</v>
      </c>
      <c r="B256" t="str">
        <f t="shared" si="97"/>
        <v>pashta</v>
      </c>
      <c r="C256">
        <f t="shared" si="93"/>
        <v>24</v>
      </c>
      <c r="D256">
        <f t="shared" si="96"/>
        <v>0</v>
      </c>
      <c r="E256">
        <f t="shared" si="96"/>
        <v>0</v>
      </c>
      <c r="F256">
        <f t="shared" si="96"/>
        <v>8</v>
      </c>
      <c r="G256">
        <f t="shared" si="96"/>
        <v>0</v>
      </c>
      <c r="H256">
        <f t="shared" si="96"/>
        <v>0</v>
      </c>
      <c r="I256">
        <f t="shared" si="96"/>
        <v>0</v>
      </c>
      <c r="J256">
        <f t="shared" si="96"/>
        <v>4</v>
      </c>
      <c r="K256">
        <f t="shared" si="96"/>
        <v>12</v>
      </c>
      <c r="L256" t="b">
        <f t="shared" si="95"/>
        <v>1</v>
      </c>
      <c r="W256" t="s">
        <v>43</v>
      </c>
      <c r="X256" t="s">
        <v>65</v>
      </c>
      <c r="Y256">
        <v>6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2</v>
      </c>
      <c r="AF256">
        <v>2</v>
      </c>
      <c r="AG256">
        <v>0</v>
      </c>
      <c r="AH256">
        <v>20</v>
      </c>
    </row>
    <row r="257" spans="1:34" x14ac:dyDescent="0.25">
      <c r="A257" t="s">
        <v>41</v>
      </c>
      <c r="B257" t="str">
        <f t="shared" si="97"/>
        <v>zaqef-qatan</v>
      </c>
      <c r="C257">
        <f t="shared" si="93"/>
        <v>26</v>
      </c>
      <c r="D257">
        <f t="shared" si="96"/>
        <v>0</v>
      </c>
      <c r="E257">
        <f t="shared" si="96"/>
        <v>0</v>
      </c>
      <c r="F257">
        <f t="shared" si="96"/>
        <v>2</v>
      </c>
      <c r="G257">
        <f t="shared" si="96"/>
        <v>0</v>
      </c>
      <c r="H257">
        <f t="shared" si="96"/>
        <v>0</v>
      </c>
      <c r="I257">
        <f t="shared" si="96"/>
        <v>0</v>
      </c>
      <c r="J257">
        <f t="shared" si="96"/>
        <v>21</v>
      </c>
      <c r="K257">
        <f t="shared" si="96"/>
        <v>3</v>
      </c>
      <c r="L257" t="b">
        <f t="shared" si="95"/>
        <v>1</v>
      </c>
      <c r="W257" t="s">
        <v>43</v>
      </c>
      <c r="X257" t="s">
        <v>8</v>
      </c>
      <c r="Y257">
        <v>9</v>
      </c>
      <c r="Z257">
        <v>0</v>
      </c>
      <c r="AA257">
        <v>0</v>
      </c>
      <c r="AB257">
        <v>6</v>
      </c>
      <c r="AC257">
        <v>0</v>
      </c>
      <c r="AD257">
        <v>0</v>
      </c>
      <c r="AE257">
        <v>3</v>
      </c>
      <c r="AF257">
        <v>0</v>
      </c>
      <c r="AG257">
        <v>0</v>
      </c>
      <c r="AH257">
        <v>20</v>
      </c>
    </row>
    <row r="258" spans="1:34" x14ac:dyDescent="0.25">
      <c r="D258" t="s">
        <v>60</v>
      </c>
      <c r="E258" t="s">
        <v>14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W258" t="s">
        <v>43</v>
      </c>
      <c r="X258" t="s">
        <v>23</v>
      </c>
      <c r="Y258">
        <v>10</v>
      </c>
      <c r="Z258">
        <v>0</v>
      </c>
      <c r="AA258">
        <v>0</v>
      </c>
      <c r="AB258">
        <v>10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20</v>
      </c>
    </row>
    <row r="259" spans="1:34" x14ac:dyDescent="0.25">
      <c r="A259" t="s">
        <v>42</v>
      </c>
      <c r="B259" t="str">
        <f>X240</f>
        <v>pazer</v>
      </c>
      <c r="C259">
        <f t="shared" ref="C259:C270" si="98">SUM(D259:K259)</f>
        <v>1</v>
      </c>
      <c r="D259">
        <f t="shared" ref="D259:K270" si="99">Z240</f>
        <v>0</v>
      </c>
      <c r="E259">
        <f t="shared" si="99"/>
        <v>0</v>
      </c>
      <c r="F259">
        <f t="shared" si="99"/>
        <v>0</v>
      </c>
      <c r="G259">
        <f t="shared" si="99"/>
        <v>0</v>
      </c>
      <c r="H259">
        <f t="shared" si="99"/>
        <v>0</v>
      </c>
      <c r="I259">
        <f t="shared" si="99"/>
        <v>0</v>
      </c>
      <c r="J259">
        <f t="shared" si="99"/>
        <v>1</v>
      </c>
      <c r="K259">
        <f t="shared" si="99"/>
        <v>0</v>
      </c>
      <c r="L259" t="b">
        <f t="shared" ref="L259:L270" si="100">SUM(D259:K259)=Y240</f>
        <v>1</v>
      </c>
      <c r="W259" t="s">
        <v>43</v>
      </c>
      <c r="X259" t="s">
        <v>6</v>
      </c>
      <c r="Y259">
        <v>16</v>
      </c>
      <c r="Z259">
        <v>0</v>
      </c>
      <c r="AA259">
        <v>0</v>
      </c>
      <c r="AB259">
        <v>5</v>
      </c>
      <c r="AC259">
        <v>0</v>
      </c>
      <c r="AD259">
        <v>0</v>
      </c>
      <c r="AE259">
        <v>9</v>
      </c>
      <c r="AF259">
        <v>1</v>
      </c>
      <c r="AG259">
        <v>1</v>
      </c>
      <c r="AH259">
        <v>20</v>
      </c>
    </row>
    <row r="260" spans="1:34" x14ac:dyDescent="0.25">
      <c r="A260" t="s">
        <v>42</v>
      </c>
      <c r="B260" t="str">
        <f t="shared" ref="B260:B270" si="101">X241</f>
        <v>segol</v>
      </c>
      <c r="C260">
        <f t="shared" si="98"/>
        <v>1</v>
      </c>
      <c r="D260">
        <f t="shared" si="99"/>
        <v>0</v>
      </c>
      <c r="E260">
        <f t="shared" si="99"/>
        <v>0</v>
      </c>
      <c r="F260">
        <f t="shared" si="99"/>
        <v>0</v>
      </c>
      <c r="G260">
        <f t="shared" si="99"/>
        <v>0</v>
      </c>
      <c r="H260">
        <f t="shared" si="99"/>
        <v>0</v>
      </c>
      <c r="I260">
        <f t="shared" si="99"/>
        <v>0</v>
      </c>
      <c r="J260">
        <f t="shared" si="99"/>
        <v>1</v>
      </c>
      <c r="K260">
        <f t="shared" si="99"/>
        <v>0</v>
      </c>
      <c r="L260" t="b">
        <f t="shared" si="100"/>
        <v>1</v>
      </c>
      <c r="W260" t="s">
        <v>43</v>
      </c>
      <c r="X260" t="s">
        <v>1</v>
      </c>
      <c r="Y260">
        <v>44</v>
      </c>
      <c r="Z260">
        <v>0</v>
      </c>
      <c r="AA260">
        <v>0</v>
      </c>
      <c r="AB260">
        <v>17</v>
      </c>
      <c r="AC260">
        <v>0</v>
      </c>
      <c r="AD260">
        <v>0</v>
      </c>
      <c r="AE260">
        <v>5</v>
      </c>
      <c r="AF260">
        <v>22</v>
      </c>
      <c r="AG260">
        <v>0</v>
      </c>
      <c r="AH260">
        <v>20</v>
      </c>
    </row>
    <row r="261" spans="1:34" x14ac:dyDescent="0.25">
      <c r="A261" t="s">
        <v>42</v>
      </c>
      <c r="B261" t="str">
        <f t="shared" si="101"/>
        <v>tsinnor</v>
      </c>
      <c r="C261">
        <f t="shared" si="98"/>
        <v>1</v>
      </c>
      <c r="D261">
        <f t="shared" si="99"/>
        <v>0</v>
      </c>
      <c r="E261">
        <f t="shared" si="99"/>
        <v>0</v>
      </c>
      <c r="F261">
        <f t="shared" si="99"/>
        <v>1</v>
      </c>
      <c r="G261">
        <f t="shared" si="99"/>
        <v>0</v>
      </c>
      <c r="H261">
        <f t="shared" si="99"/>
        <v>0</v>
      </c>
      <c r="I261">
        <f t="shared" si="99"/>
        <v>0</v>
      </c>
      <c r="J261">
        <f t="shared" si="99"/>
        <v>0</v>
      </c>
      <c r="K261">
        <f t="shared" si="99"/>
        <v>0</v>
      </c>
      <c r="L261" t="b">
        <f t="shared" si="100"/>
        <v>1</v>
      </c>
      <c r="W261" t="s">
        <v>43</v>
      </c>
      <c r="X261" t="s">
        <v>24</v>
      </c>
      <c r="Y261">
        <v>154</v>
      </c>
      <c r="Z261">
        <v>0</v>
      </c>
      <c r="AA261">
        <v>0</v>
      </c>
      <c r="AB261">
        <v>42</v>
      </c>
      <c r="AC261">
        <v>4</v>
      </c>
      <c r="AD261">
        <v>0</v>
      </c>
      <c r="AE261">
        <v>20</v>
      </c>
      <c r="AF261">
        <v>21</v>
      </c>
      <c r="AG261">
        <v>67</v>
      </c>
      <c r="AH261">
        <v>20</v>
      </c>
    </row>
    <row r="262" spans="1:34" x14ac:dyDescent="0.25">
      <c r="A262" t="s">
        <v>42</v>
      </c>
      <c r="B262" t="str">
        <f t="shared" si="101"/>
        <v>zaqef-gadol</v>
      </c>
      <c r="C262">
        <f t="shared" si="98"/>
        <v>2</v>
      </c>
      <c r="D262">
        <f t="shared" si="99"/>
        <v>0</v>
      </c>
      <c r="E262">
        <f t="shared" si="99"/>
        <v>0</v>
      </c>
      <c r="F262">
        <f t="shared" si="99"/>
        <v>0</v>
      </c>
      <c r="G262">
        <f t="shared" si="99"/>
        <v>0</v>
      </c>
      <c r="H262">
        <f t="shared" si="99"/>
        <v>0</v>
      </c>
      <c r="I262">
        <f t="shared" si="99"/>
        <v>1</v>
      </c>
      <c r="J262">
        <f t="shared" si="99"/>
        <v>0</v>
      </c>
      <c r="K262">
        <f t="shared" si="99"/>
        <v>1</v>
      </c>
      <c r="L262" t="b">
        <f t="shared" si="100"/>
        <v>1</v>
      </c>
      <c r="W262" t="s">
        <v>43</v>
      </c>
      <c r="X262" t="s">
        <v>66</v>
      </c>
      <c r="Y262">
        <v>162</v>
      </c>
      <c r="Z262">
        <v>0</v>
      </c>
      <c r="AA262">
        <v>0</v>
      </c>
      <c r="AB262">
        <v>20</v>
      </c>
      <c r="AC262">
        <v>1</v>
      </c>
      <c r="AD262">
        <v>0</v>
      </c>
      <c r="AE262">
        <v>4</v>
      </c>
      <c r="AF262">
        <v>107</v>
      </c>
      <c r="AG262">
        <v>30</v>
      </c>
      <c r="AH262">
        <v>20</v>
      </c>
    </row>
    <row r="263" spans="1:34" x14ac:dyDescent="0.25">
      <c r="A263" t="s">
        <v>42</v>
      </c>
      <c r="B263" t="str">
        <f t="shared" si="101"/>
        <v>telisha-qetana</v>
      </c>
      <c r="C263">
        <f t="shared" si="98"/>
        <v>2</v>
      </c>
      <c r="D263">
        <f t="shared" si="99"/>
        <v>0</v>
      </c>
      <c r="E263">
        <f t="shared" si="99"/>
        <v>0</v>
      </c>
      <c r="F263">
        <f t="shared" si="99"/>
        <v>0</v>
      </c>
      <c r="G263">
        <f t="shared" si="99"/>
        <v>0</v>
      </c>
      <c r="H263">
        <f t="shared" si="99"/>
        <v>0</v>
      </c>
      <c r="I263">
        <f t="shared" si="99"/>
        <v>1</v>
      </c>
      <c r="J263">
        <f t="shared" si="99"/>
        <v>1</v>
      </c>
      <c r="K263">
        <f t="shared" si="99"/>
        <v>0</v>
      </c>
      <c r="L263" t="b">
        <f t="shared" si="100"/>
        <v>1</v>
      </c>
      <c r="W263" t="s">
        <v>44</v>
      </c>
      <c r="X263" t="s">
        <v>64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0</v>
      </c>
      <c r="AH263">
        <v>21</v>
      </c>
    </row>
    <row r="264" spans="1:34" x14ac:dyDescent="0.25">
      <c r="A264" t="s">
        <v>42</v>
      </c>
      <c r="B264" t="str">
        <f t="shared" si="101"/>
        <v>telisha-gedola</v>
      </c>
      <c r="C264">
        <f t="shared" si="98"/>
        <v>3</v>
      </c>
      <c r="D264">
        <f t="shared" si="99"/>
        <v>0</v>
      </c>
      <c r="E264">
        <f t="shared" si="99"/>
        <v>0</v>
      </c>
      <c r="F264">
        <f t="shared" si="99"/>
        <v>3</v>
      </c>
      <c r="G264">
        <f t="shared" si="99"/>
        <v>0</v>
      </c>
      <c r="H264">
        <f t="shared" si="99"/>
        <v>0</v>
      </c>
      <c r="I264">
        <f t="shared" si="99"/>
        <v>0</v>
      </c>
      <c r="J264">
        <f t="shared" si="99"/>
        <v>0</v>
      </c>
      <c r="K264">
        <f t="shared" si="99"/>
        <v>0</v>
      </c>
      <c r="L264" t="b">
        <f t="shared" si="100"/>
        <v>1</v>
      </c>
      <c r="W264" t="s">
        <v>44</v>
      </c>
      <c r="X264" t="s">
        <v>65</v>
      </c>
      <c r="Y264">
        <v>3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21</v>
      </c>
    </row>
    <row r="265" spans="1:34" x14ac:dyDescent="0.25">
      <c r="A265" t="s">
        <v>42</v>
      </c>
      <c r="B265" t="str">
        <f t="shared" si="101"/>
        <v>tarsin</v>
      </c>
      <c r="C265">
        <f t="shared" si="98"/>
        <v>4</v>
      </c>
      <c r="D265">
        <f t="shared" si="99"/>
        <v>0</v>
      </c>
      <c r="E265">
        <f t="shared" si="99"/>
        <v>0</v>
      </c>
      <c r="F265">
        <f t="shared" si="99"/>
        <v>2</v>
      </c>
      <c r="G265">
        <f t="shared" si="99"/>
        <v>0</v>
      </c>
      <c r="H265">
        <f t="shared" si="99"/>
        <v>0</v>
      </c>
      <c r="I265">
        <f t="shared" si="99"/>
        <v>1</v>
      </c>
      <c r="J265">
        <f t="shared" si="99"/>
        <v>1</v>
      </c>
      <c r="K265">
        <f t="shared" si="99"/>
        <v>0</v>
      </c>
      <c r="L265" t="b">
        <f t="shared" si="100"/>
        <v>1</v>
      </c>
      <c r="W265" t="s">
        <v>44</v>
      </c>
      <c r="X265" t="s">
        <v>8</v>
      </c>
      <c r="Y265">
        <v>4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2</v>
      </c>
      <c r="AF265">
        <v>0</v>
      </c>
      <c r="AG265">
        <v>0</v>
      </c>
      <c r="AH265">
        <v>21</v>
      </c>
    </row>
    <row r="266" spans="1:34" x14ac:dyDescent="0.25">
      <c r="A266" t="s">
        <v>42</v>
      </c>
      <c r="B266" t="str">
        <f t="shared" si="101"/>
        <v>azla</v>
      </c>
      <c r="C266">
        <f t="shared" si="98"/>
        <v>9</v>
      </c>
      <c r="D266">
        <f t="shared" si="99"/>
        <v>0</v>
      </c>
      <c r="E266">
        <f t="shared" si="99"/>
        <v>0</v>
      </c>
      <c r="F266">
        <f t="shared" si="99"/>
        <v>3</v>
      </c>
      <c r="G266">
        <f t="shared" si="99"/>
        <v>0</v>
      </c>
      <c r="H266">
        <f t="shared" si="99"/>
        <v>0</v>
      </c>
      <c r="I266">
        <f t="shared" si="99"/>
        <v>3</v>
      </c>
      <c r="J266">
        <f t="shared" si="99"/>
        <v>3</v>
      </c>
      <c r="K266">
        <f t="shared" si="99"/>
        <v>0</v>
      </c>
      <c r="L266" t="b">
        <f t="shared" si="100"/>
        <v>1</v>
      </c>
      <c r="W266" t="s">
        <v>44</v>
      </c>
      <c r="X266" t="s">
        <v>6</v>
      </c>
      <c r="Y266">
        <v>11</v>
      </c>
      <c r="Z266">
        <v>0</v>
      </c>
      <c r="AA266">
        <v>0</v>
      </c>
      <c r="AB266">
        <v>4</v>
      </c>
      <c r="AC266">
        <v>0</v>
      </c>
      <c r="AD266">
        <v>0</v>
      </c>
      <c r="AE266">
        <v>6</v>
      </c>
      <c r="AF266">
        <v>1</v>
      </c>
      <c r="AG266">
        <v>0</v>
      </c>
      <c r="AH266">
        <v>21</v>
      </c>
    </row>
    <row r="267" spans="1:34" x14ac:dyDescent="0.25">
      <c r="A267" t="s">
        <v>42</v>
      </c>
      <c r="B267" t="str">
        <f t="shared" si="101"/>
        <v>qadma</v>
      </c>
      <c r="C267">
        <f t="shared" si="98"/>
        <v>10</v>
      </c>
      <c r="D267">
        <f t="shared" si="99"/>
        <v>0</v>
      </c>
      <c r="E267">
        <f t="shared" si="99"/>
        <v>0</v>
      </c>
      <c r="F267">
        <f t="shared" si="99"/>
        <v>4</v>
      </c>
      <c r="G267">
        <f t="shared" si="99"/>
        <v>0</v>
      </c>
      <c r="H267">
        <f t="shared" si="99"/>
        <v>0</v>
      </c>
      <c r="I267">
        <f t="shared" si="99"/>
        <v>3</v>
      </c>
      <c r="J267">
        <f t="shared" si="99"/>
        <v>3</v>
      </c>
      <c r="K267">
        <f t="shared" si="99"/>
        <v>0</v>
      </c>
      <c r="L267" t="b">
        <f t="shared" si="100"/>
        <v>1</v>
      </c>
      <c r="W267" t="s">
        <v>44</v>
      </c>
      <c r="X267" t="s">
        <v>1</v>
      </c>
      <c r="Y267">
        <v>13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3</v>
      </c>
      <c r="AF267">
        <v>6</v>
      </c>
      <c r="AG267">
        <v>1</v>
      </c>
      <c r="AH267">
        <v>21</v>
      </c>
    </row>
    <row r="268" spans="1:34" x14ac:dyDescent="0.25">
      <c r="A268" t="s">
        <v>42</v>
      </c>
      <c r="B268" t="str">
        <f t="shared" si="101"/>
        <v>revia</v>
      </c>
      <c r="C268">
        <f t="shared" si="98"/>
        <v>26</v>
      </c>
      <c r="D268">
        <f t="shared" si="99"/>
        <v>0</v>
      </c>
      <c r="E268">
        <f t="shared" si="99"/>
        <v>0</v>
      </c>
      <c r="F268">
        <f t="shared" si="99"/>
        <v>8</v>
      </c>
      <c r="G268">
        <f t="shared" si="99"/>
        <v>0</v>
      </c>
      <c r="H268">
        <f t="shared" si="99"/>
        <v>0</v>
      </c>
      <c r="I268">
        <f t="shared" si="99"/>
        <v>3</v>
      </c>
      <c r="J268">
        <f t="shared" si="99"/>
        <v>15</v>
      </c>
      <c r="K268">
        <f t="shared" si="99"/>
        <v>0</v>
      </c>
      <c r="L268" t="b">
        <f t="shared" si="100"/>
        <v>1</v>
      </c>
      <c r="W268" t="s">
        <v>44</v>
      </c>
      <c r="X268" t="s">
        <v>24</v>
      </c>
      <c r="Y268">
        <v>65</v>
      </c>
      <c r="Z268">
        <v>0</v>
      </c>
      <c r="AA268">
        <v>0</v>
      </c>
      <c r="AB268">
        <v>16</v>
      </c>
      <c r="AC268">
        <v>4</v>
      </c>
      <c r="AD268">
        <v>0</v>
      </c>
      <c r="AE268">
        <v>6</v>
      </c>
      <c r="AF268">
        <v>6</v>
      </c>
      <c r="AG268">
        <v>33</v>
      </c>
      <c r="AH268">
        <v>21</v>
      </c>
    </row>
    <row r="269" spans="1:34" x14ac:dyDescent="0.25">
      <c r="A269" t="s">
        <v>42</v>
      </c>
      <c r="B269" t="str">
        <f t="shared" si="101"/>
        <v>pashta</v>
      </c>
      <c r="C269">
        <f t="shared" si="98"/>
        <v>66</v>
      </c>
      <c r="D269">
        <f t="shared" si="99"/>
        <v>0</v>
      </c>
      <c r="E269">
        <f t="shared" si="99"/>
        <v>0</v>
      </c>
      <c r="F269">
        <f t="shared" si="99"/>
        <v>16</v>
      </c>
      <c r="G269">
        <f t="shared" si="99"/>
        <v>3</v>
      </c>
      <c r="H269">
        <f t="shared" si="99"/>
        <v>0</v>
      </c>
      <c r="I269">
        <f t="shared" si="99"/>
        <v>6</v>
      </c>
      <c r="J269">
        <f t="shared" si="99"/>
        <v>7</v>
      </c>
      <c r="K269">
        <f t="shared" si="99"/>
        <v>34</v>
      </c>
      <c r="L269" t="b">
        <f t="shared" si="100"/>
        <v>1</v>
      </c>
      <c r="W269" t="s">
        <v>44</v>
      </c>
      <c r="X269" t="s">
        <v>66</v>
      </c>
      <c r="Y269">
        <v>70</v>
      </c>
      <c r="Z269">
        <v>0</v>
      </c>
      <c r="AA269">
        <v>0</v>
      </c>
      <c r="AB269">
        <v>12</v>
      </c>
      <c r="AC269">
        <v>2</v>
      </c>
      <c r="AD269">
        <v>0</v>
      </c>
      <c r="AE269">
        <v>3</v>
      </c>
      <c r="AF269">
        <v>39</v>
      </c>
      <c r="AG269">
        <v>14</v>
      </c>
      <c r="AH269">
        <v>21</v>
      </c>
    </row>
    <row r="270" spans="1:34" x14ac:dyDescent="0.25">
      <c r="A270" t="s">
        <v>42</v>
      </c>
      <c r="B270" t="str">
        <f t="shared" si="101"/>
        <v>zaqef-qatan</v>
      </c>
      <c r="C270">
        <f t="shared" si="98"/>
        <v>72</v>
      </c>
      <c r="D270">
        <f t="shared" si="99"/>
        <v>0</v>
      </c>
      <c r="E270">
        <f t="shared" si="99"/>
        <v>0</v>
      </c>
      <c r="F270">
        <f t="shared" si="99"/>
        <v>14</v>
      </c>
      <c r="G270">
        <f t="shared" si="99"/>
        <v>1</v>
      </c>
      <c r="H270">
        <f t="shared" si="99"/>
        <v>0</v>
      </c>
      <c r="I270">
        <f t="shared" si="99"/>
        <v>1</v>
      </c>
      <c r="J270">
        <f t="shared" si="99"/>
        <v>43</v>
      </c>
      <c r="K270">
        <f t="shared" si="99"/>
        <v>13</v>
      </c>
      <c r="L270" t="b">
        <f t="shared" si="100"/>
        <v>1</v>
      </c>
      <c r="W270" t="s">
        <v>45</v>
      </c>
      <c r="X270" t="s">
        <v>23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22</v>
      </c>
    </row>
    <row r="271" spans="1:34" x14ac:dyDescent="0.25">
      <c r="D271" t="s">
        <v>60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W271" t="s">
        <v>45</v>
      </c>
      <c r="X271" t="s">
        <v>22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22</v>
      </c>
    </row>
    <row r="272" spans="1:34" x14ac:dyDescent="0.25">
      <c r="A272" t="s">
        <v>43</v>
      </c>
      <c r="B272" t="str">
        <f>X252</f>
        <v>segol</v>
      </c>
      <c r="C272">
        <f t="shared" ref="C272:C282" si="102">SUM(D272:K272)</f>
        <v>1</v>
      </c>
      <c r="D272">
        <f t="shared" ref="D272:K282" si="103">Z252</f>
        <v>0</v>
      </c>
      <c r="E272">
        <f t="shared" si="103"/>
        <v>0</v>
      </c>
      <c r="F272">
        <f t="shared" si="103"/>
        <v>0</v>
      </c>
      <c r="G272">
        <f t="shared" si="103"/>
        <v>0</v>
      </c>
      <c r="H272">
        <f t="shared" si="103"/>
        <v>0</v>
      </c>
      <c r="I272">
        <f t="shared" si="103"/>
        <v>0</v>
      </c>
      <c r="J272">
        <f t="shared" si="103"/>
        <v>1</v>
      </c>
      <c r="K272">
        <f t="shared" si="103"/>
        <v>0</v>
      </c>
      <c r="L272" t="b">
        <f t="shared" ref="L272:L282" si="104">SUM(D272:K272)=Y252</f>
        <v>1</v>
      </c>
      <c r="W272" t="s">
        <v>45</v>
      </c>
      <c r="X272" t="s">
        <v>4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22</v>
      </c>
    </row>
    <row r="273" spans="1:34" x14ac:dyDescent="0.25">
      <c r="A273" t="s">
        <v>43</v>
      </c>
      <c r="B273" t="str">
        <f t="shared" ref="B273:B282" si="105">X253</f>
        <v>tsinnor</v>
      </c>
      <c r="C273">
        <f t="shared" si="102"/>
        <v>1</v>
      </c>
      <c r="D273">
        <f t="shared" si="103"/>
        <v>0</v>
      </c>
      <c r="E273">
        <f t="shared" si="103"/>
        <v>0</v>
      </c>
      <c r="F273">
        <f t="shared" si="103"/>
        <v>0</v>
      </c>
      <c r="G273">
        <f t="shared" si="103"/>
        <v>0</v>
      </c>
      <c r="H273">
        <f t="shared" si="103"/>
        <v>0</v>
      </c>
      <c r="I273">
        <f t="shared" si="103"/>
        <v>0</v>
      </c>
      <c r="J273">
        <f t="shared" si="103"/>
        <v>1</v>
      </c>
      <c r="K273">
        <f t="shared" si="103"/>
        <v>0</v>
      </c>
      <c r="L273" t="b">
        <f t="shared" si="104"/>
        <v>1</v>
      </c>
      <c r="W273" t="s">
        <v>45</v>
      </c>
      <c r="X273" t="s">
        <v>64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22</v>
      </c>
    </row>
    <row r="274" spans="1:34" x14ac:dyDescent="0.25">
      <c r="A274" t="s">
        <v>43</v>
      </c>
      <c r="B274" t="str">
        <f t="shared" si="105"/>
        <v>telisha-gedola</v>
      </c>
      <c r="C274">
        <f t="shared" si="102"/>
        <v>3</v>
      </c>
      <c r="D274">
        <f t="shared" si="103"/>
        <v>0</v>
      </c>
      <c r="E274">
        <f t="shared" si="103"/>
        <v>0</v>
      </c>
      <c r="F274">
        <f t="shared" si="103"/>
        <v>0</v>
      </c>
      <c r="G274">
        <f t="shared" si="103"/>
        <v>0</v>
      </c>
      <c r="H274">
        <f t="shared" si="103"/>
        <v>0</v>
      </c>
      <c r="I274">
        <f t="shared" si="103"/>
        <v>2</v>
      </c>
      <c r="J274">
        <f t="shared" si="103"/>
        <v>1</v>
      </c>
      <c r="K274">
        <f t="shared" si="103"/>
        <v>0</v>
      </c>
      <c r="L274" t="b">
        <f t="shared" si="104"/>
        <v>1</v>
      </c>
      <c r="W274" t="s">
        <v>45</v>
      </c>
      <c r="X274" t="s">
        <v>6</v>
      </c>
      <c r="Y274">
        <v>2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22</v>
      </c>
    </row>
    <row r="275" spans="1:34" x14ac:dyDescent="0.25">
      <c r="A275" t="s">
        <v>43</v>
      </c>
      <c r="B275" t="str">
        <f t="shared" si="105"/>
        <v>telisha-qetana</v>
      </c>
      <c r="C275">
        <f t="shared" si="102"/>
        <v>5</v>
      </c>
      <c r="D275">
        <f t="shared" si="103"/>
        <v>0</v>
      </c>
      <c r="E275">
        <f t="shared" si="103"/>
        <v>0</v>
      </c>
      <c r="F275">
        <f t="shared" si="103"/>
        <v>2</v>
      </c>
      <c r="G275">
        <f t="shared" si="103"/>
        <v>0</v>
      </c>
      <c r="H275">
        <f t="shared" si="103"/>
        <v>0</v>
      </c>
      <c r="I275">
        <f t="shared" si="103"/>
        <v>3</v>
      </c>
      <c r="J275">
        <f t="shared" si="103"/>
        <v>0</v>
      </c>
      <c r="K275">
        <f t="shared" si="103"/>
        <v>0</v>
      </c>
      <c r="L275" t="b">
        <f t="shared" si="104"/>
        <v>1</v>
      </c>
      <c r="W275" t="s">
        <v>45</v>
      </c>
      <c r="X275" t="s">
        <v>8</v>
      </c>
      <c r="Y275">
        <v>2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22</v>
      </c>
    </row>
    <row r="276" spans="1:34" x14ac:dyDescent="0.25">
      <c r="A276" t="s">
        <v>43</v>
      </c>
      <c r="B276" t="str">
        <f t="shared" si="105"/>
        <v>zaqef-gadol</v>
      </c>
      <c r="C276">
        <f t="shared" si="102"/>
        <v>6</v>
      </c>
      <c r="D276">
        <f t="shared" si="103"/>
        <v>0</v>
      </c>
      <c r="E276">
        <f t="shared" si="103"/>
        <v>0</v>
      </c>
      <c r="F276">
        <f t="shared" si="103"/>
        <v>2</v>
      </c>
      <c r="G276">
        <f t="shared" si="103"/>
        <v>0</v>
      </c>
      <c r="H276">
        <f t="shared" si="103"/>
        <v>0</v>
      </c>
      <c r="I276">
        <f t="shared" si="103"/>
        <v>2</v>
      </c>
      <c r="J276">
        <f t="shared" si="103"/>
        <v>2</v>
      </c>
      <c r="K276">
        <f t="shared" si="103"/>
        <v>0</v>
      </c>
      <c r="L276" t="b">
        <f t="shared" si="104"/>
        <v>1</v>
      </c>
      <c r="W276" t="s">
        <v>45</v>
      </c>
      <c r="X276" t="s">
        <v>65</v>
      </c>
      <c r="Y276">
        <v>5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2</v>
      </c>
      <c r="AF276">
        <v>2</v>
      </c>
      <c r="AG276">
        <v>0</v>
      </c>
      <c r="AH276">
        <v>22</v>
      </c>
    </row>
    <row r="277" spans="1:34" x14ac:dyDescent="0.25">
      <c r="A277" t="s">
        <v>43</v>
      </c>
      <c r="B277" t="str">
        <f t="shared" si="105"/>
        <v>azla</v>
      </c>
      <c r="C277">
        <f t="shared" si="102"/>
        <v>9</v>
      </c>
      <c r="D277">
        <f t="shared" si="103"/>
        <v>0</v>
      </c>
      <c r="E277">
        <f t="shared" si="103"/>
        <v>0</v>
      </c>
      <c r="F277">
        <f t="shared" si="103"/>
        <v>6</v>
      </c>
      <c r="G277">
        <f t="shared" si="103"/>
        <v>0</v>
      </c>
      <c r="H277">
        <f t="shared" si="103"/>
        <v>0</v>
      </c>
      <c r="I277">
        <f t="shared" si="103"/>
        <v>3</v>
      </c>
      <c r="J277">
        <f t="shared" si="103"/>
        <v>0</v>
      </c>
      <c r="K277">
        <f t="shared" si="103"/>
        <v>0</v>
      </c>
      <c r="L277" t="b">
        <f t="shared" si="104"/>
        <v>1</v>
      </c>
      <c r="W277" t="s">
        <v>45</v>
      </c>
      <c r="X277" t="s">
        <v>1</v>
      </c>
      <c r="Y277">
        <v>16</v>
      </c>
      <c r="Z277">
        <v>0</v>
      </c>
      <c r="AA277">
        <v>0</v>
      </c>
      <c r="AB277">
        <v>4</v>
      </c>
      <c r="AC277">
        <v>0</v>
      </c>
      <c r="AD277">
        <v>0</v>
      </c>
      <c r="AE277">
        <v>3</v>
      </c>
      <c r="AF277">
        <v>9</v>
      </c>
      <c r="AG277">
        <v>0</v>
      </c>
      <c r="AH277">
        <v>22</v>
      </c>
    </row>
    <row r="278" spans="1:34" x14ac:dyDescent="0.25">
      <c r="A278" t="s">
        <v>43</v>
      </c>
      <c r="B278" t="str">
        <f t="shared" si="105"/>
        <v>tarsin</v>
      </c>
      <c r="C278">
        <f t="shared" si="102"/>
        <v>10</v>
      </c>
      <c r="D278">
        <f t="shared" si="103"/>
        <v>0</v>
      </c>
      <c r="E278">
        <f t="shared" si="103"/>
        <v>0</v>
      </c>
      <c r="F278">
        <f t="shared" si="103"/>
        <v>10</v>
      </c>
      <c r="G278">
        <f t="shared" si="103"/>
        <v>0</v>
      </c>
      <c r="H278">
        <f t="shared" si="103"/>
        <v>0</v>
      </c>
      <c r="I278">
        <f t="shared" si="103"/>
        <v>0</v>
      </c>
      <c r="J278">
        <f t="shared" si="103"/>
        <v>0</v>
      </c>
      <c r="K278">
        <f t="shared" si="103"/>
        <v>0</v>
      </c>
      <c r="L278" t="b">
        <f t="shared" si="104"/>
        <v>1</v>
      </c>
      <c r="W278" t="s">
        <v>45</v>
      </c>
      <c r="X278" t="s">
        <v>66</v>
      </c>
      <c r="Y278">
        <v>74</v>
      </c>
      <c r="Z278">
        <v>0</v>
      </c>
      <c r="AA278">
        <v>0</v>
      </c>
      <c r="AB278">
        <v>6</v>
      </c>
      <c r="AC278">
        <v>0</v>
      </c>
      <c r="AD278">
        <v>0</v>
      </c>
      <c r="AE278">
        <v>3</v>
      </c>
      <c r="AF278">
        <v>40</v>
      </c>
      <c r="AG278">
        <v>25</v>
      </c>
      <c r="AH278">
        <v>22</v>
      </c>
    </row>
    <row r="279" spans="1:34" x14ac:dyDescent="0.25">
      <c r="A279" t="s">
        <v>43</v>
      </c>
      <c r="B279" t="str">
        <f t="shared" si="105"/>
        <v>qadma</v>
      </c>
      <c r="C279">
        <f t="shared" si="102"/>
        <v>16</v>
      </c>
      <c r="D279">
        <f t="shared" si="103"/>
        <v>0</v>
      </c>
      <c r="E279">
        <f t="shared" si="103"/>
        <v>0</v>
      </c>
      <c r="F279">
        <f t="shared" si="103"/>
        <v>5</v>
      </c>
      <c r="G279">
        <f t="shared" si="103"/>
        <v>0</v>
      </c>
      <c r="H279">
        <f t="shared" si="103"/>
        <v>0</v>
      </c>
      <c r="I279">
        <f t="shared" si="103"/>
        <v>9</v>
      </c>
      <c r="J279">
        <f t="shared" si="103"/>
        <v>1</v>
      </c>
      <c r="K279">
        <f t="shared" si="103"/>
        <v>1</v>
      </c>
      <c r="L279" t="b">
        <f t="shared" si="104"/>
        <v>1</v>
      </c>
      <c r="W279" t="s">
        <v>45</v>
      </c>
      <c r="X279" t="s">
        <v>24</v>
      </c>
      <c r="Y279">
        <v>76</v>
      </c>
      <c r="Z279">
        <v>0</v>
      </c>
      <c r="AA279">
        <v>0</v>
      </c>
      <c r="AB279">
        <v>18</v>
      </c>
      <c r="AC279">
        <v>0</v>
      </c>
      <c r="AD279">
        <v>0</v>
      </c>
      <c r="AE279">
        <v>6</v>
      </c>
      <c r="AF279">
        <v>6</v>
      </c>
      <c r="AG279">
        <v>46</v>
      </c>
      <c r="AH279">
        <v>22</v>
      </c>
    </row>
    <row r="280" spans="1:34" x14ac:dyDescent="0.25">
      <c r="A280" t="s">
        <v>43</v>
      </c>
      <c r="B280" t="str">
        <f t="shared" si="105"/>
        <v>revia</v>
      </c>
      <c r="C280">
        <f t="shared" si="102"/>
        <v>44</v>
      </c>
      <c r="D280">
        <f t="shared" si="103"/>
        <v>0</v>
      </c>
      <c r="E280">
        <f t="shared" si="103"/>
        <v>0</v>
      </c>
      <c r="F280">
        <f t="shared" si="103"/>
        <v>17</v>
      </c>
      <c r="G280">
        <f t="shared" si="103"/>
        <v>0</v>
      </c>
      <c r="H280">
        <f t="shared" si="103"/>
        <v>0</v>
      </c>
      <c r="I280">
        <f t="shared" si="103"/>
        <v>5</v>
      </c>
      <c r="J280">
        <f t="shared" si="103"/>
        <v>22</v>
      </c>
      <c r="K280">
        <f t="shared" si="103"/>
        <v>0</v>
      </c>
      <c r="L280" t="b">
        <f t="shared" si="104"/>
        <v>1</v>
      </c>
      <c r="W280" t="s">
        <v>46</v>
      </c>
      <c r="X280" t="s">
        <v>5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23</v>
      </c>
    </row>
    <row r="281" spans="1:34" x14ac:dyDescent="0.25">
      <c r="A281" t="s">
        <v>43</v>
      </c>
      <c r="B281" t="str">
        <f t="shared" si="105"/>
        <v>pashta</v>
      </c>
      <c r="C281">
        <f t="shared" si="102"/>
        <v>154</v>
      </c>
      <c r="D281">
        <f t="shared" si="103"/>
        <v>0</v>
      </c>
      <c r="E281">
        <f t="shared" si="103"/>
        <v>0</v>
      </c>
      <c r="F281">
        <f t="shared" si="103"/>
        <v>42</v>
      </c>
      <c r="G281">
        <f t="shared" si="103"/>
        <v>4</v>
      </c>
      <c r="H281">
        <f t="shared" si="103"/>
        <v>0</v>
      </c>
      <c r="I281">
        <f t="shared" si="103"/>
        <v>20</v>
      </c>
      <c r="J281">
        <f t="shared" si="103"/>
        <v>21</v>
      </c>
      <c r="K281">
        <f t="shared" si="103"/>
        <v>67</v>
      </c>
      <c r="L281" t="b">
        <f t="shared" si="104"/>
        <v>1</v>
      </c>
      <c r="W281" t="s">
        <v>46</v>
      </c>
      <c r="X281" t="s">
        <v>65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23</v>
      </c>
    </row>
    <row r="282" spans="1:34" x14ac:dyDescent="0.25">
      <c r="A282" t="s">
        <v>43</v>
      </c>
      <c r="B282" t="str">
        <f t="shared" si="105"/>
        <v>zaqef-qatan</v>
      </c>
      <c r="C282">
        <f t="shared" si="102"/>
        <v>162</v>
      </c>
      <c r="D282">
        <f t="shared" si="103"/>
        <v>0</v>
      </c>
      <c r="E282">
        <f t="shared" si="103"/>
        <v>0</v>
      </c>
      <c r="F282">
        <f t="shared" si="103"/>
        <v>20</v>
      </c>
      <c r="G282">
        <f t="shared" si="103"/>
        <v>1</v>
      </c>
      <c r="H282">
        <f t="shared" si="103"/>
        <v>0</v>
      </c>
      <c r="I282">
        <f t="shared" si="103"/>
        <v>4</v>
      </c>
      <c r="J282">
        <f t="shared" si="103"/>
        <v>107</v>
      </c>
      <c r="K282">
        <f t="shared" si="103"/>
        <v>30</v>
      </c>
      <c r="L282" t="b">
        <f t="shared" si="104"/>
        <v>1</v>
      </c>
      <c r="W282" t="s">
        <v>46</v>
      </c>
      <c r="X282" t="s">
        <v>63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23</v>
      </c>
    </row>
    <row r="283" spans="1:34" x14ac:dyDescent="0.25">
      <c r="D283" t="s">
        <v>60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W283" t="s">
        <v>46</v>
      </c>
      <c r="X283" t="s">
        <v>64</v>
      </c>
      <c r="Y283">
        <v>3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23</v>
      </c>
    </row>
    <row r="284" spans="1:34" x14ac:dyDescent="0.25">
      <c r="A284" t="s">
        <v>44</v>
      </c>
      <c r="B284" t="str">
        <f t="shared" ref="B284:B290" si="106">X263</f>
        <v>telisha-qetana</v>
      </c>
      <c r="C284">
        <f t="shared" ref="C284:C290" si="107">SUM(D284:K284)</f>
        <v>2</v>
      </c>
      <c r="D284">
        <f t="shared" ref="D284:K284" si="108">Z263</f>
        <v>0</v>
      </c>
      <c r="E284">
        <f t="shared" si="108"/>
        <v>0</v>
      </c>
      <c r="F284">
        <f t="shared" si="108"/>
        <v>0</v>
      </c>
      <c r="G284">
        <f t="shared" si="108"/>
        <v>0</v>
      </c>
      <c r="H284">
        <f t="shared" si="108"/>
        <v>0</v>
      </c>
      <c r="I284">
        <f t="shared" si="108"/>
        <v>1</v>
      </c>
      <c r="J284">
        <f t="shared" si="108"/>
        <v>1</v>
      </c>
      <c r="K284">
        <f t="shared" si="108"/>
        <v>0</v>
      </c>
      <c r="L284" t="b">
        <f t="shared" ref="L284:L290" si="109">SUM(D284:K284)=Y263</f>
        <v>1</v>
      </c>
      <c r="W284" t="s">
        <v>46</v>
      </c>
      <c r="X284" t="s">
        <v>23</v>
      </c>
      <c r="Y284">
        <v>3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23</v>
      </c>
    </row>
    <row r="285" spans="1:34" x14ac:dyDescent="0.25">
      <c r="A285" t="s">
        <v>44</v>
      </c>
      <c r="B285" t="str">
        <f t="shared" si="106"/>
        <v>zaqef-gadol</v>
      </c>
      <c r="C285">
        <f t="shared" si="107"/>
        <v>3</v>
      </c>
      <c r="D285">
        <f t="shared" ref="D285:K290" si="110">Z264</f>
        <v>0</v>
      </c>
      <c r="E285">
        <f t="shared" si="110"/>
        <v>0</v>
      </c>
      <c r="F285">
        <f t="shared" si="110"/>
        <v>1</v>
      </c>
      <c r="G285">
        <f t="shared" si="110"/>
        <v>1</v>
      </c>
      <c r="H285">
        <f t="shared" si="110"/>
        <v>0</v>
      </c>
      <c r="I285">
        <f t="shared" si="110"/>
        <v>1</v>
      </c>
      <c r="J285">
        <f t="shared" si="110"/>
        <v>0</v>
      </c>
      <c r="K285">
        <f t="shared" si="110"/>
        <v>0</v>
      </c>
      <c r="L285" t="b">
        <f t="shared" si="109"/>
        <v>1</v>
      </c>
      <c r="W285" t="s">
        <v>46</v>
      </c>
      <c r="X285" t="s">
        <v>8</v>
      </c>
      <c r="Y285">
        <v>11</v>
      </c>
      <c r="Z285">
        <v>0</v>
      </c>
      <c r="AA285">
        <v>0</v>
      </c>
      <c r="AB285">
        <v>7</v>
      </c>
      <c r="AC285">
        <v>0</v>
      </c>
      <c r="AD285">
        <v>0</v>
      </c>
      <c r="AE285">
        <v>2</v>
      </c>
      <c r="AF285">
        <v>2</v>
      </c>
      <c r="AG285">
        <v>0</v>
      </c>
      <c r="AH285">
        <v>23</v>
      </c>
    </row>
    <row r="286" spans="1:34" x14ac:dyDescent="0.25">
      <c r="A286" t="s">
        <v>44</v>
      </c>
      <c r="B286" t="str">
        <f t="shared" si="106"/>
        <v>azla</v>
      </c>
      <c r="C286">
        <f t="shared" si="107"/>
        <v>4</v>
      </c>
      <c r="D286">
        <f t="shared" si="110"/>
        <v>0</v>
      </c>
      <c r="E286">
        <f t="shared" si="110"/>
        <v>0</v>
      </c>
      <c r="F286">
        <f t="shared" si="110"/>
        <v>2</v>
      </c>
      <c r="G286">
        <f t="shared" si="110"/>
        <v>0</v>
      </c>
      <c r="H286">
        <f t="shared" si="110"/>
        <v>0</v>
      </c>
      <c r="I286">
        <f t="shared" si="110"/>
        <v>2</v>
      </c>
      <c r="J286">
        <f t="shared" si="110"/>
        <v>0</v>
      </c>
      <c r="K286">
        <f t="shared" si="110"/>
        <v>0</v>
      </c>
      <c r="L286" t="b">
        <f t="shared" si="109"/>
        <v>1</v>
      </c>
      <c r="W286" t="s">
        <v>46</v>
      </c>
      <c r="X286" t="s">
        <v>6</v>
      </c>
      <c r="Y286">
        <v>13</v>
      </c>
      <c r="Z286">
        <v>0</v>
      </c>
      <c r="AA286">
        <v>0</v>
      </c>
      <c r="AB286">
        <v>7</v>
      </c>
      <c r="AC286">
        <v>0</v>
      </c>
      <c r="AD286">
        <v>0</v>
      </c>
      <c r="AE286">
        <v>3</v>
      </c>
      <c r="AF286">
        <v>3</v>
      </c>
      <c r="AG286">
        <v>0</v>
      </c>
      <c r="AH286">
        <v>23</v>
      </c>
    </row>
    <row r="287" spans="1:34" x14ac:dyDescent="0.25">
      <c r="A287" t="s">
        <v>44</v>
      </c>
      <c r="B287" t="str">
        <f t="shared" si="106"/>
        <v>qadma</v>
      </c>
      <c r="C287">
        <f t="shared" si="107"/>
        <v>11</v>
      </c>
      <c r="D287">
        <f t="shared" si="110"/>
        <v>0</v>
      </c>
      <c r="E287">
        <f t="shared" si="110"/>
        <v>0</v>
      </c>
      <c r="F287">
        <f t="shared" si="110"/>
        <v>4</v>
      </c>
      <c r="G287">
        <f t="shared" si="110"/>
        <v>0</v>
      </c>
      <c r="H287">
        <f t="shared" si="110"/>
        <v>0</v>
      </c>
      <c r="I287">
        <f t="shared" si="110"/>
        <v>6</v>
      </c>
      <c r="J287">
        <f t="shared" si="110"/>
        <v>1</v>
      </c>
      <c r="K287">
        <f t="shared" si="110"/>
        <v>0</v>
      </c>
      <c r="L287" t="b">
        <f t="shared" si="109"/>
        <v>1</v>
      </c>
      <c r="W287" t="s">
        <v>46</v>
      </c>
      <c r="X287" t="s">
        <v>1</v>
      </c>
      <c r="Y287">
        <v>27</v>
      </c>
      <c r="Z287">
        <v>0</v>
      </c>
      <c r="AA287">
        <v>0</v>
      </c>
      <c r="AB287">
        <v>6</v>
      </c>
      <c r="AC287">
        <v>0</v>
      </c>
      <c r="AD287">
        <v>0</v>
      </c>
      <c r="AE287">
        <v>2</v>
      </c>
      <c r="AF287">
        <v>19</v>
      </c>
      <c r="AG287">
        <v>0</v>
      </c>
      <c r="AH287">
        <v>23</v>
      </c>
    </row>
    <row r="288" spans="1:34" x14ac:dyDescent="0.25">
      <c r="A288" t="s">
        <v>44</v>
      </c>
      <c r="B288" t="str">
        <f t="shared" si="106"/>
        <v>revia</v>
      </c>
      <c r="C288">
        <f t="shared" si="107"/>
        <v>13</v>
      </c>
      <c r="D288">
        <f t="shared" si="110"/>
        <v>0</v>
      </c>
      <c r="E288">
        <f t="shared" si="110"/>
        <v>0</v>
      </c>
      <c r="F288">
        <f t="shared" si="110"/>
        <v>3</v>
      </c>
      <c r="G288">
        <f t="shared" si="110"/>
        <v>0</v>
      </c>
      <c r="H288">
        <f t="shared" si="110"/>
        <v>0</v>
      </c>
      <c r="I288">
        <f t="shared" si="110"/>
        <v>3</v>
      </c>
      <c r="J288">
        <f t="shared" si="110"/>
        <v>6</v>
      </c>
      <c r="K288">
        <f t="shared" si="110"/>
        <v>1</v>
      </c>
      <c r="L288" t="b">
        <f t="shared" si="109"/>
        <v>1</v>
      </c>
      <c r="W288" t="s">
        <v>46</v>
      </c>
      <c r="X288" t="s">
        <v>66</v>
      </c>
      <c r="Y288">
        <v>84</v>
      </c>
      <c r="Z288">
        <v>0</v>
      </c>
      <c r="AA288">
        <v>0</v>
      </c>
      <c r="AB288">
        <v>13</v>
      </c>
      <c r="AC288">
        <v>1</v>
      </c>
      <c r="AD288">
        <v>0</v>
      </c>
      <c r="AE288">
        <v>2</v>
      </c>
      <c r="AF288">
        <v>51</v>
      </c>
      <c r="AG288">
        <v>17</v>
      </c>
      <c r="AH288">
        <v>23</v>
      </c>
    </row>
    <row r="289" spans="1:34" x14ac:dyDescent="0.25">
      <c r="A289" t="s">
        <v>44</v>
      </c>
      <c r="B289" t="str">
        <f t="shared" si="106"/>
        <v>pashta</v>
      </c>
      <c r="C289">
        <f t="shared" si="107"/>
        <v>65</v>
      </c>
      <c r="D289">
        <f t="shared" si="110"/>
        <v>0</v>
      </c>
      <c r="E289">
        <f t="shared" si="110"/>
        <v>0</v>
      </c>
      <c r="F289">
        <f t="shared" si="110"/>
        <v>16</v>
      </c>
      <c r="G289">
        <f t="shared" si="110"/>
        <v>4</v>
      </c>
      <c r="H289">
        <f t="shared" si="110"/>
        <v>0</v>
      </c>
      <c r="I289">
        <f t="shared" si="110"/>
        <v>6</v>
      </c>
      <c r="J289">
        <f t="shared" si="110"/>
        <v>6</v>
      </c>
      <c r="K289">
        <f t="shared" si="110"/>
        <v>33</v>
      </c>
      <c r="L289" t="b">
        <f t="shared" si="109"/>
        <v>1</v>
      </c>
      <c r="W289" t="s">
        <v>46</v>
      </c>
      <c r="X289" t="s">
        <v>24</v>
      </c>
      <c r="Y289">
        <v>88</v>
      </c>
      <c r="Z289">
        <v>0</v>
      </c>
      <c r="AA289">
        <v>0</v>
      </c>
      <c r="AB289">
        <v>24</v>
      </c>
      <c r="AC289">
        <v>2</v>
      </c>
      <c r="AD289">
        <v>0</v>
      </c>
      <c r="AE289">
        <v>9</v>
      </c>
      <c r="AF289">
        <v>18</v>
      </c>
      <c r="AG289">
        <v>35</v>
      </c>
      <c r="AH289">
        <v>23</v>
      </c>
    </row>
    <row r="290" spans="1:34" x14ac:dyDescent="0.25">
      <c r="A290" t="s">
        <v>44</v>
      </c>
      <c r="B290" t="str">
        <f t="shared" si="106"/>
        <v>zaqef-qatan</v>
      </c>
      <c r="C290">
        <f t="shared" si="107"/>
        <v>70</v>
      </c>
      <c r="D290">
        <f t="shared" si="110"/>
        <v>0</v>
      </c>
      <c r="E290">
        <f t="shared" si="110"/>
        <v>0</v>
      </c>
      <c r="F290">
        <f t="shared" si="110"/>
        <v>12</v>
      </c>
      <c r="G290">
        <f t="shared" si="110"/>
        <v>2</v>
      </c>
      <c r="H290">
        <f t="shared" si="110"/>
        <v>0</v>
      </c>
      <c r="I290">
        <f t="shared" si="110"/>
        <v>3</v>
      </c>
      <c r="J290">
        <f t="shared" si="110"/>
        <v>39</v>
      </c>
      <c r="K290">
        <f t="shared" si="110"/>
        <v>14</v>
      </c>
      <c r="L290" t="b">
        <f t="shared" si="109"/>
        <v>1</v>
      </c>
      <c r="W290" t="s">
        <v>47</v>
      </c>
      <c r="X290" t="s">
        <v>23</v>
      </c>
      <c r="Y290">
        <v>3</v>
      </c>
      <c r="Z290">
        <v>0</v>
      </c>
      <c r="AA290">
        <v>0</v>
      </c>
      <c r="AB290">
        <v>2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24</v>
      </c>
    </row>
    <row r="291" spans="1:34" x14ac:dyDescent="0.25">
      <c r="D291" t="s">
        <v>60</v>
      </c>
      <c r="E291" t="s">
        <v>14</v>
      </c>
      <c r="F291" t="s">
        <v>15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W291" t="s">
        <v>47</v>
      </c>
      <c r="X291" t="s">
        <v>65</v>
      </c>
      <c r="Y291">
        <v>3</v>
      </c>
      <c r="Z291">
        <v>0</v>
      </c>
      <c r="AA291">
        <v>0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24</v>
      </c>
    </row>
    <row r="292" spans="1:34" x14ac:dyDescent="0.25">
      <c r="A292" t="s">
        <v>45</v>
      </c>
      <c r="B292" t="str">
        <f>X270</f>
        <v>tarsin</v>
      </c>
      <c r="C292">
        <f t="shared" ref="C292:C301" si="111">SUM(D292:K292)</f>
        <v>1</v>
      </c>
      <c r="D292">
        <f t="shared" ref="D292:K301" si="112">Z270</f>
        <v>0</v>
      </c>
      <c r="E292">
        <f t="shared" si="112"/>
        <v>0</v>
      </c>
      <c r="F292">
        <f t="shared" si="112"/>
        <v>0</v>
      </c>
      <c r="G292">
        <f t="shared" si="112"/>
        <v>0</v>
      </c>
      <c r="H292">
        <f t="shared" si="112"/>
        <v>0</v>
      </c>
      <c r="I292">
        <f t="shared" si="112"/>
        <v>0</v>
      </c>
      <c r="J292">
        <f t="shared" si="112"/>
        <v>1</v>
      </c>
      <c r="K292">
        <f t="shared" si="112"/>
        <v>0</v>
      </c>
      <c r="L292" t="b">
        <f t="shared" ref="L292:L301" si="113">SUM(D292:K292)=Y270</f>
        <v>1</v>
      </c>
      <c r="W292" t="s">
        <v>47</v>
      </c>
      <c r="X292" t="s">
        <v>63</v>
      </c>
      <c r="Y292">
        <v>4</v>
      </c>
      <c r="Z292">
        <v>0</v>
      </c>
      <c r="AA292">
        <v>0</v>
      </c>
      <c r="AB292">
        <v>2</v>
      </c>
      <c r="AC292">
        <v>0</v>
      </c>
      <c r="AD292">
        <v>0</v>
      </c>
      <c r="AE292">
        <v>0</v>
      </c>
      <c r="AF292">
        <v>2</v>
      </c>
      <c r="AG292">
        <v>0</v>
      </c>
      <c r="AH292">
        <v>24</v>
      </c>
    </row>
    <row r="293" spans="1:34" x14ac:dyDescent="0.25">
      <c r="A293" t="s">
        <v>45</v>
      </c>
      <c r="B293" t="str">
        <f t="shared" ref="B293:B301" si="114">X271</f>
        <v>segol</v>
      </c>
      <c r="C293">
        <f t="shared" si="111"/>
        <v>1</v>
      </c>
      <c r="D293">
        <f t="shared" si="112"/>
        <v>0</v>
      </c>
      <c r="E293">
        <f t="shared" si="112"/>
        <v>0</v>
      </c>
      <c r="F293">
        <f t="shared" si="112"/>
        <v>0</v>
      </c>
      <c r="G293">
        <f t="shared" si="112"/>
        <v>0</v>
      </c>
      <c r="H293">
        <f t="shared" si="112"/>
        <v>0</v>
      </c>
      <c r="I293">
        <f t="shared" si="112"/>
        <v>0</v>
      </c>
      <c r="J293">
        <f t="shared" si="112"/>
        <v>1</v>
      </c>
      <c r="K293">
        <f t="shared" si="112"/>
        <v>0</v>
      </c>
      <c r="L293" t="b">
        <f t="shared" si="113"/>
        <v>1</v>
      </c>
      <c r="W293" t="s">
        <v>47</v>
      </c>
      <c r="X293" t="s">
        <v>64</v>
      </c>
      <c r="Y293">
        <v>5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3</v>
      </c>
      <c r="AG293">
        <v>0</v>
      </c>
      <c r="AH293">
        <v>24</v>
      </c>
    </row>
    <row r="294" spans="1:34" x14ac:dyDescent="0.25">
      <c r="A294" t="s">
        <v>45</v>
      </c>
      <c r="B294" t="str">
        <f t="shared" si="114"/>
        <v>tsinnor</v>
      </c>
      <c r="C294">
        <f t="shared" si="111"/>
        <v>1</v>
      </c>
      <c r="D294">
        <f t="shared" si="112"/>
        <v>0</v>
      </c>
      <c r="E294">
        <f t="shared" si="112"/>
        <v>0</v>
      </c>
      <c r="F294">
        <f t="shared" si="112"/>
        <v>0</v>
      </c>
      <c r="G294">
        <f t="shared" si="112"/>
        <v>0</v>
      </c>
      <c r="H294">
        <f t="shared" si="112"/>
        <v>0</v>
      </c>
      <c r="I294">
        <f t="shared" si="112"/>
        <v>0</v>
      </c>
      <c r="J294">
        <f t="shared" si="112"/>
        <v>1</v>
      </c>
      <c r="K294">
        <f t="shared" si="112"/>
        <v>0</v>
      </c>
      <c r="L294" t="b">
        <f t="shared" si="113"/>
        <v>1</v>
      </c>
      <c r="W294" t="s">
        <v>47</v>
      </c>
      <c r="X294" t="s">
        <v>5</v>
      </c>
      <c r="Y294">
        <v>5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3</v>
      </c>
      <c r="AG294">
        <v>0</v>
      </c>
      <c r="AH294">
        <v>24</v>
      </c>
    </row>
    <row r="295" spans="1:34" x14ac:dyDescent="0.25">
      <c r="A295" t="s">
        <v>45</v>
      </c>
      <c r="B295" t="str">
        <f t="shared" si="114"/>
        <v>telisha-qetana</v>
      </c>
      <c r="C295">
        <f t="shared" si="111"/>
        <v>1</v>
      </c>
      <c r="D295">
        <f t="shared" si="112"/>
        <v>0</v>
      </c>
      <c r="E295">
        <f t="shared" si="112"/>
        <v>0</v>
      </c>
      <c r="F295">
        <f t="shared" si="112"/>
        <v>0</v>
      </c>
      <c r="G295">
        <f t="shared" si="112"/>
        <v>0</v>
      </c>
      <c r="H295">
        <f t="shared" si="112"/>
        <v>0</v>
      </c>
      <c r="I295">
        <f t="shared" si="112"/>
        <v>1</v>
      </c>
      <c r="J295">
        <f t="shared" si="112"/>
        <v>0</v>
      </c>
      <c r="K295">
        <f t="shared" si="112"/>
        <v>0</v>
      </c>
      <c r="L295" t="b">
        <f t="shared" si="113"/>
        <v>1</v>
      </c>
      <c r="W295" t="s">
        <v>47</v>
      </c>
      <c r="X295" t="s">
        <v>8</v>
      </c>
      <c r="Y295">
        <v>12</v>
      </c>
      <c r="Z295">
        <v>0</v>
      </c>
      <c r="AA295">
        <v>0</v>
      </c>
      <c r="AB295">
        <v>4</v>
      </c>
      <c r="AC295">
        <v>0</v>
      </c>
      <c r="AD295">
        <v>0</v>
      </c>
      <c r="AE295">
        <v>3</v>
      </c>
      <c r="AF295">
        <v>5</v>
      </c>
      <c r="AG295">
        <v>0</v>
      </c>
      <c r="AH295">
        <v>24</v>
      </c>
    </row>
    <row r="296" spans="1:34" x14ac:dyDescent="0.25">
      <c r="A296" t="s">
        <v>45</v>
      </c>
      <c r="B296" t="str">
        <f t="shared" si="114"/>
        <v>qadma</v>
      </c>
      <c r="C296">
        <f t="shared" si="111"/>
        <v>2</v>
      </c>
      <c r="D296">
        <f t="shared" si="112"/>
        <v>0</v>
      </c>
      <c r="E296">
        <f t="shared" si="112"/>
        <v>0</v>
      </c>
      <c r="F296">
        <f t="shared" si="112"/>
        <v>1</v>
      </c>
      <c r="G296">
        <f t="shared" si="112"/>
        <v>0</v>
      </c>
      <c r="H296">
        <f t="shared" si="112"/>
        <v>0</v>
      </c>
      <c r="I296">
        <f t="shared" si="112"/>
        <v>1</v>
      </c>
      <c r="J296">
        <f t="shared" si="112"/>
        <v>0</v>
      </c>
      <c r="K296">
        <f t="shared" si="112"/>
        <v>0</v>
      </c>
      <c r="L296" t="b">
        <f t="shared" si="113"/>
        <v>1</v>
      </c>
      <c r="W296" t="s">
        <v>47</v>
      </c>
      <c r="X296" t="s">
        <v>1</v>
      </c>
      <c r="Y296">
        <v>13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2</v>
      </c>
      <c r="AF296">
        <v>9</v>
      </c>
      <c r="AG296">
        <v>0</v>
      </c>
      <c r="AH296">
        <v>24</v>
      </c>
    </row>
    <row r="297" spans="1:34" x14ac:dyDescent="0.25">
      <c r="A297" t="s">
        <v>45</v>
      </c>
      <c r="B297" t="str">
        <f t="shared" si="114"/>
        <v>azla</v>
      </c>
      <c r="C297">
        <f t="shared" si="111"/>
        <v>2</v>
      </c>
      <c r="D297">
        <f t="shared" si="112"/>
        <v>0</v>
      </c>
      <c r="E297">
        <f t="shared" si="112"/>
        <v>0</v>
      </c>
      <c r="F297">
        <f t="shared" si="112"/>
        <v>1</v>
      </c>
      <c r="G297">
        <f t="shared" si="112"/>
        <v>0</v>
      </c>
      <c r="H297">
        <f t="shared" si="112"/>
        <v>0</v>
      </c>
      <c r="I297">
        <f t="shared" si="112"/>
        <v>1</v>
      </c>
      <c r="J297">
        <f t="shared" si="112"/>
        <v>0</v>
      </c>
      <c r="K297">
        <f t="shared" si="112"/>
        <v>0</v>
      </c>
      <c r="L297" t="b">
        <f t="shared" si="113"/>
        <v>1</v>
      </c>
      <c r="W297" t="s">
        <v>47</v>
      </c>
      <c r="X297" t="s">
        <v>6</v>
      </c>
      <c r="Y297">
        <v>21</v>
      </c>
      <c r="Z297">
        <v>0</v>
      </c>
      <c r="AA297">
        <v>0</v>
      </c>
      <c r="AB297">
        <v>8</v>
      </c>
      <c r="AC297">
        <v>0</v>
      </c>
      <c r="AD297">
        <v>0</v>
      </c>
      <c r="AE297">
        <v>4</v>
      </c>
      <c r="AF297">
        <v>8</v>
      </c>
      <c r="AG297">
        <v>1</v>
      </c>
      <c r="AH297">
        <v>24</v>
      </c>
    </row>
    <row r="298" spans="1:34" x14ac:dyDescent="0.25">
      <c r="A298" t="s">
        <v>45</v>
      </c>
      <c r="B298" t="str">
        <f t="shared" si="114"/>
        <v>zaqef-gadol</v>
      </c>
      <c r="C298">
        <f t="shared" si="111"/>
        <v>5</v>
      </c>
      <c r="D298">
        <f t="shared" si="112"/>
        <v>0</v>
      </c>
      <c r="E298">
        <f t="shared" si="112"/>
        <v>0</v>
      </c>
      <c r="F298">
        <f t="shared" si="112"/>
        <v>1</v>
      </c>
      <c r="G298">
        <f t="shared" si="112"/>
        <v>0</v>
      </c>
      <c r="H298">
        <f t="shared" si="112"/>
        <v>0</v>
      </c>
      <c r="I298">
        <f t="shared" si="112"/>
        <v>2</v>
      </c>
      <c r="J298">
        <f t="shared" si="112"/>
        <v>2</v>
      </c>
      <c r="K298">
        <f t="shared" si="112"/>
        <v>0</v>
      </c>
      <c r="L298" t="b">
        <f t="shared" si="113"/>
        <v>1</v>
      </c>
      <c r="W298" t="s">
        <v>47</v>
      </c>
      <c r="X298" t="s">
        <v>24</v>
      </c>
      <c r="Y298">
        <v>47</v>
      </c>
      <c r="Z298">
        <v>0</v>
      </c>
      <c r="AA298">
        <v>0</v>
      </c>
      <c r="AB298">
        <v>6</v>
      </c>
      <c r="AC298">
        <v>1</v>
      </c>
      <c r="AD298">
        <v>0</v>
      </c>
      <c r="AE298">
        <v>6</v>
      </c>
      <c r="AF298">
        <v>10</v>
      </c>
      <c r="AG298">
        <v>24</v>
      </c>
      <c r="AH298">
        <v>24</v>
      </c>
    </row>
    <row r="299" spans="1:34" x14ac:dyDescent="0.25">
      <c r="A299" t="s">
        <v>45</v>
      </c>
      <c r="B299" t="str">
        <f t="shared" si="114"/>
        <v>revia</v>
      </c>
      <c r="C299">
        <f t="shared" si="111"/>
        <v>16</v>
      </c>
      <c r="D299">
        <f t="shared" si="112"/>
        <v>0</v>
      </c>
      <c r="E299">
        <f t="shared" si="112"/>
        <v>0</v>
      </c>
      <c r="F299">
        <f t="shared" si="112"/>
        <v>4</v>
      </c>
      <c r="G299">
        <f t="shared" si="112"/>
        <v>0</v>
      </c>
      <c r="H299">
        <f t="shared" si="112"/>
        <v>0</v>
      </c>
      <c r="I299">
        <f t="shared" si="112"/>
        <v>3</v>
      </c>
      <c r="J299">
        <f t="shared" si="112"/>
        <v>9</v>
      </c>
      <c r="K299">
        <f t="shared" si="112"/>
        <v>0</v>
      </c>
      <c r="L299" t="b">
        <f t="shared" si="113"/>
        <v>1</v>
      </c>
      <c r="W299" t="s">
        <v>47</v>
      </c>
      <c r="X299" t="s">
        <v>66</v>
      </c>
      <c r="Y299">
        <v>50</v>
      </c>
      <c r="Z299">
        <v>0</v>
      </c>
      <c r="AA299">
        <v>0</v>
      </c>
      <c r="AB299">
        <v>5</v>
      </c>
      <c r="AC299">
        <v>0</v>
      </c>
      <c r="AD299">
        <v>0</v>
      </c>
      <c r="AE299">
        <v>4</v>
      </c>
      <c r="AF299">
        <v>32</v>
      </c>
      <c r="AG299">
        <v>9</v>
      </c>
      <c r="AH299">
        <v>24</v>
      </c>
    </row>
    <row r="300" spans="1:34" x14ac:dyDescent="0.25">
      <c r="A300" t="s">
        <v>45</v>
      </c>
      <c r="B300" t="str">
        <f t="shared" si="114"/>
        <v>zaqef-qatan</v>
      </c>
      <c r="C300">
        <f t="shared" si="111"/>
        <v>74</v>
      </c>
      <c r="D300">
        <f t="shared" si="112"/>
        <v>0</v>
      </c>
      <c r="E300">
        <f t="shared" si="112"/>
        <v>0</v>
      </c>
      <c r="F300">
        <f t="shared" si="112"/>
        <v>6</v>
      </c>
      <c r="G300">
        <f t="shared" si="112"/>
        <v>0</v>
      </c>
      <c r="H300">
        <f t="shared" si="112"/>
        <v>0</v>
      </c>
      <c r="I300">
        <f t="shared" si="112"/>
        <v>3</v>
      </c>
      <c r="J300">
        <f t="shared" si="112"/>
        <v>40</v>
      </c>
      <c r="K300">
        <f t="shared" si="112"/>
        <v>25</v>
      </c>
      <c r="L300" t="b">
        <f t="shared" si="113"/>
        <v>1</v>
      </c>
      <c r="W300" t="s">
        <v>48</v>
      </c>
      <c r="X300" t="s">
        <v>5</v>
      </c>
      <c r="Y300">
        <v>7</v>
      </c>
      <c r="Z300">
        <v>0</v>
      </c>
      <c r="AA300">
        <v>0</v>
      </c>
      <c r="AB300">
        <v>4</v>
      </c>
      <c r="AC300">
        <v>0</v>
      </c>
      <c r="AD300">
        <v>0</v>
      </c>
      <c r="AE300">
        <v>1</v>
      </c>
      <c r="AF300">
        <v>2</v>
      </c>
      <c r="AG300">
        <v>0</v>
      </c>
      <c r="AH300">
        <v>25</v>
      </c>
    </row>
    <row r="301" spans="1:34" x14ac:dyDescent="0.25">
      <c r="A301" t="s">
        <v>45</v>
      </c>
      <c r="B301" t="str">
        <f t="shared" si="114"/>
        <v>pashta</v>
      </c>
      <c r="C301">
        <f t="shared" si="111"/>
        <v>76</v>
      </c>
      <c r="D301">
        <f t="shared" si="112"/>
        <v>0</v>
      </c>
      <c r="E301">
        <f t="shared" si="112"/>
        <v>0</v>
      </c>
      <c r="F301">
        <f t="shared" si="112"/>
        <v>18</v>
      </c>
      <c r="G301">
        <f t="shared" si="112"/>
        <v>0</v>
      </c>
      <c r="H301">
        <f t="shared" si="112"/>
        <v>0</v>
      </c>
      <c r="I301">
        <f t="shared" si="112"/>
        <v>6</v>
      </c>
      <c r="J301">
        <f t="shared" si="112"/>
        <v>6</v>
      </c>
      <c r="K301">
        <f t="shared" si="112"/>
        <v>46</v>
      </c>
      <c r="L301" t="b">
        <f t="shared" si="113"/>
        <v>1</v>
      </c>
      <c r="W301" t="s">
        <v>48</v>
      </c>
      <c r="X301" t="s">
        <v>22</v>
      </c>
      <c r="Y301">
        <v>11</v>
      </c>
      <c r="Z301">
        <v>0</v>
      </c>
      <c r="AA301">
        <v>0</v>
      </c>
      <c r="AB301">
        <v>2</v>
      </c>
      <c r="AC301">
        <v>1</v>
      </c>
      <c r="AD301">
        <v>0</v>
      </c>
      <c r="AE301">
        <v>0</v>
      </c>
      <c r="AF301">
        <v>8</v>
      </c>
      <c r="AG301">
        <v>0</v>
      </c>
      <c r="AH301">
        <v>25</v>
      </c>
    </row>
    <row r="302" spans="1:34" x14ac:dyDescent="0.25">
      <c r="D302" t="s">
        <v>60</v>
      </c>
      <c r="E302" t="s">
        <v>14</v>
      </c>
      <c r="F302" t="s">
        <v>15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W302" t="s">
        <v>48</v>
      </c>
      <c r="X302" t="s">
        <v>4</v>
      </c>
      <c r="Y302">
        <v>11</v>
      </c>
      <c r="Z302">
        <v>0</v>
      </c>
      <c r="AA302">
        <v>0</v>
      </c>
      <c r="AB302">
        <v>3</v>
      </c>
      <c r="AC302">
        <v>2</v>
      </c>
      <c r="AD302">
        <v>0</v>
      </c>
      <c r="AE302">
        <v>0</v>
      </c>
      <c r="AF302">
        <v>6</v>
      </c>
      <c r="AG302">
        <v>0</v>
      </c>
      <c r="AH302">
        <v>25</v>
      </c>
    </row>
    <row r="303" spans="1:34" x14ac:dyDescent="0.25">
      <c r="A303" t="s">
        <v>46</v>
      </c>
      <c r="B303" t="str">
        <f>X280</f>
        <v>pazer</v>
      </c>
      <c r="C303">
        <f t="shared" ref="C303:C312" si="115">SUM(D303:K303)</f>
        <v>1</v>
      </c>
      <c r="D303">
        <f t="shared" ref="D303:K312" si="116">Z280</f>
        <v>0</v>
      </c>
      <c r="E303">
        <f t="shared" si="116"/>
        <v>0</v>
      </c>
      <c r="F303">
        <f t="shared" si="116"/>
        <v>0</v>
      </c>
      <c r="G303">
        <f t="shared" si="116"/>
        <v>0</v>
      </c>
      <c r="H303">
        <f t="shared" si="116"/>
        <v>0</v>
      </c>
      <c r="I303">
        <f t="shared" si="116"/>
        <v>0</v>
      </c>
      <c r="J303">
        <f t="shared" si="116"/>
        <v>1</v>
      </c>
      <c r="K303">
        <f t="shared" si="116"/>
        <v>0</v>
      </c>
      <c r="L303" t="b">
        <f t="shared" ref="L303:L312" si="117">SUM(D303:K303)=Y280</f>
        <v>1</v>
      </c>
      <c r="W303" t="s">
        <v>48</v>
      </c>
      <c r="X303" t="s">
        <v>63</v>
      </c>
      <c r="Y303">
        <v>13</v>
      </c>
      <c r="Z303">
        <v>0</v>
      </c>
      <c r="AA303">
        <v>0</v>
      </c>
      <c r="AB303">
        <v>6</v>
      </c>
      <c r="AC303">
        <v>0</v>
      </c>
      <c r="AD303">
        <v>0</v>
      </c>
      <c r="AE303">
        <v>2</v>
      </c>
      <c r="AF303">
        <v>5</v>
      </c>
      <c r="AG303">
        <v>0</v>
      </c>
      <c r="AH303">
        <v>25</v>
      </c>
    </row>
    <row r="304" spans="1:34" x14ac:dyDescent="0.25">
      <c r="A304" t="s">
        <v>46</v>
      </c>
      <c r="B304" t="str">
        <f t="shared" ref="B304:B312" si="118">X281</f>
        <v>zaqef-gadol</v>
      </c>
      <c r="C304">
        <f t="shared" si="115"/>
        <v>1</v>
      </c>
      <c r="D304">
        <f t="shared" si="116"/>
        <v>0</v>
      </c>
      <c r="E304">
        <f t="shared" si="116"/>
        <v>0</v>
      </c>
      <c r="F304">
        <f t="shared" si="116"/>
        <v>1</v>
      </c>
      <c r="G304">
        <f t="shared" si="116"/>
        <v>0</v>
      </c>
      <c r="H304">
        <f t="shared" si="116"/>
        <v>0</v>
      </c>
      <c r="I304">
        <f t="shared" si="116"/>
        <v>0</v>
      </c>
      <c r="J304">
        <f t="shared" si="116"/>
        <v>0</v>
      </c>
      <c r="K304">
        <f t="shared" si="116"/>
        <v>0</v>
      </c>
      <c r="L304" t="b">
        <f t="shared" si="117"/>
        <v>1</v>
      </c>
      <c r="W304" t="s">
        <v>48</v>
      </c>
      <c r="X304" t="s">
        <v>64</v>
      </c>
      <c r="Y304">
        <v>18</v>
      </c>
      <c r="Z304">
        <v>0</v>
      </c>
      <c r="AA304">
        <v>0</v>
      </c>
      <c r="AB304">
        <v>12</v>
      </c>
      <c r="AC304">
        <v>1</v>
      </c>
      <c r="AD304">
        <v>0</v>
      </c>
      <c r="AE304">
        <v>2</v>
      </c>
      <c r="AF304">
        <v>3</v>
      </c>
      <c r="AG304">
        <v>0</v>
      </c>
      <c r="AH304">
        <v>25</v>
      </c>
    </row>
    <row r="305" spans="1:34" x14ac:dyDescent="0.25">
      <c r="A305" t="s">
        <v>46</v>
      </c>
      <c r="B305" t="str">
        <f t="shared" si="118"/>
        <v>telisha-gedola</v>
      </c>
      <c r="C305">
        <f t="shared" si="115"/>
        <v>2</v>
      </c>
      <c r="D305">
        <f t="shared" si="116"/>
        <v>0</v>
      </c>
      <c r="E305">
        <f t="shared" si="116"/>
        <v>0</v>
      </c>
      <c r="F305">
        <f t="shared" si="116"/>
        <v>1</v>
      </c>
      <c r="G305">
        <f t="shared" si="116"/>
        <v>0</v>
      </c>
      <c r="H305">
        <f t="shared" si="116"/>
        <v>0</v>
      </c>
      <c r="I305">
        <f t="shared" si="116"/>
        <v>1</v>
      </c>
      <c r="J305">
        <f t="shared" si="116"/>
        <v>0</v>
      </c>
      <c r="K305">
        <f t="shared" si="116"/>
        <v>0</v>
      </c>
      <c r="L305" t="b">
        <f t="shared" si="117"/>
        <v>1</v>
      </c>
      <c r="W305" t="s">
        <v>48</v>
      </c>
      <c r="X305" t="s">
        <v>23</v>
      </c>
      <c r="Y305">
        <v>24</v>
      </c>
      <c r="Z305">
        <v>0</v>
      </c>
      <c r="AA305">
        <v>0</v>
      </c>
      <c r="AB305">
        <v>11</v>
      </c>
      <c r="AC305">
        <v>0</v>
      </c>
      <c r="AD305">
        <v>0</v>
      </c>
      <c r="AE305">
        <v>6</v>
      </c>
      <c r="AF305">
        <v>7</v>
      </c>
      <c r="AG305">
        <v>0</v>
      </c>
      <c r="AH305">
        <v>25</v>
      </c>
    </row>
    <row r="306" spans="1:34" x14ac:dyDescent="0.25">
      <c r="A306" t="s">
        <v>46</v>
      </c>
      <c r="B306" t="str">
        <f t="shared" si="118"/>
        <v>telisha-qetana</v>
      </c>
      <c r="C306">
        <f t="shared" si="115"/>
        <v>3</v>
      </c>
      <c r="D306">
        <f t="shared" si="116"/>
        <v>0</v>
      </c>
      <c r="E306">
        <f t="shared" si="116"/>
        <v>0</v>
      </c>
      <c r="F306">
        <f t="shared" si="116"/>
        <v>1</v>
      </c>
      <c r="G306">
        <f t="shared" si="116"/>
        <v>0</v>
      </c>
      <c r="H306">
        <f t="shared" si="116"/>
        <v>0</v>
      </c>
      <c r="I306">
        <f t="shared" si="116"/>
        <v>0</v>
      </c>
      <c r="J306">
        <f t="shared" si="116"/>
        <v>2</v>
      </c>
      <c r="K306">
        <f t="shared" si="116"/>
        <v>0</v>
      </c>
      <c r="L306" t="b">
        <f t="shared" si="117"/>
        <v>1</v>
      </c>
      <c r="W306" t="s">
        <v>48</v>
      </c>
      <c r="X306" t="s">
        <v>65</v>
      </c>
      <c r="Y306">
        <v>28</v>
      </c>
      <c r="Z306">
        <v>0</v>
      </c>
      <c r="AA306">
        <v>0</v>
      </c>
      <c r="AB306">
        <v>13</v>
      </c>
      <c r="AC306">
        <v>0</v>
      </c>
      <c r="AD306">
        <v>0</v>
      </c>
      <c r="AE306">
        <v>4</v>
      </c>
      <c r="AF306">
        <v>10</v>
      </c>
      <c r="AG306">
        <v>1</v>
      </c>
      <c r="AH306">
        <v>25</v>
      </c>
    </row>
    <row r="307" spans="1:34" x14ac:dyDescent="0.25">
      <c r="A307" t="s">
        <v>46</v>
      </c>
      <c r="B307" t="str">
        <f t="shared" si="118"/>
        <v>tarsin</v>
      </c>
      <c r="C307">
        <f t="shared" si="115"/>
        <v>3</v>
      </c>
      <c r="D307">
        <f t="shared" si="116"/>
        <v>0</v>
      </c>
      <c r="E307">
        <f t="shared" si="116"/>
        <v>0</v>
      </c>
      <c r="F307">
        <f t="shared" si="116"/>
        <v>1</v>
      </c>
      <c r="G307">
        <f t="shared" si="116"/>
        <v>0</v>
      </c>
      <c r="H307">
        <f t="shared" si="116"/>
        <v>0</v>
      </c>
      <c r="I307">
        <f t="shared" si="116"/>
        <v>1</v>
      </c>
      <c r="J307">
        <f t="shared" si="116"/>
        <v>1</v>
      </c>
      <c r="K307">
        <f t="shared" si="116"/>
        <v>0</v>
      </c>
      <c r="L307" t="b">
        <f t="shared" si="117"/>
        <v>1</v>
      </c>
      <c r="W307" t="s">
        <v>48</v>
      </c>
      <c r="X307" t="s">
        <v>8</v>
      </c>
      <c r="Y307">
        <v>41</v>
      </c>
      <c r="Z307">
        <v>0</v>
      </c>
      <c r="AA307">
        <v>0</v>
      </c>
      <c r="AB307">
        <v>25</v>
      </c>
      <c r="AC307">
        <v>1</v>
      </c>
      <c r="AD307">
        <v>0</v>
      </c>
      <c r="AE307">
        <v>6</v>
      </c>
      <c r="AF307">
        <v>8</v>
      </c>
      <c r="AG307">
        <v>1</v>
      </c>
      <c r="AH307">
        <v>25</v>
      </c>
    </row>
    <row r="308" spans="1:34" x14ac:dyDescent="0.25">
      <c r="A308" t="s">
        <v>46</v>
      </c>
      <c r="B308" t="str">
        <f t="shared" si="118"/>
        <v>azla</v>
      </c>
      <c r="C308">
        <f t="shared" si="115"/>
        <v>11</v>
      </c>
      <c r="D308">
        <f t="shared" si="116"/>
        <v>0</v>
      </c>
      <c r="E308">
        <f t="shared" si="116"/>
        <v>0</v>
      </c>
      <c r="F308">
        <f t="shared" si="116"/>
        <v>7</v>
      </c>
      <c r="G308">
        <f t="shared" si="116"/>
        <v>0</v>
      </c>
      <c r="H308">
        <f t="shared" si="116"/>
        <v>0</v>
      </c>
      <c r="I308">
        <f t="shared" si="116"/>
        <v>2</v>
      </c>
      <c r="J308">
        <f t="shared" si="116"/>
        <v>2</v>
      </c>
      <c r="K308">
        <f t="shared" si="116"/>
        <v>0</v>
      </c>
      <c r="L308" t="b">
        <f t="shared" si="117"/>
        <v>1</v>
      </c>
      <c r="W308" t="s">
        <v>48</v>
      </c>
      <c r="X308" t="s">
        <v>6</v>
      </c>
      <c r="Y308">
        <v>76</v>
      </c>
      <c r="Z308">
        <v>0</v>
      </c>
      <c r="AA308">
        <v>0</v>
      </c>
      <c r="AB308">
        <v>40</v>
      </c>
      <c r="AC308">
        <v>2</v>
      </c>
      <c r="AD308">
        <v>0</v>
      </c>
      <c r="AE308">
        <v>16</v>
      </c>
      <c r="AF308">
        <v>16</v>
      </c>
      <c r="AG308">
        <v>2</v>
      </c>
      <c r="AH308">
        <v>25</v>
      </c>
    </row>
    <row r="309" spans="1:34" x14ac:dyDescent="0.25">
      <c r="A309" t="s">
        <v>46</v>
      </c>
      <c r="B309" t="str">
        <f t="shared" si="118"/>
        <v>qadma</v>
      </c>
      <c r="C309">
        <f t="shared" si="115"/>
        <v>13</v>
      </c>
      <c r="D309">
        <f t="shared" si="116"/>
        <v>0</v>
      </c>
      <c r="E309">
        <f t="shared" si="116"/>
        <v>0</v>
      </c>
      <c r="F309">
        <f t="shared" si="116"/>
        <v>7</v>
      </c>
      <c r="G309">
        <f t="shared" si="116"/>
        <v>0</v>
      </c>
      <c r="H309">
        <f t="shared" si="116"/>
        <v>0</v>
      </c>
      <c r="I309">
        <f t="shared" si="116"/>
        <v>3</v>
      </c>
      <c r="J309">
        <f t="shared" si="116"/>
        <v>3</v>
      </c>
      <c r="K309">
        <f t="shared" si="116"/>
        <v>0</v>
      </c>
      <c r="L309" t="b">
        <f t="shared" si="117"/>
        <v>1</v>
      </c>
      <c r="W309" t="s">
        <v>48</v>
      </c>
      <c r="X309" t="s">
        <v>1</v>
      </c>
      <c r="Y309">
        <v>122</v>
      </c>
      <c r="Z309">
        <v>0</v>
      </c>
      <c r="AA309">
        <v>0</v>
      </c>
      <c r="AB309">
        <v>30</v>
      </c>
      <c r="AC309">
        <v>0</v>
      </c>
      <c r="AD309">
        <v>0</v>
      </c>
      <c r="AE309">
        <v>13</v>
      </c>
      <c r="AF309">
        <v>79</v>
      </c>
      <c r="AG309">
        <v>0</v>
      </c>
      <c r="AH309">
        <v>25</v>
      </c>
    </row>
    <row r="310" spans="1:34" x14ac:dyDescent="0.25">
      <c r="A310" t="s">
        <v>46</v>
      </c>
      <c r="B310" t="str">
        <f t="shared" si="118"/>
        <v>revia</v>
      </c>
      <c r="C310">
        <f t="shared" si="115"/>
        <v>27</v>
      </c>
      <c r="D310">
        <f t="shared" si="116"/>
        <v>0</v>
      </c>
      <c r="E310">
        <f t="shared" si="116"/>
        <v>0</v>
      </c>
      <c r="F310">
        <f t="shared" si="116"/>
        <v>6</v>
      </c>
      <c r="G310">
        <f t="shared" si="116"/>
        <v>0</v>
      </c>
      <c r="H310">
        <f t="shared" si="116"/>
        <v>0</v>
      </c>
      <c r="I310">
        <f t="shared" si="116"/>
        <v>2</v>
      </c>
      <c r="J310">
        <f t="shared" si="116"/>
        <v>19</v>
      </c>
      <c r="K310">
        <f t="shared" si="116"/>
        <v>0</v>
      </c>
      <c r="L310" t="b">
        <f t="shared" si="117"/>
        <v>1</v>
      </c>
      <c r="W310" t="s">
        <v>48</v>
      </c>
      <c r="X310" t="s">
        <v>24</v>
      </c>
      <c r="Y310">
        <v>310</v>
      </c>
      <c r="Z310">
        <v>0</v>
      </c>
      <c r="AA310">
        <v>0</v>
      </c>
      <c r="AB310">
        <v>78</v>
      </c>
      <c r="AC310">
        <v>6</v>
      </c>
      <c r="AD310">
        <v>0</v>
      </c>
      <c r="AE310">
        <v>39</v>
      </c>
      <c r="AF310">
        <v>50</v>
      </c>
      <c r="AG310">
        <v>137</v>
      </c>
      <c r="AH310">
        <v>25</v>
      </c>
    </row>
    <row r="311" spans="1:34" x14ac:dyDescent="0.25">
      <c r="A311" t="s">
        <v>46</v>
      </c>
      <c r="B311" t="str">
        <f t="shared" si="118"/>
        <v>zaqef-qatan</v>
      </c>
      <c r="C311">
        <f t="shared" si="115"/>
        <v>84</v>
      </c>
      <c r="D311">
        <f t="shared" si="116"/>
        <v>0</v>
      </c>
      <c r="E311">
        <f t="shared" si="116"/>
        <v>0</v>
      </c>
      <c r="F311">
        <f t="shared" si="116"/>
        <v>13</v>
      </c>
      <c r="G311">
        <f t="shared" si="116"/>
        <v>1</v>
      </c>
      <c r="H311">
        <f t="shared" si="116"/>
        <v>0</v>
      </c>
      <c r="I311">
        <f t="shared" si="116"/>
        <v>2</v>
      </c>
      <c r="J311">
        <f t="shared" si="116"/>
        <v>51</v>
      </c>
      <c r="K311">
        <f t="shared" si="116"/>
        <v>17</v>
      </c>
      <c r="L311" t="b">
        <f t="shared" si="117"/>
        <v>1</v>
      </c>
      <c r="W311" t="s">
        <v>48</v>
      </c>
      <c r="X311" t="s">
        <v>66</v>
      </c>
      <c r="Y311">
        <v>314</v>
      </c>
      <c r="Z311">
        <v>0</v>
      </c>
      <c r="AA311">
        <v>0</v>
      </c>
      <c r="AB311">
        <v>40</v>
      </c>
      <c r="AC311">
        <v>2</v>
      </c>
      <c r="AD311">
        <v>0</v>
      </c>
      <c r="AE311">
        <v>11</v>
      </c>
      <c r="AF311">
        <v>218</v>
      </c>
      <c r="AG311">
        <v>43</v>
      </c>
      <c r="AH311">
        <v>25</v>
      </c>
    </row>
    <row r="312" spans="1:34" x14ac:dyDescent="0.25">
      <c r="A312" t="s">
        <v>46</v>
      </c>
      <c r="B312" t="str">
        <f t="shared" si="118"/>
        <v>pashta</v>
      </c>
      <c r="C312">
        <f t="shared" si="115"/>
        <v>88</v>
      </c>
      <c r="D312">
        <f t="shared" si="116"/>
        <v>0</v>
      </c>
      <c r="E312">
        <f t="shared" si="116"/>
        <v>0</v>
      </c>
      <c r="F312">
        <f t="shared" si="116"/>
        <v>24</v>
      </c>
      <c r="G312">
        <f t="shared" si="116"/>
        <v>2</v>
      </c>
      <c r="H312">
        <f t="shared" si="116"/>
        <v>0</v>
      </c>
      <c r="I312">
        <f t="shared" si="116"/>
        <v>9</v>
      </c>
      <c r="J312">
        <f t="shared" si="116"/>
        <v>18</v>
      </c>
      <c r="K312">
        <f t="shared" si="116"/>
        <v>35</v>
      </c>
      <c r="L312" t="b">
        <f t="shared" si="117"/>
        <v>1</v>
      </c>
      <c r="W312" t="s">
        <v>49</v>
      </c>
      <c r="X312" t="s">
        <v>4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26</v>
      </c>
    </row>
    <row r="313" spans="1:34" x14ac:dyDescent="0.25">
      <c r="D313" t="s">
        <v>60</v>
      </c>
      <c r="E313" t="s">
        <v>14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W313" t="s">
        <v>49</v>
      </c>
      <c r="X313" t="s">
        <v>22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26</v>
      </c>
    </row>
    <row r="314" spans="1:34" x14ac:dyDescent="0.25">
      <c r="A314" t="s">
        <v>47</v>
      </c>
      <c r="B314" t="str">
        <f>X290</f>
        <v>tarsin</v>
      </c>
      <c r="C314">
        <f t="shared" ref="C314:C323" si="119">SUM(D314:K314)</f>
        <v>3</v>
      </c>
      <c r="D314">
        <f t="shared" ref="D314:K323" si="120">Z290</f>
        <v>0</v>
      </c>
      <c r="E314">
        <f t="shared" si="120"/>
        <v>0</v>
      </c>
      <c r="F314">
        <f t="shared" si="120"/>
        <v>2</v>
      </c>
      <c r="G314">
        <f t="shared" si="120"/>
        <v>0</v>
      </c>
      <c r="H314">
        <f t="shared" si="120"/>
        <v>0</v>
      </c>
      <c r="I314">
        <f t="shared" si="120"/>
        <v>1</v>
      </c>
      <c r="J314">
        <f t="shared" si="120"/>
        <v>0</v>
      </c>
      <c r="K314">
        <f t="shared" si="120"/>
        <v>0</v>
      </c>
      <c r="L314" t="b">
        <f t="shared" ref="L314:L323" si="121">SUM(D314:K314)=Y290</f>
        <v>1</v>
      </c>
      <c r="W314" t="s">
        <v>49</v>
      </c>
      <c r="X314" t="s">
        <v>23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26</v>
      </c>
    </row>
    <row r="315" spans="1:34" x14ac:dyDescent="0.25">
      <c r="A315" t="s">
        <v>47</v>
      </c>
      <c r="B315" t="str">
        <f t="shared" ref="B315:B323" si="122">X291</f>
        <v>zaqef-gadol</v>
      </c>
      <c r="C315">
        <f t="shared" si="119"/>
        <v>3</v>
      </c>
      <c r="D315">
        <f t="shared" si="120"/>
        <v>0</v>
      </c>
      <c r="E315">
        <f t="shared" si="120"/>
        <v>0</v>
      </c>
      <c r="F315">
        <f t="shared" si="120"/>
        <v>3</v>
      </c>
      <c r="G315">
        <f t="shared" si="120"/>
        <v>0</v>
      </c>
      <c r="H315">
        <f t="shared" si="120"/>
        <v>0</v>
      </c>
      <c r="I315">
        <f t="shared" si="120"/>
        <v>0</v>
      </c>
      <c r="J315">
        <f t="shared" si="120"/>
        <v>0</v>
      </c>
      <c r="K315">
        <f t="shared" si="120"/>
        <v>0</v>
      </c>
      <c r="L315" t="b">
        <f t="shared" si="121"/>
        <v>1</v>
      </c>
      <c r="W315" t="s">
        <v>49</v>
      </c>
      <c r="X315" t="s">
        <v>63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26</v>
      </c>
    </row>
    <row r="316" spans="1:34" x14ac:dyDescent="0.25">
      <c r="A316" t="s">
        <v>47</v>
      </c>
      <c r="B316" t="str">
        <f t="shared" si="122"/>
        <v>telisha-gedola</v>
      </c>
      <c r="C316">
        <f t="shared" si="119"/>
        <v>4</v>
      </c>
      <c r="D316">
        <f t="shared" si="120"/>
        <v>0</v>
      </c>
      <c r="E316">
        <f t="shared" si="120"/>
        <v>0</v>
      </c>
      <c r="F316">
        <f t="shared" si="120"/>
        <v>2</v>
      </c>
      <c r="G316">
        <f t="shared" si="120"/>
        <v>0</v>
      </c>
      <c r="H316">
        <f t="shared" si="120"/>
        <v>0</v>
      </c>
      <c r="I316">
        <f t="shared" si="120"/>
        <v>0</v>
      </c>
      <c r="J316">
        <f t="shared" si="120"/>
        <v>2</v>
      </c>
      <c r="K316">
        <f t="shared" si="120"/>
        <v>0</v>
      </c>
      <c r="L316" t="b">
        <f t="shared" si="121"/>
        <v>1</v>
      </c>
      <c r="W316" t="s">
        <v>49</v>
      </c>
      <c r="X316" t="s">
        <v>5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2</v>
      </c>
      <c r="AG316">
        <v>0</v>
      </c>
      <c r="AH316">
        <v>26</v>
      </c>
    </row>
    <row r="317" spans="1:34" x14ac:dyDescent="0.25">
      <c r="A317" t="s">
        <v>47</v>
      </c>
      <c r="B317" t="str">
        <f t="shared" si="122"/>
        <v>telisha-qetana</v>
      </c>
      <c r="C317">
        <f t="shared" si="119"/>
        <v>5</v>
      </c>
      <c r="D317">
        <f t="shared" si="120"/>
        <v>0</v>
      </c>
      <c r="E317">
        <f t="shared" si="120"/>
        <v>0</v>
      </c>
      <c r="F317">
        <f t="shared" si="120"/>
        <v>1</v>
      </c>
      <c r="G317">
        <f t="shared" si="120"/>
        <v>0</v>
      </c>
      <c r="H317">
        <f t="shared" si="120"/>
        <v>0</v>
      </c>
      <c r="I317">
        <f t="shared" si="120"/>
        <v>1</v>
      </c>
      <c r="J317">
        <f t="shared" si="120"/>
        <v>3</v>
      </c>
      <c r="K317">
        <f t="shared" si="120"/>
        <v>0</v>
      </c>
      <c r="L317" t="b">
        <f t="shared" si="121"/>
        <v>1</v>
      </c>
      <c r="W317" t="s">
        <v>49</v>
      </c>
      <c r="X317" t="s">
        <v>64</v>
      </c>
      <c r="Y317">
        <v>7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4</v>
      </c>
      <c r="AF317">
        <v>2</v>
      </c>
      <c r="AG317">
        <v>0</v>
      </c>
      <c r="AH317">
        <v>26</v>
      </c>
    </row>
    <row r="318" spans="1:34" x14ac:dyDescent="0.25">
      <c r="A318" t="s">
        <v>47</v>
      </c>
      <c r="B318" t="str">
        <f t="shared" si="122"/>
        <v>pazer</v>
      </c>
      <c r="C318">
        <f t="shared" si="119"/>
        <v>5</v>
      </c>
      <c r="D318">
        <f t="shared" si="120"/>
        <v>0</v>
      </c>
      <c r="E318">
        <f t="shared" si="120"/>
        <v>0</v>
      </c>
      <c r="F318">
        <f t="shared" si="120"/>
        <v>2</v>
      </c>
      <c r="G318">
        <f t="shared" si="120"/>
        <v>0</v>
      </c>
      <c r="H318">
        <f t="shared" si="120"/>
        <v>0</v>
      </c>
      <c r="I318">
        <f t="shared" si="120"/>
        <v>0</v>
      </c>
      <c r="J318">
        <f t="shared" si="120"/>
        <v>3</v>
      </c>
      <c r="K318">
        <f t="shared" si="120"/>
        <v>0</v>
      </c>
      <c r="L318" t="b">
        <f t="shared" si="121"/>
        <v>1</v>
      </c>
      <c r="W318" t="s">
        <v>49</v>
      </c>
      <c r="X318" t="s">
        <v>65</v>
      </c>
      <c r="Y318">
        <v>9</v>
      </c>
      <c r="Z318">
        <v>0</v>
      </c>
      <c r="AA318">
        <v>0</v>
      </c>
      <c r="AB318">
        <v>4</v>
      </c>
      <c r="AC318">
        <v>0</v>
      </c>
      <c r="AD318">
        <v>0</v>
      </c>
      <c r="AE318">
        <v>3</v>
      </c>
      <c r="AF318">
        <v>2</v>
      </c>
      <c r="AG318">
        <v>0</v>
      </c>
      <c r="AH318">
        <v>26</v>
      </c>
    </row>
    <row r="319" spans="1:34" x14ac:dyDescent="0.25">
      <c r="A319" t="s">
        <v>47</v>
      </c>
      <c r="B319" t="str">
        <f t="shared" si="122"/>
        <v>azla</v>
      </c>
      <c r="C319">
        <f t="shared" si="119"/>
        <v>12</v>
      </c>
      <c r="D319">
        <f t="shared" si="120"/>
        <v>0</v>
      </c>
      <c r="E319">
        <f t="shared" si="120"/>
        <v>0</v>
      </c>
      <c r="F319">
        <f t="shared" si="120"/>
        <v>4</v>
      </c>
      <c r="G319">
        <f t="shared" si="120"/>
        <v>0</v>
      </c>
      <c r="H319">
        <f t="shared" si="120"/>
        <v>0</v>
      </c>
      <c r="I319">
        <f t="shared" si="120"/>
        <v>3</v>
      </c>
      <c r="J319">
        <f t="shared" si="120"/>
        <v>5</v>
      </c>
      <c r="K319">
        <f t="shared" si="120"/>
        <v>0</v>
      </c>
      <c r="L319" t="b">
        <f t="shared" si="121"/>
        <v>1</v>
      </c>
      <c r="W319" t="s">
        <v>49</v>
      </c>
      <c r="X319" t="s">
        <v>8</v>
      </c>
      <c r="Y319">
        <v>19</v>
      </c>
      <c r="Z319">
        <v>0</v>
      </c>
      <c r="AA319">
        <v>0</v>
      </c>
      <c r="AB319">
        <v>8</v>
      </c>
      <c r="AC319">
        <v>0</v>
      </c>
      <c r="AD319">
        <v>0</v>
      </c>
      <c r="AE319">
        <v>6</v>
      </c>
      <c r="AF319">
        <v>4</v>
      </c>
      <c r="AG319">
        <v>1</v>
      </c>
      <c r="AH319">
        <v>26</v>
      </c>
    </row>
    <row r="320" spans="1:34" x14ac:dyDescent="0.25">
      <c r="A320" t="s">
        <v>47</v>
      </c>
      <c r="B320" t="str">
        <f t="shared" si="122"/>
        <v>revia</v>
      </c>
      <c r="C320">
        <f t="shared" si="119"/>
        <v>13</v>
      </c>
      <c r="D320">
        <f t="shared" si="120"/>
        <v>0</v>
      </c>
      <c r="E320">
        <f t="shared" si="120"/>
        <v>0</v>
      </c>
      <c r="F320">
        <f t="shared" si="120"/>
        <v>2</v>
      </c>
      <c r="G320">
        <f t="shared" si="120"/>
        <v>0</v>
      </c>
      <c r="H320">
        <f t="shared" si="120"/>
        <v>0</v>
      </c>
      <c r="I320">
        <f t="shared" si="120"/>
        <v>2</v>
      </c>
      <c r="J320">
        <f t="shared" si="120"/>
        <v>9</v>
      </c>
      <c r="K320">
        <f t="shared" si="120"/>
        <v>0</v>
      </c>
      <c r="L320" t="b">
        <f t="shared" si="121"/>
        <v>1</v>
      </c>
      <c r="W320" t="s">
        <v>49</v>
      </c>
      <c r="X320" t="s">
        <v>6</v>
      </c>
      <c r="Y320">
        <v>28</v>
      </c>
      <c r="Z320">
        <v>0</v>
      </c>
      <c r="AA320">
        <v>0</v>
      </c>
      <c r="AB320">
        <v>14</v>
      </c>
      <c r="AC320">
        <v>0</v>
      </c>
      <c r="AD320">
        <v>0</v>
      </c>
      <c r="AE320">
        <v>9</v>
      </c>
      <c r="AF320">
        <v>4</v>
      </c>
      <c r="AG320">
        <v>1</v>
      </c>
      <c r="AH320">
        <v>26</v>
      </c>
    </row>
    <row r="321" spans="1:34" x14ac:dyDescent="0.25">
      <c r="A321" t="s">
        <v>47</v>
      </c>
      <c r="B321" t="str">
        <f t="shared" si="122"/>
        <v>qadma</v>
      </c>
      <c r="C321">
        <f t="shared" si="119"/>
        <v>21</v>
      </c>
      <c r="D321">
        <f t="shared" si="120"/>
        <v>0</v>
      </c>
      <c r="E321">
        <f t="shared" si="120"/>
        <v>0</v>
      </c>
      <c r="F321">
        <f t="shared" si="120"/>
        <v>8</v>
      </c>
      <c r="G321">
        <f t="shared" si="120"/>
        <v>0</v>
      </c>
      <c r="H321">
        <f t="shared" si="120"/>
        <v>0</v>
      </c>
      <c r="I321">
        <f t="shared" si="120"/>
        <v>4</v>
      </c>
      <c r="J321">
        <f t="shared" si="120"/>
        <v>8</v>
      </c>
      <c r="K321">
        <f t="shared" si="120"/>
        <v>1</v>
      </c>
      <c r="L321" t="b">
        <f t="shared" si="121"/>
        <v>1</v>
      </c>
      <c r="W321" t="s">
        <v>49</v>
      </c>
      <c r="X321" t="s">
        <v>1</v>
      </c>
      <c r="Y321">
        <v>32</v>
      </c>
      <c r="Z321">
        <v>0</v>
      </c>
      <c r="AA321">
        <v>0</v>
      </c>
      <c r="AB321">
        <v>4</v>
      </c>
      <c r="AC321">
        <v>0</v>
      </c>
      <c r="AD321">
        <v>0</v>
      </c>
      <c r="AE321">
        <v>8</v>
      </c>
      <c r="AF321">
        <v>19</v>
      </c>
      <c r="AG321">
        <v>1</v>
      </c>
      <c r="AH321">
        <v>26</v>
      </c>
    </row>
    <row r="322" spans="1:34" x14ac:dyDescent="0.25">
      <c r="A322" t="s">
        <v>47</v>
      </c>
      <c r="B322" t="str">
        <f t="shared" si="122"/>
        <v>pashta</v>
      </c>
      <c r="C322">
        <f t="shared" si="119"/>
        <v>47</v>
      </c>
      <c r="D322">
        <f t="shared" si="120"/>
        <v>0</v>
      </c>
      <c r="E322">
        <f t="shared" si="120"/>
        <v>0</v>
      </c>
      <c r="F322">
        <f t="shared" si="120"/>
        <v>6</v>
      </c>
      <c r="G322">
        <f t="shared" si="120"/>
        <v>1</v>
      </c>
      <c r="H322">
        <f t="shared" si="120"/>
        <v>0</v>
      </c>
      <c r="I322">
        <f t="shared" si="120"/>
        <v>6</v>
      </c>
      <c r="J322">
        <f t="shared" si="120"/>
        <v>10</v>
      </c>
      <c r="K322">
        <f t="shared" si="120"/>
        <v>24</v>
      </c>
      <c r="L322" t="b">
        <f t="shared" si="121"/>
        <v>1</v>
      </c>
      <c r="W322" t="s">
        <v>49</v>
      </c>
      <c r="X322" t="s">
        <v>66</v>
      </c>
      <c r="Y322">
        <v>95</v>
      </c>
      <c r="Z322">
        <v>0</v>
      </c>
      <c r="AA322">
        <v>0</v>
      </c>
      <c r="AB322">
        <v>7</v>
      </c>
      <c r="AC322">
        <v>3</v>
      </c>
      <c r="AD322">
        <v>0</v>
      </c>
      <c r="AE322">
        <v>1</v>
      </c>
      <c r="AF322">
        <v>60</v>
      </c>
      <c r="AG322">
        <v>24</v>
      </c>
      <c r="AH322">
        <v>26</v>
      </c>
    </row>
    <row r="323" spans="1:34" x14ac:dyDescent="0.25">
      <c r="A323" t="s">
        <v>47</v>
      </c>
      <c r="B323" t="str">
        <f t="shared" si="122"/>
        <v>zaqef-qatan</v>
      </c>
      <c r="C323">
        <f t="shared" si="119"/>
        <v>50</v>
      </c>
      <c r="D323">
        <f t="shared" si="120"/>
        <v>0</v>
      </c>
      <c r="E323">
        <f t="shared" si="120"/>
        <v>0</v>
      </c>
      <c r="F323">
        <f t="shared" si="120"/>
        <v>5</v>
      </c>
      <c r="G323">
        <f t="shared" si="120"/>
        <v>0</v>
      </c>
      <c r="H323">
        <f t="shared" si="120"/>
        <v>0</v>
      </c>
      <c r="I323">
        <f t="shared" si="120"/>
        <v>4</v>
      </c>
      <c r="J323">
        <f t="shared" si="120"/>
        <v>32</v>
      </c>
      <c r="K323">
        <f t="shared" si="120"/>
        <v>9</v>
      </c>
      <c r="L323" t="b">
        <f t="shared" si="121"/>
        <v>1</v>
      </c>
      <c r="W323" t="s">
        <v>49</v>
      </c>
      <c r="X323" t="s">
        <v>24</v>
      </c>
      <c r="Y323">
        <v>95</v>
      </c>
      <c r="Z323">
        <v>0</v>
      </c>
      <c r="AA323">
        <v>0</v>
      </c>
      <c r="AB323">
        <v>18</v>
      </c>
      <c r="AC323">
        <v>5</v>
      </c>
      <c r="AD323">
        <v>0</v>
      </c>
      <c r="AE323">
        <v>10</v>
      </c>
      <c r="AF323">
        <v>9</v>
      </c>
      <c r="AG323">
        <v>53</v>
      </c>
      <c r="AH323">
        <v>26</v>
      </c>
    </row>
    <row r="324" spans="1:34" x14ac:dyDescent="0.25">
      <c r="D324" t="s">
        <v>60</v>
      </c>
      <c r="E324" t="s">
        <v>14</v>
      </c>
      <c r="F324" t="s">
        <v>15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  <c r="W324" t="s">
        <v>0</v>
      </c>
      <c r="X324" t="s">
        <v>65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29</v>
      </c>
    </row>
    <row r="325" spans="1:34" x14ac:dyDescent="0.25">
      <c r="A325" t="s">
        <v>48</v>
      </c>
      <c r="B325" t="str">
        <f>X300</f>
        <v>pazer</v>
      </c>
      <c r="C325">
        <f t="shared" ref="C325:C336" si="123">SUM(D325:K325)</f>
        <v>7</v>
      </c>
      <c r="D325">
        <f>Z300</f>
        <v>0</v>
      </c>
      <c r="E325">
        <f t="shared" ref="E325:K336" si="124">AA300</f>
        <v>0</v>
      </c>
      <c r="F325">
        <f t="shared" si="124"/>
        <v>4</v>
      </c>
      <c r="G325">
        <f t="shared" si="124"/>
        <v>0</v>
      </c>
      <c r="H325">
        <f t="shared" si="124"/>
        <v>0</v>
      </c>
      <c r="I325">
        <f t="shared" si="124"/>
        <v>1</v>
      </c>
      <c r="J325">
        <f t="shared" si="124"/>
        <v>2</v>
      </c>
      <c r="K325">
        <f t="shared" si="124"/>
        <v>0</v>
      </c>
      <c r="L325" t="b">
        <f t="shared" ref="L325:L336" si="125">SUM(D325:K325)=Y300</f>
        <v>1</v>
      </c>
      <c r="W325" t="s">
        <v>0</v>
      </c>
      <c r="X325" t="s">
        <v>23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3</v>
      </c>
      <c r="AG325">
        <v>0</v>
      </c>
      <c r="AH325">
        <v>29</v>
      </c>
    </row>
    <row r="326" spans="1:34" x14ac:dyDescent="0.25">
      <c r="A326" t="s">
        <v>48</v>
      </c>
      <c r="B326" t="str">
        <f t="shared" ref="B326:D336" si="126">X301</f>
        <v>segol</v>
      </c>
      <c r="C326">
        <f t="shared" si="123"/>
        <v>11</v>
      </c>
      <c r="D326">
        <f t="shared" si="126"/>
        <v>0</v>
      </c>
      <c r="E326">
        <f t="shared" si="124"/>
        <v>0</v>
      </c>
      <c r="F326">
        <f t="shared" si="124"/>
        <v>2</v>
      </c>
      <c r="G326">
        <f t="shared" si="124"/>
        <v>1</v>
      </c>
      <c r="H326">
        <f t="shared" si="124"/>
        <v>0</v>
      </c>
      <c r="I326">
        <f t="shared" si="124"/>
        <v>0</v>
      </c>
      <c r="J326">
        <f t="shared" si="124"/>
        <v>8</v>
      </c>
      <c r="K326">
        <f t="shared" si="124"/>
        <v>0</v>
      </c>
      <c r="L326" t="b">
        <f t="shared" si="125"/>
        <v>1</v>
      </c>
      <c r="W326" t="s">
        <v>0</v>
      </c>
      <c r="X326" t="s">
        <v>5</v>
      </c>
      <c r="Y326">
        <v>4</v>
      </c>
      <c r="Z326">
        <v>0</v>
      </c>
      <c r="AA326">
        <v>0</v>
      </c>
      <c r="AB326">
        <v>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29</v>
      </c>
    </row>
    <row r="327" spans="1:34" x14ac:dyDescent="0.25">
      <c r="A327" t="s">
        <v>48</v>
      </c>
      <c r="B327" t="str">
        <f t="shared" si="126"/>
        <v>tsinnor</v>
      </c>
      <c r="C327">
        <f t="shared" si="123"/>
        <v>11</v>
      </c>
      <c r="D327">
        <f t="shared" si="126"/>
        <v>0</v>
      </c>
      <c r="E327">
        <f t="shared" si="124"/>
        <v>0</v>
      </c>
      <c r="F327">
        <f t="shared" si="124"/>
        <v>3</v>
      </c>
      <c r="G327">
        <f t="shared" si="124"/>
        <v>2</v>
      </c>
      <c r="H327">
        <f t="shared" si="124"/>
        <v>0</v>
      </c>
      <c r="I327">
        <f t="shared" si="124"/>
        <v>0</v>
      </c>
      <c r="J327">
        <f t="shared" si="124"/>
        <v>6</v>
      </c>
      <c r="K327">
        <f t="shared" si="124"/>
        <v>0</v>
      </c>
      <c r="L327" t="b">
        <f t="shared" si="125"/>
        <v>1</v>
      </c>
      <c r="W327" t="s">
        <v>0</v>
      </c>
      <c r="X327" t="s">
        <v>63</v>
      </c>
      <c r="Y327">
        <v>5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3</v>
      </c>
      <c r="AG327">
        <v>1</v>
      </c>
      <c r="AH327">
        <v>29</v>
      </c>
    </row>
    <row r="328" spans="1:34" x14ac:dyDescent="0.25">
      <c r="A328" t="s">
        <v>48</v>
      </c>
      <c r="B328" t="str">
        <f t="shared" si="126"/>
        <v>telisha-gedola</v>
      </c>
      <c r="C328">
        <f t="shared" si="123"/>
        <v>13</v>
      </c>
      <c r="D328">
        <f t="shared" si="126"/>
        <v>0</v>
      </c>
      <c r="E328">
        <f t="shared" si="124"/>
        <v>0</v>
      </c>
      <c r="F328">
        <f t="shared" si="124"/>
        <v>6</v>
      </c>
      <c r="G328">
        <f t="shared" si="124"/>
        <v>0</v>
      </c>
      <c r="H328">
        <f t="shared" si="124"/>
        <v>0</v>
      </c>
      <c r="I328">
        <f t="shared" si="124"/>
        <v>2</v>
      </c>
      <c r="J328">
        <f t="shared" si="124"/>
        <v>5</v>
      </c>
      <c r="K328">
        <f t="shared" si="124"/>
        <v>0</v>
      </c>
      <c r="L328" t="b">
        <f t="shared" si="125"/>
        <v>1</v>
      </c>
      <c r="W328" t="s">
        <v>0</v>
      </c>
      <c r="X328" t="s">
        <v>22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6</v>
      </c>
      <c r="AG328">
        <v>0</v>
      </c>
      <c r="AH328">
        <v>29</v>
      </c>
    </row>
    <row r="329" spans="1:34" x14ac:dyDescent="0.25">
      <c r="A329" t="s">
        <v>48</v>
      </c>
      <c r="B329" t="str">
        <f t="shared" si="126"/>
        <v>telisha-qetana</v>
      </c>
      <c r="C329">
        <f t="shared" si="123"/>
        <v>18</v>
      </c>
      <c r="D329">
        <f t="shared" si="126"/>
        <v>0</v>
      </c>
      <c r="E329">
        <f t="shared" si="124"/>
        <v>0</v>
      </c>
      <c r="F329">
        <f t="shared" si="124"/>
        <v>12</v>
      </c>
      <c r="G329">
        <f t="shared" si="124"/>
        <v>1</v>
      </c>
      <c r="H329">
        <f t="shared" si="124"/>
        <v>0</v>
      </c>
      <c r="I329">
        <f t="shared" si="124"/>
        <v>2</v>
      </c>
      <c r="J329">
        <f t="shared" si="124"/>
        <v>3</v>
      </c>
      <c r="K329">
        <f t="shared" si="124"/>
        <v>0</v>
      </c>
      <c r="L329" t="b">
        <f t="shared" si="125"/>
        <v>1</v>
      </c>
      <c r="W329" t="s">
        <v>0</v>
      </c>
      <c r="X329" t="s">
        <v>4</v>
      </c>
      <c r="Y329">
        <v>7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7</v>
      </c>
      <c r="AG329">
        <v>0</v>
      </c>
      <c r="AH329">
        <v>29</v>
      </c>
    </row>
    <row r="330" spans="1:34" x14ac:dyDescent="0.25">
      <c r="A330" t="s">
        <v>48</v>
      </c>
      <c r="B330" t="str">
        <f t="shared" si="126"/>
        <v>tarsin</v>
      </c>
      <c r="C330">
        <f t="shared" si="123"/>
        <v>24</v>
      </c>
      <c r="D330">
        <f t="shared" si="126"/>
        <v>0</v>
      </c>
      <c r="E330">
        <f t="shared" si="124"/>
        <v>0</v>
      </c>
      <c r="F330">
        <f t="shared" si="124"/>
        <v>11</v>
      </c>
      <c r="G330">
        <f t="shared" si="124"/>
        <v>0</v>
      </c>
      <c r="H330">
        <f t="shared" si="124"/>
        <v>0</v>
      </c>
      <c r="I330">
        <f t="shared" si="124"/>
        <v>6</v>
      </c>
      <c r="J330">
        <f t="shared" si="124"/>
        <v>7</v>
      </c>
      <c r="K330">
        <f t="shared" si="124"/>
        <v>0</v>
      </c>
      <c r="L330" t="b">
        <f t="shared" si="125"/>
        <v>1</v>
      </c>
      <c r="W330" t="s">
        <v>0</v>
      </c>
      <c r="X330" t="s">
        <v>64</v>
      </c>
      <c r="Y330">
        <v>7</v>
      </c>
      <c r="Z330">
        <v>0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2</v>
      </c>
      <c r="AG330">
        <v>0</v>
      </c>
      <c r="AH330">
        <v>29</v>
      </c>
    </row>
    <row r="331" spans="1:34" x14ac:dyDescent="0.25">
      <c r="A331" t="s">
        <v>48</v>
      </c>
      <c r="B331" t="str">
        <f t="shared" si="126"/>
        <v>zaqef-gadol</v>
      </c>
      <c r="C331">
        <f t="shared" si="123"/>
        <v>28</v>
      </c>
      <c r="D331">
        <f t="shared" si="126"/>
        <v>0</v>
      </c>
      <c r="E331">
        <f t="shared" si="124"/>
        <v>0</v>
      </c>
      <c r="F331">
        <f t="shared" si="124"/>
        <v>13</v>
      </c>
      <c r="G331">
        <f t="shared" si="124"/>
        <v>0</v>
      </c>
      <c r="H331">
        <f t="shared" si="124"/>
        <v>0</v>
      </c>
      <c r="I331">
        <f t="shared" si="124"/>
        <v>4</v>
      </c>
      <c r="J331">
        <f t="shared" si="124"/>
        <v>10</v>
      </c>
      <c r="K331">
        <f t="shared" si="124"/>
        <v>1</v>
      </c>
      <c r="L331" t="b">
        <f t="shared" si="125"/>
        <v>1</v>
      </c>
      <c r="W331" t="s">
        <v>0</v>
      </c>
      <c r="X331" t="s">
        <v>8</v>
      </c>
      <c r="Y331">
        <v>13</v>
      </c>
      <c r="Z331">
        <v>0</v>
      </c>
      <c r="AA331">
        <v>0</v>
      </c>
      <c r="AB331">
        <v>9</v>
      </c>
      <c r="AC331">
        <v>0</v>
      </c>
      <c r="AD331">
        <v>0</v>
      </c>
      <c r="AE331">
        <v>1</v>
      </c>
      <c r="AF331">
        <v>3</v>
      </c>
      <c r="AG331">
        <v>0</v>
      </c>
      <c r="AH331">
        <v>29</v>
      </c>
    </row>
    <row r="332" spans="1:34" x14ac:dyDescent="0.25">
      <c r="A332" t="s">
        <v>48</v>
      </c>
      <c r="B332" t="str">
        <f t="shared" si="126"/>
        <v>azla</v>
      </c>
      <c r="C332">
        <f t="shared" si="123"/>
        <v>41</v>
      </c>
      <c r="D332">
        <f t="shared" si="126"/>
        <v>0</v>
      </c>
      <c r="E332">
        <f t="shared" si="124"/>
        <v>0</v>
      </c>
      <c r="F332">
        <f t="shared" si="124"/>
        <v>25</v>
      </c>
      <c r="G332">
        <f t="shared" si="124"/>
        <v>1</v>
      </c>
      <c r="H332">
        <f t="shared" si="124"/>
        <v>0</v>
      </c>
      <c r="I332">
        <f t="shared" si="124"/>
        <v>6</v>
      </c>
      <c r="J332">
        <f t="shared" si="124"/>
        <v>8</v>
      </c>
      <c r="K332">
        <f t="shared" si="124"/>
        <v>1</v>
      </c>
      <c r="L332" t="b">
        <f t="shared" si="125"/>
        <v>1</v>
      </c>
      <c r="W332" t="s">
        <v>0</v>
      </c>
      <c r="X332" t="s">
        <v>6</v>
      </c>
      <c r="Y332">
        <v>27</v>
      </c>
      <c r="Z332">
        <v>0</v>
      </c>
      <c r="AA332">
        <v>0</v>
      </c>
      <c r="AB332">
        <v>12</v>
      </c>
      <c r="AC332">
        <v>0</v>
      </c>
      <c r="AD332">
        <v>0</v>
      </c>
      <c r="AE332">
        <v>9</v>
      </c>
      <c r="AF332">
        <v>6</v>
      </c>
      <c r="AG332">
        <v>0</v>
      </c>
      <c r="AH332">
        <v>29</v>
      </c>
    </row>
    <row r="333" spans="1:34" x14ac:dyDescent="0.25">
      <c r="A333" t="s">
        <v>48</v>
      </c>
      <c r="B333" t="str">
        <f t="shared" si="126"/>
        <v>qadma</v>
      </c>
      <c r="C333">
        <f t="shared" si="123"/>
        <v>76</v>
      </c>
      <c r="D333">
        <f t="shared" si="126"/>
        <v>0</v>
      </c>
      <c r="E333">
        <f t="shared" si="124"/>
        <v>0</v>
      </c>
      <c r="F333">
        <f t="shared" si="124"/>
        <v>40</v>
      </c>
      <c r="G333">
        <f t="shared" si="124"/>
        <v>2</v>
      </c>
      <c r="H333">
        <f t="shared" si="124"/>
        <v>0</v>
      </c>
      <c r="I333">
        <f t="shared" si="124"/>
        <v>16</v>
      </c>
      <c r="J333">
        <f t="shared" si="124"/>
        <v>16</v>
      </c>
      <c r="K333">
        <f t="shared" si="124"/>
        <v>2</v>
      </c>
      <c r="L333" t="b">
        <f t="shared" si="125"/>
        <v>1</v>
      </c>
      <c r="W333" t="s">
        <v>0</v>
      </c>
      <c r="X333" t="s">
        <v>1</v>
      </c>
      <c r="Y333">
        <v>54</v>
      </c>
      <c r="Z333">
        <v>0</v>
      </c>
      <c r="AA333">
        <v>0</v>
      </c>
      <c r="AB333">
        <v>13</v>
      </c>
      <c r="AC333">
        <v>20</v>
      </c>
      <c r="AD333">
        <v>0</v>
      </c>
      <c r="AE333">
        <v>3</v>
      </c>
      <c r="AF333">
        <v>18</v>
      </c>
      <c r="AG333">
        <v>0</v>
      </c>
      <c r="AH333">
        <v>29</v>
      </c>
    </row>
    <row r="334" spans="1:34" x14ac:dyDescent="0.25">
      <c r="A334" t="s">
        <v>48</v>
      </c>
      <c r="B334" t="str">
        <f t="shared" si="126"/>
        <v>revia</v>
      </c>
      <c r="C334">
        <f t="shared" si="123"/>
        <v>122</v>
      </c>
      <c r="D334">
        <f t="shared" si="126"/>
        <v>0</v>
      </c>
      <c r="E334">
        <f t="shared" si="124"/>
        <v>0</v>
      </c>
      <c r="F334">
        <f t="shared" si="124"/>
        <v>30</v>
      </c>
      <c r="G334">
        <f t="shared" si="124"/>
        <v>0</v>
      </c>
      <c r="H334">
        <f t="shared" si="124"/>
        <v>0</v>
      </c>
      <c r="I334">
        <f t="shared" si="124"/>
        <v>13</v>
      </c>
      <c r="J334">
        <f t="shared" si="124"/>
        <v>79</v>
      </c>
      <c r="K334">
        <f t="shared" si="124"/>
        <v>0</v>
      </c>
      <c r="L334" t="b">
        <f t="shared" si="125"/>
        <v>1</v>
      </c>
      <c r="W334" t="s">
        <v>0</v>
      </c>
      <c r="X334" t="s">
        <v>24</v>
      </c>
      <c r="Y334">
        <v>56</v>
      </c>
      <c r="Z334">
        <v>0</v>
      </c>
      <c r="AA334">
        <v>0</v>
      </c>
      <c r="AB334">
        <v>10</v>
      </c>
      <c r="AC334">
        <v>0</v>
      </c>
      <c r="AD334">
        <v>0</v>
      </c>
      <c r="AE334">
        <v>6</v>
      </c>
      <c r="AF334">
        <v>13</v>
      </c>
      <c r="AG334">
        <v>27</v>
      </c>
      <c r="AH334">
        <v>29</v>
      </c>
    </row>
    <row r="335" spans="1:34" x14ac:dyDescent="0.25">
      <c r="A335" t="s">
        <v>48</v>
      </c>
      <c r="B335" t="str">
        <f t="shared" si="126"/>
        <v>pashta</v>
      </c>
      <c r="C335">
        <f t="shared" si="123"/>
        <v>310</v>
      </c>
      <c r="D335">
        <f t="shared" si="126"/>
        <v>0</v>
      </c>
      <c r="E335">
        <f t="shared" si="124"/>
        <v>0</v>
      </c>
      <c r="F335">
        <f t="shared" si="124"/>
        <v>78</v>
      </c>
      <c r="G335">
        <f t="shared" si="124"/>
        <v>6</v>
      </c>
      <c r="H335">
        <f t="shared" si="124"/>
        <v>0</v>
      </c>
      <c r="I335">
        <f t="shared" si="124"/>
        <v>39</v>
      </c>
      <c r="J335">
        <f t="shared" si="124"/>
        <v>50</v>
      </c>
      <c r="K335">
        <f t="shared" si="124"/>
        <v>137</v>
      </c>
      <c r="L335" t="b">
        <f t="shared" si="125"/>
        <v>1</v>
      </c>
      <c r="W335" t="s">
        <v>0</v>
      </c>
      <c r="X335" t="s">
        <v>66</v>
      </c>
      <c r="Y335">
        <v>68</v>
      </c>
      <c r="Z335">
        <v>0</v>
      </c>
      <c r="AA335">
        <v>0</v>
      </c>
      <c r="AB335">
        <v>8</v>
      </c>
      <c r="AC335">
        <v>0</v>
      </c>
      <c r="AD335">
        <v>0</v>
      </c>
      <c r="AE335">
        <v>1</v>
      </c>
      <c r="AF335">
        <v>40</v>
      </c>
      <c r="AG335">
        <v>19</v>
      </c>
      <c r="AH335">
        <v>29</v>
      </c>
    </row>
    <row r="336" spans="1:34" x14ac:dyDescent="0.25">
      <c r="A336" t="s">
        <v>48</v>
      </c>
      <c r="B336" t="str">
        <f t="shared" si="126"/>
        <v>zaqef-qatan</v>
      </c>
      <c r="C336">
        <f t="shared" si="123"/>
        <v>314</v>
      </c>
      <c r="D336">
        <f t="shared" si="126"/>
        <v>0</v>
      </c>
      <c r="E336">
        <f t="shared" si="124"/>
        <v>0</v>
      </c>
      <c r="F336">
        <f t="shared" si="124"/>
        <v>40</v>
      </c>
      <c r="G336">
        <f t="shared" si="124"/>
        <v>2</v>
      </c>
      <c r="H336">
        <f t="shared" si="124"/>
        <v>0</v>
      </c>
      <c r="I336">
        <f t="shared" si="124"/>
        <v>11</v>
      </c>
      <c r="J336">
        <f t="shared" si="124"/>
        <v>218</v>
      </c>
      <c r="K336">
        <f t="shared" si="124"/>
        <v>43</v>
      </c>
      <c r="L336" t="b">
        <f t="shared" si="125"/>
        <v>1</v>
      </c>
      <c r="W336" t="s">
        <v>50</v>
      </c>
      <c r="X336" t="s">
        <v>22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30</v>
      </c>
    </row>
    <row r="337" spans="1:34" x14ac:dyDescent="0.25">
      <c r="D337" t="s">
        <v>60</v>
      </c>
      <c r="E337" t="s">
        <v>14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W337" t="s">
        <v>50</v>
      </c>
      <c r="X337" t="s">
        <v>4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30</v>
      </c>
    </row>
    <row r="338" spans="1:34" x14ac:dyDescent="0.25">
      <c r="A338" t="s">
        <v>49</v>
      </c>
      <c r="B338" t="str">
        <f>X312</f>
        <v>tsinnor</v>
      </c>
      <c r="C338">
        <f t="shared" ref="C338:C349" si="127">SUM(D338:K338)</f>
        <v>1</v>
      </c>
      <c r="D338">
        <f t="shared" ref="D338:K349" si="128">Z312</f>
        <v>0</v>
      </c>
      <c r="E338">
        <f t="shared" si="128"/>
        <v>0</v>
      </c>
      <c r="F338">
        <f t="shared" si="128"/>
        <v>0</v>
      </c>
      <c r="G338">
        <f t="shared" si="128"/>
        <v>0</v>
      </c>
      <c r="H338">
        <f t="shared" si="128"/>
        <v>0</v>
      </c>
      <c r="I338">
        <f t="shared" si="128"/>
        <v>0</v>
      </c>
      <c r="J338">
        <f t="shared" si="128"/>
        <v>1</v>
      </c>
      <c r="K338">
        <f t="shared" si="128"/>
        <v>0</v>
      </c>
      <c r="L338" t="b">
        <f t="shared" ref="L338:L349" si="129">SUM(D338:K338)=Y312</f>
        <v>1</v>
      </c>
      <c r="W338" t="s">
        <v>50</v>
      </c>
      <c r="X338" t="s">
        <v>64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30</v>
      </c>
    </row>
    <row r="339" spans="1:34" x14ac:dyDescent="0.25">
      <c r="A339" t="s">
        <v>49</v>
      </c>
      <c r="B339" t="str">
        <f t="shared" ref="B339:B349" si="130">X313</f>
        <v>segol</v>
      </c>
      <c r="C339">
        <f t="shared" si="127"/>
        <v>1</v>
      </c>
      <c r="D339">
        <f t="shared" si="128"/>
        <v>0</v>
      </c>
      <c r="E339">
        <f t="shared" si="128"/>
        <v>0</v>
      </c>
      <c r="F339">
        <f t="shared" si="128"/>
        <v>0</v>
      </c>
      <c r="G339">
        <f t="shared" si="128"/>
        <v>0</v>
      </c>
      <c r="H339">
        <f t="shared" si="128"/>
        <v>0</v>
      </c>
      <c r="I339">
        <f t="shared" si="128"/>
        <v>0</v>
      </c>
      <c r="J339">
        <f t="shared" si="128"/>
        <v>1</v>
      </c>
      <c r="K339">
        <f t="shared" si="128"/>
        <v>0</v>
      </c>
      <c r="L339" t="b">
        <f t="shared" si="129"/>
        <v>1</v>
      </c>
      <c r="W339" t="s">
        <v>50</v>
      </c>
      <c r="X339" t="s">
        <v>23</v>
      </c>
      <c r="Y339">
        <v>4</v>
      </c>
      <c r="Z339">
        <v>0</v>
      </c>
      <c r="AA339">
        <v>0</v>
      </c>
      <c r="AB339">
        <v>3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30</v>
      </c>
    </row>
    <row r="340" spans="1:34" x14ac:dyDescent="0.25">
      <c r="A340" t="s">
        <v>49</v>
      </c>
      <c r="B340" t="str">
        <f t="shared" si="130"/>
        <v>tarsin</v>
      </c>
      <c r="C340">
        <f t="shared" si="127"/>
        <v>1</v>
      </c>
      <c r="D340">
        <f t="shared" si="128"/>
        <v>0</v>
      </c>
      <c r="E340">
        <f t="shared" si="128"/>
        <v>0</v>
      </c>
      <c r="F340">
        <f t="shared" si="128"/>
        <v>1</v>
      </c>
      <c r="G340">
        <f t="shared" si="128"/>
        <v>0</v>
      </c>
      <c r="H340">
        <f t="shared" si="128"/>
        <v>0</v>
      </c>
      <c r="I340">
        <f t="shared" si="128"/>
        <v>0</v>
      </c>
      <c r="J340">
        <f t="shared" si="128"/>
        <v>0</v>
      </c>
      <c r="K340">
        <f t="shared" si="128"/>
        <v>0</v>
      </c>
      <c r="L340" t="b">
        <f t="shared" si="129"/>
        <v>1</v>
      </c>
      <c r="W340" t="s">
        <v>50</v>
      </c>
      <c r="X340" t="s">
        <v>65</v>
      </c>
      <c r="Y340">
        <v>7</v>
      </c>
      <c r="Z340">
        <v>0</v>
      </c>
      <c r="AA340">
        <v>0</v>
      </c>
      <c r="AB340">
        <v>3</v>
      </c>
      <c r="AC340">
        <v>0</v>
      </c>
      <c r="AD340">
        <v>0</v>
      </c>
      <c r="AE340">
        <v>3</v>
      </c>
      <c r="AF340">
        <v>1</v>
      </c>
      <c r="AG340">
        <v>0</v>
      </c>
      <c r="AH340">
        <v>30</v>
      </c>
    </row>
    <row r="341" spans="1:34" x14ac:dyDescent="0.25">
      <c r="A341" t="s">
        <v>49</v>
      </c>
      <c r="B341" t="str">
        <f t="shared" si="130"/>
        <v>telisha-gedola</v>
      </c>
      <c r="C341">
        <f t="shared" si="127"/>
        <v>2</v>
      </c>
      <c r="D341">
        <f t="shared" si="128"/>
        <v>0</v>
      </c>
      <c r="E341">
        <f t="shared" si="128"/>
        <v>0</v>
      </c>
      <c r="F341">
        <f t="shared" si="128"/>
        <v>0</v>
      </c>
      <c r="G341">
        <f t="shared" si="128"/>
        <v>0</v>
      </c>
      <c r="H341">
        <f t="shared" si="128"/>
        <v>0</v>
      </c>
      <c r="I341">
        <f t="shared" si="128"/>
        <v>0</v>
      </c>
      <c r="J341">
        <f t="shared" si="128"/>
        <v>1</v>
      </c>
      <c r="K341">
        <f t="shared" si="128"/>
        <v>1</v>
      </c>
      <c r="L341" t="b">
        <f t="shared" si="129"/>
        <v>1</v>
      </c>
      <c r="W341" t="s">
        <v>50</v>
      </c>
      <c r="X341" t="s">
        <v>8</v>
      </c>
      <c r="Y341">
        <v>8</v>
      </c>
      <c r="Z341">
        <v>0</v>
      </c>
      <c r="AA341">
        <v>0</v>
      </c>
      <c r="AB341">
        <v>4</v>
      </c>
      <c r="AC341">
        <v>0</v>
      </c>
      <c r="AD341">
        <v>0</v>
      </c>
      <c r="AE341">
        <v>4</v>
      </c>
      <c r="AF341">
        <v>0</v>
      </c>
      <c r="AG341">
        <v>0</v>
      </c>
      <c r="AH341">
        <v>30</v>
      </c>
    </row>
    <row r="342" spans="1:34" x14ac:dyDescent="0.25">
      <c r="A342" t="s">
        <v>49</v>
      </c>
      <c r="B342" t="str">
        <f t="shared" si="130"/>
        <v>pazer</v>
      </c>
      <c r="C342">
        <f t="shared" si="127"/>
        <v>3</v>
      </c>
      <c r="D342">
        <f t="shared" si="128"/>
        <v>0</v>
      </c>
      <c r="E342">
        <f t="shared" si="128"/>
        <v>0</v>
      </c>
      <c r="F342">
        <f t="shared" si="128"/>
        <v>0</v>
      </c>
      <c r="G342">
        <f t="shared" si="128"/>
        <v>0</v>
      </c>
      <c r="H342">
        <f t="shared" si="128"/>
        <v>0</v>
      </c>
      <c r="I342">
        <f t="shared" si="128"/>
        <v>1</v>
      </c>
      <c r="J342">
        <f t="shared" si="128"/>
        <v>2</v>
      </c>
      <c r="K342">
        <f t="shared" si="128"/>
        <v>0</v>
      </c>
      <c r="L342" t="b">
        <f t="shared" si="129"/>
        <v>1</v>
      </c>
      <c r="W342" t="s">
        <v>50</v>
      </c>
      <c r="X342" t="s">
        <v>6</v>
      </c>
      <c r="Y342">
        <v>12</v>
      </c>
      <c r="Z342">
        <v>0</v>
      </c>
      <c r="AA342">
        <v>0</v>
      </c>
      <c r="AB342">
        <v>9</v>
      </c>
      <c r="AC342">
        <v>0</v>
      </c>
      <c r="AD342">
        <v>0</v>
      </c>
      <c r="AE342">
        <v>3</v>
      </c>
      <c r="AF342">
        <v>0</v>
      </c>
      <c r="AG342">
        <v>0</v>
      </c>
      <c r="AH342">
        <v>30</v>
      </c>
    </row>
    <row r="343" spans="1:34" x14ac:dyDescent="0.25">
      <c r="A343" t="s">
        <v>49</v>
      </c>
      <c r="B343" t="str">
        <f t="shared" si="130"/>
        <v>telisha-qetana</v>
      </c>
      <c r="C343">
        <f t="shared" si="127"/>
        <v>7</v>
      </c>
      <c r="D343">
        <f t="shared" si="128"/>
        <v>0</v>
      </c>
      <c r="E343">
        <f t="shared" si="128"/>
        <v>0</v>
      </c>
      <c r="F343">
        <f t="shared" si="128"/>
        <v>1</v>
      </c>
      <c r="G343">
        <f t="shared" si="128"/>
        <v>0</v>
      </c>
      <c r="H343">
        <f t="shared" si="128"/>
        <v>0</v>
      </c>
      <c r="I343">
        <f t="shared" si="128"/>
        <v>4</v>
      </c>
      <c r="J343">
        <f t="shared" si="128"/>
        <v>2</v>
      </c>
      <c r="K343">
        <f t="shared" si="128"/>
        <v>0</v>
      </c>
      <c r="L343" t="b">
        <f t="shared" si="129"/>
        <v>1</v>
      </c>
      <c r="W343" t="s">
        <v>50</v>
      </c>
      <c r="X343" t="s">
        <v>1</v>
      </c>
      <c r="Y343">
        <v>25</v>
      </c>
      <c r="Z343">
        <v>0</v>
      </c>
      <c r="AA343">
        <v>0</v>
      </c>
      <c r="AB343">
        <v>8</v>
      </c>
      <c r="AC343">
        <v>0</v>
      </c>
      <c r="AD343">
        <v>0</v>
      </c>
      <c r="AE343">
        <v>3</v>
      </c>
      <c r="AF343">
        <v>14</v>
      </c>
      <c r="AG343">
        <v>0</v>
      </c>
      <c r="AH343">
        <v>30</v>
      </c>
    </row>
    <row r="344" spans="1:34" x14ac:dyDescent="0.25">
      <c r="A344" t="s">
        <v>49</v>
      </c>
      <c r="B344" t="str">
        <f t="shared" si="130"/>
        <v>zaqef-gadol</v>
      </c>
      <c r="C344">
        <f t="shared" si="127"/>
        <v>9</v>
      </c>
      <c r="D344">
        <f t="shared" si="128"/>
        <v>0</v>
      </c>
      <c r="E344">
        <f t="shared" si="128"/>
        <v>0</v>
      </c>
      <c r="F344">
        <f t="shared" si="128"/>
        <v>4</v>
      </c>
      <c r="G344">
        <f t="shared" si="128"/>
        <v>0</v>
      </c>
      <c r="H344">
        <f t="shared" si="128"/>
        <v>0</v>
      </c>
      <c r="I344">
        <f t="shared" si="128"/>
        <v>3</v>
      </c>
      <c r="J344">
        <f t="shared" si="128"/>
        <v>2</v>
      </c>
      <c r="K344">
        <f t="shared" si="128"/>
        <v>0</v>
      </c>
      <c r="L344" t="b">
        <f t="shared" si="129"/>
        <v>1</v>
      </c>
      <c r="W344" t="s">
        <v>50</v>
      </c>
      <c r="X344" t="s">
        <v>66</v>
      </c>
      <c r="Y344">
        <v>168</v>
      </c>
      <c r="Z344">
        <v>0</v>
      </c>
      <c r="AA344">
        <v>0</v>
      </c>
      <c r="AB344">
        <v>25</v>
      </c>
      <c r="AC344">
        <v>4</v>
      </c>
      <c r="AD344">
        <v>0</v>
      </c>
      <c r="AE344">
        <v>6</v>
      </c>
      <c r="AF344">
        <v>96</v>
      </c>
      <c r="AG344">
        <v>37</v>
      </c>
      <c r="AH344">
        <v>30</v>
      </c>
    </row>
    <row r="345" spans="1:34" x14ac:dyDescent="0.25">
      <c r="A345" t="s">
        <v>49</v>
      </c>
      <c r="B345" t="str">
        <f t="shared" si="130"/>
        <v>azla</v>
      </c>
      <c r="C345">
        <f t="shared" si="127"/>
        <v>19</v>
      </c>
      <c r="D345">
        <f t="shared" si="128"/>
        <v>0</v>
      </c>
      <c r="E345">
        <f t="shared" si="128"/>
        <v>0</v>
      </c>
      <c r="F345">
        <f t="shared" si="128"/>
        <v>8</v>
      </c>
      <c r="G345">
        <f t="shared" si="128"/>
        <v>0</v>
      </c>
      <c r="H345">
        <f t="shared" si="128"/>
        <v>0</v>
      </c>
      <c r="I345">
        <f t="shared" si="128"/>
        <v>6</v>
      </c>
      <c r="J345">
        <f t="shared" si="128"/>
        <v>4</v>
      </c>
      <c r="K345">
        <f t="shared" si="128"/>
        <v>1</v>
      </c>
      <c r="L345" t="b">
        <f t="shared" si="129"/>
        <v>1</v>
      </c>
      <c r="W345" t="s">
        <v>50</v>
      </c>
      <c r="X345" t="s">
        <v>24</v>
      </c>
      <c r="Y345">
        <v>185</v>
      </c>
      <c r="Z345">
        <v>0</v>
      </c>
      <c r="AA345">
        <v>0</v>
      </c>
      <c r="AB345">
        <v>62</v>
      </c>
      <c r="AC345">
        <v>8</v>
      </c>
      <c r="AD345">
        <v>0</v>
      </c>
      <c r="AE345">
        <v>20</v>
      </c>
      <c r="AF345">
        <v>18</v>
      </c>
      <c r="AG345">
        <v>77</v>
      </c>
      <c r="AH345">
        <v>30</v>
      </c>
    </row>
    <row r="346" spans="1:34" x14ac:dyDescent="0.25">
      <c r="A346" t="s">
        <v>49</v>
      </c>
      <c r="B346" t="str">
        <f t="shared" si="130"/>
        <v>qadma</v>
      </c>
      <c r="C346">
        <f t="shared" si="127"/>
        <v>28</v>
      </c>
      <c r="D346">
        <f t="shared" si="128"/>
        <v>0</v>
      </c>
      <c r="E346">
        <f t="shared" si="128"/>
        <v>0</v>
      </c>
      <c r="F346">
        <f t="shared" si="128"/>
        <v>14</v>
      </c>
      <c r="G346">
        <f t="shared" si="128"/>
        <v>0</v>
      </c>
      <c r="H346">
        <f t="shared" si="128"/>
        <v>0</v>
      </c>
      <c r="I346">
        <f t="shared" si="128"/>
        <v>9</v>
      </c>
      <c r="J346">
        <f t="shared" si="128"/>
        <v>4</v>
      </c>
      <c r="K346">
        <f t="shared" si="128"/>
        <v>1</v>
      </c>
      <c r="L346" t="b">
        <f t="shared" si="129"/>
        <v>1</v>
      </c>
      <c r="W346" t="s">
        <v>51</v>
      </c>
      <c r="X346" t="s">
        <v>5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31</v>
      </c>
    </row>
    <row r="347" spans="1:34" x14ac:dyDescent="0.25">
      <c r="A347" t="s">
        <v>49</v>
      </c>
      <c r="B347" t="str">
        <f t="shared" si="130"/>
        <v>revia</v>
      </c>
      <c r="C347">
        <f t="shared" si="127"/>
        <v>32</v>
      </c>
      <c r="D347">
        <f t="shared" si="128"/>
        <v>0</v>
      </c>
      <c r="E347">
        <f t="shared" si="128"/>
        <v>0</v>
      </c>
      <c r="F347">
        <f t="shared" si="128"/>
        <v>4</v>
      </c>
      <c r="G347">
        <f t="shared" si="128"/>
        <v>0</v>
      </c>
      <c r="H347">
        <f t="shared" si="128"/>
        <v>0</v>
      </c>
      <c r="I347">
        <f t="shared" si="128"/>
        <v>8</v>
      </c>
      <c r="J347">
        <f t="shared" si="128"/>
        <v>19</v>
      </c>
      <c r="K347">
        <f t="shared" si="128"/>
        <v>1</v>
      </c>
      <c r="L347" t="b">
        <f t="shared" si="129"/>
        <v>1</v>
      </c>
      <c r="W347" t="s">
        <v>51</v>
      </c>
      <c r="X347" t="s">
        <v>22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31</v>
      </c>
    </row>
    <row r="348" spans="1:34" x14ac:dyDescent="0.25">
      <c r="A348" t="s">
        <v>49</v>
      </c>
      <c r="B348" t="str">
        <f t="shared" si="130"/>
        <v>zaqef-qatan</v>
      </c>
      <c r="C348">
        <f t="shared" si="127"/>
        <v>95</v>
      </c>
      <c r="D348">
        <f t="shared" si="128"/>
        <v>0</v>
      </c>
      <c r="E348">
        <f t="shared" si="128"/>
        <v>0</v>
      </c>
      <c r="F348">
        <f t="shared" si="128"/>
        <v>7</v>
      </c>
      <c r="G348">
        <f t="shared" si="128"/>
        <v>3</v>
      </c>
      <c r="H348">
        <f t="shared" si="128"/>
        <v>0</v>
      </c>
      <c r="I348">
        <f t="shared" si="128"/>
        <v>1</v>
      </c>
      <c r="J348">
        <f t="shared" si="128"/>
        <v>60</v>
      </c>
      <c r="K348">
        <f t="shared" si="128"/>
        <v>24</v>
      </c>
      <c r="L348" t="b">
        <f t="shared" si="129"/>
        <v>1</v>
      </c>
      <c r="W348" t="s">
        <v>51</v>
      </c>
      <c r="X348" t="s">
        <v>4</v>
      </c>
      <c r="Y348">
        <v>2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31</v>
      </c>
    </row>
    <row r="349" spans="1:34" x14ac:dyDescent="0.25">
      <c r="A349" t="s">
        <v>49</v>
      </c>
      <c r="B349" t="str">
        <f t="shared" si="130"/>
        <v>pashta</v>
      </c>
      <c r="C349">
        <f t="shared" si="127"/>
        <v>95</v>
      </c>
      <c r="D349">
        <f t="shared" si="128"/>
        <v>0</v>
      </c>
      <c r="E349">
        <f t="shared" si="128"/>
        <v>0</v>
      </c>
      <c r="F349">
        <f t="shared" si="128"/>
        <v>18</v>
      </c>
      <c r="G349">
        <f t="shared" si="128"/>
        <v>5</v>
      </c>
      <c r="H349">
        <f t="shared" si="128"/>
        <v>0</v>
      </c>
      <c r="I349">
        <f t="shared" si="128"/>
        <v>10</v>
      </c>
      <c r="J349">
        <f t="shared" si="128"/>
        <v>9</v>
      </c>
      <c r="K349">
        <f t="shared" si="128"/>
        <v>53</v>
      </c>
      <c r="L349" t="b">
        <f t="shared" si="129"/>
        <v>1</v>
      </c>
      <c r="W349" t="s">
        <v>51</v>
      </c>
      <c r="X349" t="s">
        <v>23</v>
      </c>
      <c r="Y349">
        <v>5</v>
      </c>
      <c r="Z349">
        <v>0</v>
      </c>
      <c r="AA349">
        <v>0</v>
      </c>
      <c r="AB349">
        <v>3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31</v>
      </c>
    </row>
    <row r="350" spans="1:34" x14ac:dyDescent="0.25">
      <c r="D350" t="s">
        <v>60</v>
      </c>
      <c r="E350" t="s">
        <v>14</v>
      </c>
      <c r="F350" t="s">
        <v>15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W350" t="s">
        <v>51</v>
      </c>
      <c r="X350" t="s">
        <v>63</v>
      </c>
      <c r="Y350">
        <v>6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2</v>
      </c>
      <c r="AF350">
        <v>2</v>
      </c>
      <c r="AG350">
        <v>0</v>
      </c>
      <c r="AH350">
        <v>31</v>
      </c>
    </row>
    <row r="351" spans="1:34" x14ac:dyDescent="0.25">
      <c r="A351" t="s">
        <v>0</v>
      </c>
      <c r="B351" t="str">
        <f>X324</f>
        <v>zaqef-gadol</v>
      </c>
      <c r="C351">
        <f t="shared" ref="C351:C362" si="131">SUM(D351:K351)</f>
        <v>1</v>
      </c>
      <c r="D351">
        <f t="shared" ref="D351:K362" si="132">Z324</f>
        <v>0</v>
      </c>
      <c r="E351">
        <f t="shared" si="132"/>
        <v>0</v>
      </c>
      <c r="F351">
        <f t="shared" si="132"/>
        <v>0</v>
      </c>
      <c r="G351">
        <f t="shared" si="132"/>
        <v>0</v>
      </c>
      <c r="H351">
        <f t="shared" si="132"/>
        <v>0</v>
      </c>
      <c r="I351">
        <f t="shared" si="132"/>
        <v>0</v>
      </c>
      <c r="J351">
        <f t="shared" si="132"/>
        <v>1</v>
      </c>
      <c r="K351">
        <f t="shared" si="132"/>
        <v>0</v>
      </c>
      <c r="L351" t="b">
        <f t="shared" ref="L351:L362" si="133">SUM(D351:K351)=Y324</f>
        <v>1</v>
      </c>
      <c r="W351" t="s">
        <v>51</v>
      </c>
      <c r="X351" t="s">
        <v>65</v>
      </c>
      <c r="Y351">
        <v>8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2</v>
      </c>
      <c r="AF351">
        <v>3</v>
      </c>
      <c r="AG351">
        <v>1</v>
      </c>
      <c r="AH351">
        <v>31</v>
      </c>
    </row>
    <row r="352" spans="1:34" x14ac:dyDescent="0.25">
      <c r="A352" t="s">
        <v>0</v>
      </c>
      <c r="B352" t="str">
        <f t="shared" ref="B352:B362" si="134">X325</f>
        <v>tarsin</v>
      </c>
      <c r="C352">
        <f t="shared" si="131"/>
        <v>4</v>
      </c>
      <c r="D352">
        <f t="shared" si="132"/>
        <v>0</v>
      </c>
      <c r="E352">
        <f t="shared" si="132"/>
        <v>0</v>
      </c>
      <c r="F352">
        <f t="shared" si="132"/>
        <v>1</v>
      </c>
      <c r="G352">
        <f t="shared" si="132"/>
        <v>0</v>
      </c>
      <c r="H352">
        <f t="shared" si="132"/>
        <v>0</v>
      </c>
      <c r="I352">
        <f t="shared" si="132"/>
        <v>0</v>
      </c>
      <c r="J352">
        <f t="shared" si="132"/>
        <v>3</v>
      </c>
      <c r="K352">
        <f t="shared" si="132"/>
        <v>0</v>
      </c>
      <c r="L352" t="b">
        <f t="shared" si="133"/>
        <v>1</v>
      </c>
      <c r="W352" t="s">
        <v>51</v>
      </c>
      <c r="X352" t="s">
        <v>64</v>
      </c>
      <c r="Y352">
        <v>13</v>
      </c>
      <c r="Z352">
        <v>0</v>
      </c>
      <c r="AA352">
        <v>0</v>
      </c>
      <c r="AB352">
        <v>8</v>
      </c>
      <c r="AC352">
        <v>0</v>
      </c>
      <c r="AD352">
        <v>0</v>
      </c>
      <c r="AE352">
        <v>3</v>
      </c>
      <c r="AF352">
        <v>2</v>
      </c>
      <c r="AG352">
        <v>0</v>
      </c>
      <c r="AH352">
        <v>31</v>
      </c>
    </row>
    <row r="353" spans="1:34" x14ac:dyDescent="0.25">
      <c r="A353" t="s">
        <v>0</v>
      </c>
      <c r="B353" t="str">
        <f t="shared" si="134"/>
        <v>pazer</v>
      </c>
      <c r="C353">
        <f t="shared" si="131"/>
        <v>4</v>
      </c>
      <c r="D353">
        <f t="shared" si="132"/>
        <v>0</v>
      </c>
      <c r="E353">
        <f t="shared" si="132"/>
        <v>0</v>
      </c>
      <c r="F353">
        <f t="shared" si="132"/>
        <v>4</v>
      </c>
      <c r="G353">
        <f t="shared" si="132"/>
        <v>0</v>
      </c>
      <c r="H353">
        <f t="shared" si="132"/>
        <v>0</v>
      </c>
      <c r="I353">
        <f t="shared" si="132"/>
        <v>0</v>
      </c>
      <c r="J353">
        <f t="shared" si="132"/>
        <v>0</v>
      </c>
      <c r="K353">
        <f t="shared" si="132"/>
        <v>0</v>
      </c>
      <c r="L353" t="b">
        <f t="shared" si="133"/>
        <v>1</v>
      </c>
      <c r="W353" t="s">
        <v>51</v>
      </c>
      <c r="X353" t="s">
        <v>8</v>
      </c>
      <c r="Y353">
        <v>19</v>
      </c>
      <c r="Z353">
        <v>0</v>
      </c>
      <c r="AA353">
        <v>0</v>
      </c>
      <c r="AB353">
        <v>12</v>
      </c>
      <c r="AC353">
        <v>0</v>
      </c>
      <c r="AD353">
        <v>0</v>
      </c>
      <c r="AE353">
        <v>4</v>
      </c>
      <c r="AF353">
        <v>3</v>
      </c>
      <c r="AG353">
        <v>0</v>
      </c>
      <c r="AH353">
        <v>31</v>
      </c>
    </row>
    <row r="354" spans="1:34" x14ac:dyDescent="0.25">
      <c r="A354" t="s">
        <v>0</v>
      </c>
      <c r="B354" t="str">
        <f t="shared" si="134"/>
        <v>telisha-gedola</v>
      </c>
      <c r="C354">
        <f t="shared" si="131"/>
        <v>5</v>
      </c>
      <c r="D354">
        <f t="shared" si="132"/>
        <v>0</v>
      </c>
      <c r="E354">
        <f t="shared" si="132"/>
        <v>0</v>
      </c>
      <c r="F354">
        <f t="shared" si="132"/>
        <v>1</v>
      </c>
      <c r="G354">
        <f t="shared" si="132"/>
        <v>0</v>
      </c>
      <c r="H354">
        <f t="shared" si="132"/>
        <v>0</v>
      </c>
      <c r="I354">
        <f t="shared" si="132"/>
        <v>0</v>
      </c>
      <c r="J354">
        <f t="shared" si="132"/>
        <v>3</v>
      </c>
      <c r="K354">
        <f t="shared" si="132"/>
        <v>1</v>
      </c>
      <c r="L354" t="b">
        <f t="shared" si="133"/>
        <v>1</v>
      </c>
      <c r="W354" t="s">
        <v>51</v>
      </c>
      <c r="X354" t="s">
        <v>6</v>
      </c>
      <c r="Y354">
        <v>36</v>
      </c>
      <c r="Z354">
        <v>0</v>
      </c>
      <c r="AA354">
        <v>0</v>
      </c>
      <c r="AB354">
        <v>18</v>
      </c>
      <c r="AC354">
        <v>1</v>
      </c>
      <c r="AD354">
        <v>0</v>
      </c>
      <c r="AE354">
        <v>9</v>
      </c>
      <c r="AF354">
        <v>6</v>
      </c>
      <c r="AG354">
        <v>2</v>
      </c>
      <c r="AH354">
        <v>31</v>
      </c>
    </row>
    <row r="355" spans="1:34" x14ac:dyDescent="0.25">
      <c r="A355" t="s">
        <v>0</v>
      </c>
      <c r="B355" t="str">
        <f t="shared" si="134"/>
        <v>segol</v>
      </c>
      <c r="C355">
        <f t="shared" si="131"/>
        <v>6</v>
      </c>
      <c r="D355">
        <f t="shared" si="132"/>
        <v>0</v>
      </c>
      <c r="E355">
        <f t="shared" si="132"/>
        <v>0</v>
      </c>
      <c r="F355">
        <f t="shared" si="132"/>
        <v>0</v>
      </c>
      <c r="G355">
        <f t="shared" si="132"/>
        <v>0</v>
      </c>
      <c r="H355">
        <f t="shared" si="132"/>
        <v>0</v>
      </c>
      <c r="I355">
        <f t="shared" si="132"/>
        <v>0</v>
      </c>
      <c r="J355">
        <f t="shared" si="132"/>
        <v>6</v>
      </c>
      <c r="K355">
        <f t="shared" si="132"/>
        <v>0</v>
      </c>
      <c r="L355" t="b">
        <f t="shared" si="133"/>
        <v>1</v>
      </c>
      <c r="W355" t="s">
        <v>51</v>
      </c>
      <c r="X355" t="s">
        <v>1</v>
      </c>
      <c r="Y355">
        <v>48</v>
      </c>
      <c r="Z355">
        <v>0</v>
      </c>
      <c r="AA355">
        <v>0</v>
      </c>
      <c r="AB355">
        <v>14</v>
      </c>
      <c r="AC355">
        <v>0</v>
      </c>
      <c r="AD355">
        <v>0</v>
      </c>
      <c r="AE355">
        <v>10</v>
      </c>
      <c r="AF355">
        <v>23</v>
      </c>
      <c r="AG355">
        <v>1</v>
      </c>
      <c r="AH355">
        <v>31</v>
      </c>
    </row>
    <row r="356" spans="1:34" x14ac:dyDescent="0.25">
      <c r="A356" t="s">
        <v>0</v>
      </c>
      <c r="B356" t="str">
        <f t="shared" si="134"/>
        <v>tsinnor</v>
      </c>
      <c r="C356">
        <f t="shared" si="131"/>
        <v>7</v>
      </c>
      <c r="D356">
        <f t="shared" si="132"/>
        <v>0</v>
      </c>
      <c r="E356">
        <f t="shared" si="132"/>
        <v>0</v>
      </c>
      <c r="F356">
        <f t="shared" si="132"/>
        <v>0</v>
      </c>
      <c r="G356">
        <f t="shared" si="132"/>
        <v>0</v>
      </c>
      <c r="H356">
        <f t="shared" si="132"/>
        <v>0</v>
      </c>
      <c r="I356">
        <f t="shared" si="132"/>
        <v>0</v>
      </c>
      <c r="J356">
        <f t="shared" si="132"/>
        <v>7</v>
      </c>
      <c r="K356">
        <f t="shared" si="132"/>
        <v>0</v>
      </c>
      <c r="L356" t="b">
        <f t="shared" si="133"/>
        <v>1</v>
      </c>
      <c r="W356" t="s">
        <v>51</v>
      </c>
      <c r="X356" t="s">
        <v>66</v>
      </c>
      <c r="Y356">
        <v>138</v>
      </c>
      <c r="Z356">
        <v>0</v>
      </c>
      <c r="AA356">
        <v>0</v>
      </c>
      <c r="AB356">
        <v>20</v>
      </c>
      <c r="AC356">
        <v>5</v>
      </c>
      <c r="AD356">
        <v>0</v>
      </c>
      <c r="AE356">
        <v>4</v>
      </c>
      <c r="AF356">
        <v>78</v>
      </c>
      <c r="AG356">
        <v>31</v>
      </c>
      <c r="AH356">
        <v>31</v>
      </c>
    </row>
    <row r="357" spans="1:34" x14ac:dyDescent="0.25">
      <c r="A357" t="s">
        <v>0</v>
      </c>
      <c r="B357" t="str">
        <f t="shared" si="134"/>
        <v>telisha-qetana</v>
      </c>
      <c r="C357">
        <f t="shared" si="131"/>
        <v>7</v>
      </c>
      <c r="D357">
        <f t="shared" si="132"/>
        <v>0</v>
      </c>
      <c r="E357">
        <f t="shared" si="132"/>
        <v>0</v>
      </c>
      <c r="F357">
        <f t="shared" si="132"/>
        <v>5</v>
      </c>
      <c r="G357">
        <f t="shared" si="132"/>
        <v>0</v>
      </c>
      <c r="H357">
        <f t="shared" si="132"/>
        <v>0</v>
      </c>
      <c r="I357">
        <f t="shared" si="132"/>
        <v>0</v>
      </c>
      <c r="J357">
        <f t="shared" si="132"/>
        <v>2</v>
      </c>
      <c r="K357">
        <f t="shared" si="132"/>
        <v>0</v>
      </c>
      <c r="L357" t="b">
        <f t="shared" si="133"/>
        <v>1</v>
      </c>
      <c r="W357" t="s">
        <v>51</v>
      </c>
      <c r="X357" t="s">
        <v>24</v>
      </c>
      <c r="Y357">
        <v>142</v>
      </c>
      <c r="Z357">
        <v>0</v>
      </c>
      <c r="AA357">
        <v>0</v>
      </c>
      <c r="AB357">
        <v>35</v>
      </c>
      <c r="AC357">
        <v>11</v>
      </c>
      <c r="AD357">
        <v>0</v>
      </c>
      <c r="AE357">
        <v>13</v>
      </c>
      <c r="AF357">
        <v>11</v>
      </c>
      <c r="AG357">
        <v>72</v>
      </c>
      <c r="AH357">
        <v>31</v>
      </c>
    </row>
    <row r="358" spans="1:34" x14ac:dyDescent="0.25">
      <c r="A358" t="s">
        <v>0</v>
      </c>
      <c r="B358" t="str">
        <f t="shared" si="134"/>
        <v>azla</v>
      </c>
      <c r="C358">
        <f t="shared" si="131"/>
        <v>13</v>
      </c>
      <c r="D358">
        <f t="shared" si="132"/>
        <v>0</v>
      </c>
      <c r="E358">
        <f t="shared" si="132"/>
        <v>0</v>
      </c>
      <c r="F358">
        <f t="shared" si="132"/>
        <v>9</v>
      </c>
      <c r="G358">
        <f t="shared" si="132"/>
        <v>0</v>
      </c>
      <c r="H358">
        <f t="shared" si="132"/>
        <v>0</v>
      </c>
      <c r="I358">
        <f t="shared" si="132"/>
        <v>1</v>
      </c>
      <c r="J358">
        <f t="shared" si="132"/>
        <v>3</v>
      </c>
      <c r="K358">
        <f t="shared" si="132"/>
        <v>0</v>
      </c>
      <c r="L358" t="b">
        <f t="shared" si="133"/>
        <v>1</v>
      </c>
      <c r="W358" t="s">
        <v>52</v>
      </c>
      <c r="X358" t="s">
        <v>63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32</v>
      </c>
    </row>
    <row r="359" spans="1:34" x14ac:dyDescent="0.25">
      <c r="A359" t="s">
        <v>0</v>
      </c>
      <c r="B359" t="str">
        <f t="shared" si="134"/>
        <v>qadma</v>
      </c>
      <c r="C359">
        <f t="shared" si="131"/>
        <v>27</v>
      </c>
      <c r="D359">
        <f t="shared" si="132"/>
        <v>0</v>
      </c>
      <c r="E359">
        <f t="shared" si="132"/>
        <v>0</v>
      </c>
      <c r="F359">
        <f t="shared" si="132"/>
        <v>12</v>
      </c>
      <c r="G359">
        <f t="shared" si="132"/>
        <v>0</v>
      </c>
      <c r="H359">
        <f t="shared" si="132"/>
        <v>0</v>
      </c>
      <c r="I359">
        <f t="shared" si="132"/>
        <v>9</v>
      </c>
      <c r="J359">
        <f t="shared" si="132"/>
        <v>6</v>
      </c>
      <c r="K359">
        <f t="shared" si="132"/>
        <v>0</v>
      </c>
      <c r="L359" t="b">
        <f t="shared" si="133"/>
        <v>1</v>
      </c>
      <c r="W359" t="s">
        <v>52</v>
      </c>
      <c r="X359" t="s">
        <v>4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32</v>
      </c>
    </row>
    <row r="360" spans="1:34" x14ac:dyDescent="0.25">
      <c r="A360" t="s">
        <v>0</v>
      </c>
      <c r="B360" t="str">
        <f t="shared" si="134"/>
        <v>revia</v>
      </c>
      <c r="C360">
        <f t="shared" si="131"/>
        <v>54</v>
      </c>
      <c r="D360">
        <f t="shared" si="132"/>
        <v>0</v>
      </c>
      <c r="E360">
        <f t="shared" si="132"/>
        <v>0</v>
      </c>
      <c r="F360">
        <f t="shared" si="132"/>
        <v>13</v>
      </c>
      <c r="G360">
        <f t="shared" si="132"/>
        <v>20</v>
      </c>
      <c r="H360">
        <f t="shared" si="132"/>
        <v>0</v>
      </c>
      <c r="I360">
        <f t="shared" si="132"/>
        <v>3</v>
      </c>
      <c r="J360">
        <f t="shared" si="132"/>
        <v>18</v>
      </c>
      <c r="K360">
        <f t="shared" si="132"/>
        <v>0</v>
      </c>
      <c r="L360" t="b">
        <f t="shared" si="133"/>
        <v>1</v>
      </c>
      <c r="W360" t="s">
        <v>52</v>
      </c>
      <c r="X360" t="s">
        <v>22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32</v>
      </c>
    </row>
    <row r="361" spans="1:34" x14ac:dyDescent="0.25">
      <c r="A361" t="s">
        <v>0</v>
      </c>
      <c r="B361" t="str">
        <f t="shared" si="134"/>
        <v>pashta</v>
      </c>
      <c r="C361">
        <f t="shared" si="131"/>
        <v>56</v>
      </c>
      <c r="D361">
        <f t="shared" si="132"/>
        <v>0</v>
      </c>
      <c r="E361">
        <f t="shared" si="132"/>
        <v>0</v>
      </c>
      <c r="F361">
        <f t="shared" si="132"/>
        <v>10</v>
      </c>
      <c r="G361">
        <f t="shared" si="132"/>
        <v>0</v>
      </c>
      <c r="H361">
        <f t="shared" si="132"/>
        <v>0</v>
      </c>
      <c r="I361">
        <f t="shared" si="132"/>
        <v>6</v>
      </c>
      <c r="J361">
        <f t="shared" si="132"/>
        <v>13</v>
      </c>
      <c r="K361">
        <f t="shared" si="132"/>
        <v>27</v>
      </c>
      <c r="L361" t="b">
        <f t="shared" si="133"/>
        <v>1</v>
      </c>
      <c r="W361" t="s">
        <v>52</v>
      </c>
      <c r="X361" t="s">
        <v>65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32</v>
      </c>
    </row>
    <row r="362" spans="1:34" x14ac:dyDescent="0.25">
      <c r="A362" t="s">
        <v>0</v>
      </c>
      <c r="B362" t="str">
        <f t="shared" si="134"/>
        <v>zaqef-qatan</v>
      </c>
      <c r="C362">
        <f t="shared" si="131"/>
        <v>68</v>
      </c>
      <c r="D362">
        <f t="shared" si="132"/>
        <v>0</v>
      </c>
      <c r="E362">
        <f t="shared" si="132"/>
        <v>0</v>
      </c>
      <c r="F362">
        <f t="shared" si="132"/>
        <v>8</v>
      </c>
      <c r="G362">
        <f t="shared" si="132"/>
        <v>0</v>
      </c>
      <c r="H362">
        <f t="shared" si="132"/>
        <v>0</v>
      </c>
      <c r="I362">
        <f t="shared" si="132"/>
        <v>1</v>
      </c>
      <c r="J362">
        <f t="shared" si="132"/>
        <v>40</v>
      </c>
      <c r="K362">
        <f t="shared" si="132"/>
        <v>19</v>
      </c>
      <c r="L362" t="b">
        <f t="shared" si="133"/>
        <v>1</v>
      </c>
      <c r="W362" t="s">
        <v>52</v>
      </c>
      <c r="X362" t="s">
        <v>23</v>
      </c>
      <c r="Y362">
        <v>3</v>
      </c>
      <c r="Z362">
        <v>0</v>
      </c>
      <c r="AA362">
        <v>0</v>
      </c>
      <c r="AB362">
        <v>2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32</v>
      </c>
    </row>
    <row r="363" spans="1:34" x14ac:dyDescent="0.25">
      <c r="C363">
        <f>SUM(C351:C362)</f>
        <v>252</v>
      </c>
      <c r="D363" t="s">
        <v>60</v>
      </c>
      <c r="E363" t="s">
        <v>14</v>
      </c>
      <c r="F363" t="s">
        <v>15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W363" t="s">
        <v>52</v>
      </c>
      <c r="X363" t="s">
        <v>64</v>
      </c>
      <c r="Y363">
        <v>3</v>
      </c>
      <c r="Z363">
        <v>0</v>
      </c>
      <c r="AA363">
        <v>0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32</v>
      </c>
    </row>
    <row r="364" spans="1:34" x14ac:dyDescent="0.25">
      <c r="A364" t="s">
        <v>50</v>
      </c>
      <c r="B364" t="str">
        <f>X336</f>
        <v>segol</v>
      </c>
      <c r="C364">
        <f t="shared" ref="C364:C373" si="135">SUM(D364:K364)</f>
        <v>1</v>
      </c>
      <c r="D364">
        <f t="shared" ref="D364:K373" si="136">Z336</f>
        <v>0</v>
      </c>
      <c r="E364">
        <f t="shared" si="136"/>
        <v>0</v>
      </c>
      <c r="F364">
        <f t="shared" si="136"/>
        <v>0</v>
      </c>
      <c r="G364">
        <f t="shared" si="136"/>
        <v>0</v>
      </c>
      <c r="H364">
        <f t="shared" si="136"/>
        <v>0</v>
      </c>
      <c r="I364">
        <f t="shared" si="136"/>
        <v>0</v>
      </c>
      <c r="J364">
        <f t="shared" si="136"/>
        <v>1</v>
      </c>
      <c r="K364">
        <f t="shared" si="136"/>
        <v>0</v>
      </c>
      <c r="L364" t="b">
        <f t="shared" ref="L364:L373" si="137">SUM(D364:K364)=Y336</f>
        <v>1</v>
      </c>
      <c r="W364" t="s">
        <v>52</v>
      </c>
      <c r="X364" t="s">
        <v>8</v>
      </c>
      <c r="Y364">
        <v>8</v>
      </c>
      <c r="Z364">
        <v>0</v>
      </c>
      <c r="AA364">
        <v>0</v>
      </c>
      <c r="AB364">
        <v>7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32</v>
      </c>
    </row>
    <row r="365" spans="1:34" x14ac:dyDescent="0.25">
      <c r="A365" t="s">
        <v>50</v>
      </c>
      <c r="B365" t="str">
        <f t="shared" ref="B365:B373" si="138">X337</f>
        <v>tsinnor</v>
      </c>
      <c r="C365">
        <f t="shared" si="135"/>
        <v>1</v>
      </c>
      <c r="D365">
        <f t="shared" si="136"/>
        <v>0</v>
      </c>
      <c r="E365">
        <f t="shared" si="136"/>
        <v>0</v>
      </c>
      <c r="F365">
        <f t="shared" si="136"/>
        <v>0</v>
      </c>
      <c r="G365">
        <f t="shared" si="136"/>
        <v>0</v>
      </c>
      <c r="H365">
        <f t="shared" si="136"/>
        <v>0</v>
      </c>
      <c r="I365">
        <f t="shared" si="136"/>
        <v>0</v>
      </c>
      <c r="J365">
        <f t="shared" si="136"/>
        <v>1</v>
      </c>
      <c r="K365">
        <f t="shared" si="136"/>
        <v>0</v>
      </c>
      <c r="L365" t="b">
        <f t="shared" si="137"/>
        <v>1</v>
      </c>
      <c r="W365" t="s">
        <v>52</v>
      </c>
      <c r="X365" t="s">
        <v>1</v>
      </c>
      <c r="Y365">
        <v>26</v>
      </c>
      <c r="Z365">
        <v>0</v>
      </c>
      <c r="AA365">
        <v>0</v>
      </c>
      <c r="AB365">
        <v>10</v>
      </c>
      <c r="AC365">
        <v>0</v>
      </c>
      <c r="AD365">
        <v>0</v>
      </c>
      <c r="AE365">
        <v>0</v>
      </c>
      <c r="AF365">
        <v>16</v>
      </c>
      <c r="AG365">
        <v>0</v>
      </c>
      <c r="AH365">
        <v>32</v>
      </c>
    </row>
    <row r="366" spans="1:34" x14ac:dyDescent="0.25">
      <c r="A366" t="s">
        <v>50</v>
      </c>
      <c r="B366" t="str">
        <f t="shared" si="138"/>
        <v>telisha-qetana</v>
      </c>
      <c r="C366">
        <f t="shared" si="135"/>
        <v>1</v>
      </c>
      <c r="D366">
        <f t="shared" si="136"/>
        <v>0</v>
      </c>
      <c r="E366">
        <f t="shared" si="136"/>
        <v>0</v>
      </c>
      <c r="F366">
        <f t="shared" si="136"/>
        <v>0</v>
      </c>
      <c r="G366">
        <f t="shared" si="136"/>
        <v>0</v>
      </c>
      <c r="H366">
        <f t="shared" si="136"/>
        <v>0</v>
      </c>
      <c r="I366">
        <f t="shared" si="136"/>
        <v>1</v>
      </c>
      <c r="J366">
        <f t="shared" si="136"/>
        <v>0</v>
      </c>
      <c r="K366">
        <f t="shared" si="136"/>
        <v>0</v>
      </c>
      <c r="L366" t="b">
        <f t="shared" si="137"/>
        <v>1</v>
      </c>
      <c r="W366" t="s">
        <v>52</v>
      </c>
      <c r="X366" t="s">
        <v>6</v>
      </c>
      <c r="Y366">
        <v>31</v>
      </c>
      <c r="Z366">
        <v>0</v>
      </c>
      <c r="AA366">
        <v>0</v>
      </c>
      <c r="AB366">
        <v>25</v>
      </c>
      <c r="AC366">
        <v>0</v>
      </c>
      <c r="AD366">
        <v>0</v>
      </c>
      <c r="AE366">
        <v>4</v>
      </c>
      <c r="AF366">
        <v>1</v>
      </c>
      <c r="AG366">
        <v>1</v>
      </c>
      <c r="AH366">
        <v>32</v>
      </c>
    </row>
    <row r="367" spans="1:34" x14ac:dyDescent="0.25">
      <c r="A367" t="s">
        <v>50</v>
      </c>
      <c r="B367" t="str">
        <f t="shared" si="138"/>
        <v>tarsin</v>
      </c>
      <c r="C367">
        <f t="shared" si="135"/>
        <v>4</v>
      </c>
      <c r="D367">
        <f t="shared" si="136"/>
        <v>0</v>
      </c>
      <c r="E367">
        <f t="shared" si="136"/>
        <v>0</v>
      </c>
      <c r="F367">
        <f t="shared" si="136"/>
        <v>3</v>
      </c>
      <c r="G367">
        <f t="shared" si="136"/>
        <v>0</v>
      </c>
      <c r="H367">
        <f t="shared" si="136"/>
        <v>0</v>
      </c>
      <c r="I367">
        <f t="shared" si="136"/>
        <v>0</v>
      </c>
      <c r="J367">
        <f t="shared" si="136"/>
        <v>1</v>
      </c>
      <c r="K367">
        <f t="shared" si="136"/>
        <v>0</v>
      </c>
      <c r="L367" t="b">
        <f t="shared" si="137"/>
        <v>1</v>
      </c>
      <c r="W367" t="s">
        <v>52</v>
      </c>
      <c r="X367" t="s">
        <v>66</v>
      </c>
      <c r="Y367">
        <v>199</v>
      </c>
      <c r="Z367">
        <v>0</v>
      </c>
      <c r="AA367">
        <v>0</v>
      </c>
      <c r="AB367">
        <v>31</v>
      </c>
      <c r="AC367">
        <v>2</v>
      </c>
      <c r="AD367">
        <v>0</v>
      </c>
      <c r="AE367">
        <v>4</v>
      </c>
      <c r="AF367">
        <v>102</v>
      </c>
      <c r="AG367">
        <v>60</v>
      </c>
      <c r="AH367">
        <v>32</v>
      </c>
    </row>
    <row r="368" spans="1:34" x14ac:dyDescent="0.25">
      <c r="A368" t="s">
        <v>50</v>
      </c>
      <c r="B368" t="str">
        <f t="shared" si="138"/>
        <v>zaqef-gadol</v>
      </c>
      <c r="C368">
        <f t="shared" si="135"/>
        <v>7</v>
      </c>
      <c r="D368">
        <f t="shared" si="136"/>
        <v>0</v>
      </c>
      <c r="E368">
        <f t="shared" si="136"/>
        <v>0</v>
      </c>
      <c r="F368">
        <f t="shared" si="136"/>
        <v>3</v>
      </c>
      <c r="G368">
        <f t="shared" si="136"/>
        <v>0</v>
      </c>
      <c r="H368">
        <f t="shared" si="136"/>
        <v>0</v>
      </c>
      <c r="I368">
        <f t="shared" si="136"/>
        <v>3</v>
      </c>
      <c r="J368">
        <f t="shared" si="136"/>
        <v>1</v>
      </c>
      <c r="K368">
        <f t="shared" si="136"/>
        <v>0</v>
      </c>
      <c r="L368" t="b">
        <f t="shared" si="137"/>
        <v>1</v>
      </c>
      <c r="W368" t="s">
        <v>52</v>
      </c>
      <c r="X368" t="s">
        <v>24</v>
      </c>
      <c r="Y368">
        <v>216</v>
      </c>
      <c r="Z368">
        <v>0</v>
      </c>
      <c r="AA368">
        <v>0</v>
      </c>
      <c r="AB368">
        <v>59</v>
      </c>
      <c r="AC368">
        <v>3</v>
      </c>
      <c r="AD368">
        <v>0</v>
      </c>
      <c r="AE368">
        <v>14</v>
      </c>
      <c r="AF368">
        <v>14</v>
      </c>
      <c r="AG368">
        <v>126</v>
      </c>
      <c r="AH368">
        <v>32</v>
      </c>
    </row>
    <row r="369" spans="1:34" x14ac:dyDescent="0.25">
      <c r="A369" t="s">
        <v>50</v>
      </c>
      <c r="B369" t="str">
        <f t="shared" si="138"/>
        <v>azla</v>
      </c>
      <c r="C369">
        <f t="shared" si="135"/>
        <v>8</v>
      </c>
      <c r="D369">
        <f t="shared" si="136"/>
        <v>0</v>
      </c>
      <c r="E369">
        <f t="shared" si="136"/>
        <v>0</v>
      </c>
      <c r="F369">
        <f t="shared" si="136"/>
        <v>4</v>
      </c>
      <c r="G369">
        <f t="shared" si="136"/>
        <v>0</v>
      </c>
      <c r="H369">
        <f t="shared" si="136"/>
        <v>0</v>
      </c>
      <c r="I369">
        <f t="shared" si="136"/>
        <v>4</v>
      </c>
      <c r="J369">
        <f t="shared" si="136"/>
        <v>0</v>
      </c>
      <c r="K369">
        <f t="shared" si="136"/>
        <v>0</v>
      </c>
      <c r="L369" t="b">
        <f t="shared" si="137"/>
        <v>1</v>
      </c>
      <c r="W369" t="s">
        <v>53</v>
      </c>
      <c r="X369" t="s">
        <v>22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33</v>
      </c>
    </row>
    <row r="370" spans="1:34" x14ac:dyDescent="0.25">
      <c r="A370" t="s">
        <v>50</v>
      </c>
      <c r="B370" t="str">
        <f t="shared" si="138"/>
        <v>qadma</v>
      </c>
      <c r="C370">
        <f t="shared" si="135"/>
        <v>12</v>
      </c>
      <c r="D370">
        <f t="shared" si="136"/>
        <v>0</v>
      </c>
      <c r="E370">
        <f t="shared" si="136"/>
        <v>0</v>
      </c>
      <c r="F370">
        <f t="shared" si="136"/>
        <v>9</v>
      </c>
      <c r="G370">
        <f t="shared" si="136"/>
        <v>0</v>
      </c>
      <c r="H370">
        <f t="shared" si="136"/>
        <v>0</v>
      </c>
      <c r="I370">
        <f t="shared" si="136"/>
        <v>3</v>
      </c>
      <c r="J370">
        <f t="shared" si="136"/>
        <v>0</v>
      </c>
      <c r="K370">
        <f t="shared" si="136"/>
        <v>0</v>
      </c>
      <c r="L370" t="b">
        <f t="shared" si="137"/>
        <v>1</v>
      </c>
      <c r="W370" t="s">
        <v>53</v>
      </c>
      <c r="X370" t="s">
        <v>4</v>
      </c>
      <c r="Y370">
        <v>2</v>
      </c>
      <c r="Z370">
        <v>0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33</v>
      </c>
    </row>
    <row r="371" spans="1:34" x14ac:dyDescent="0.25">
      <c r="A371" t="s">
        <v>50</v>
      </c>
      <c r="B371" t="str">
        <f t="shared" si="138"/>
        <v>revia</v>
      </c>
      <c r="C371">
        <f t="shared" si="135"/>
        <v>25</v>
      </c>
      <c r="D371">
        <f t="shared" si="136"/>
        <v>0</v>
      </c>
      <c r="E371">
        <f t="shared" si="136"/>
        <v>0</v>
      </c>
      <c r="F371">
        <f t="shared" si="136"/>
        <v>8</v>
      </c>
      <c r="G371">
        <f t="shared" si="136"/>
        <v>0</v>
      </c>
      <c r="H371">
        <f t="shared" si="136"/>
        <v>0</v>
      </c>
      <c r="I371">
        <f t="shared" si="136"/>
        <v>3</v>
      </c>
      <c r="J371">
        <f t="shared" si="136"/>
        <v>14</v>
      </c>
      <c r="K371">
        <f t="shared" si="136"/>
        <v>0</v>
      </c>
      <c r="L371" t="b">
        <f t="shared" si="137"/>
        <v>1</v>
      </c>
      <c r="W371" t="s">
        <v>53</v>
      </c>
      <c r="X371" t="s">
        <v>5</v>
      </c>
      <c r="Y371">
        <v>6</v>
      </c>
      <c r="Z371">
        <v>0</v>
      </c>
      <c r="AA371">
        <v>0</v>
      </c>
      <c r="AB371">
        <v>3</v>
      </c>
      <c r="AC371">
        <v>0</v>
      </c>
      <c r="AD371">
        <v>0</v>
      </c>
      <c r="AE371">
        <v>1</v>
      </c>
      <c r="AF371">
        <v>2</v>
      </c>
      <c r="AG371">
        <v>0</v>
      </c>
      <c r="AH371">
        <v>33</v>
      </c>
    </row>
    <row r="372" spans="1:34" x14ac:dyDescent="0.25">
      <c r="A372" t="s">
        <v>50</v>
      </c>
      <c r="B372" t="str">
        <f t="shared" si="138"/>
        <v>zaqef-qatan</v>
      </c>
      <c r="C372">
        <f t="shared" si="135"/>
        <v>168</v>
      </c>
      <c r="D372">
        <f t="shared" si="136"/>
        <v>0</v>
      </c>
      <c r="E372">
        <f t="shared" si="136"/>
        <v>0</v>
      </c>
      <c r="F372">
        <f t="shared" si="136"/>
        <v>25</v>
      </c>
      <c r="G372">
        <f t="shared" si="136"/>
        <v>4</v>
      </c>
      <c r="H372">
        <f t="shared" si="136"/>
        <v>0</v>
      </c>
      <c r="I372">
        <f t="shared" si="136"/>
        <v>6</v>
      </c>
      <c r="J372">
        <f t="shared" si="136"/>
        <v>96</v>
      </c>
      <c r="K372">
        <f t="shared" si="136"/>
        <v>37</v>
      </c>
      <c r="L372" t="b">
        <f t="shared" si="137"/>
        <v>1</v>
      </c>
      <c r="W372" t="s">
        <v>53</v>
      </c>
      <c r="X372" t="s">
        <v>63</v>
      </c>
      <c r="Y372">
        <v>9</v>
      </c>
      <c r="Z372">
        <v>0</v>
      </c>
      <c r="AA372">
        <v>0</v>
      </c>
      <c r="AB372">
        <v>7</v>
      </c>
      <c r="AC372">
        <v>0</v>
      </c>
      <c r="AD372">
        <v>0</v>
      </c>
      <c r="AE372">
        <v>0</v>
      </c>
      <c r="AF372">
        <v>2</v>
      </c>
      <c r="AG372">
        <v>0</v>
      </c>
      <c r="AH372">
        <v>33</v>
      </c>
    </row>
    <row r="373" spans="1:34" x14ac:dyDescent="0.25">
      <c r="A373" t="s">
        <v>50</v>
      </c>
      <c r="B373" t="str">
        <f t="shared" si="138"/>
        <v>pashta</v>
      </c>
      <c r="C373">
        <f t="shared" si="135"/>
        <v>185</v>
      </c>
      <c r="D373">
        <f t="shared" si="136"/>
        <v>0</v>
      </c>
      <c r="E373">
        <f t="shared" si="136"/>
        <v>0</v>
      </c>
      <c r="F373">
        <f t="shared" si="136"/>
        <v>62</v>
      </c>
      <c r="G373">
        <f t="shared" si="136"/>
        <v>8</v>
      </c>
      <c r="H373">
        <f t="shared" si="136"/>
        <v>0</v>
      </c>
      <c r="I373">
        <f t="shared" si="136"/>
        <v>20</v>
      </c>
      <c r="J373">
        <f t="shared" si="136"/>
        <v>18</v>
      </c>
      <c r="K373">
        <f t="shared" si="136"/>
        <v>77</v>
      </c>
      <c r="L373" t="b">
        <f t="shared" si="137"/>
        <v>1</v>
      </c>
      <c r="W373" t="s">
        <v>53</v>
      </c>
      <c r="X373" t="s">
        <v>23</v>
      </c>
      <c r="Y373">
        <v>14</v>
      </c>
      <c r="Z373">
        <v>0</v>
      </c>
      <c r="AA373">
        <v>0</v>
      </c>
      <c r="AB373">
        <v>3</v>
      </c>
      <c r="AC373">
        <v>0</v>
      </c>
      <c r="AD373">
        <v>0</v>
      </c>
      <c r="AE373">
        <v>8</v>
      </c>
      <c r="AF373">
        <v>3</v>
      </c>
      <c r="AG373">
        <v>0</v>
      </c>
      <c r="AH373">
        <v>33</v>
      </c>
    </row>
    <row r="374" spans="1:34" x14ac:dyDescent="0.25">
      <c r="C374">
        <f>SUM(C364:C373)</f>
        <v>412</v>
      </c>
      <c r="D374" t="s">
        <v>60</v>
      </c>
      <c r="E374" t="s">
        <v>14</v>
      </c>
      <c r="F374" t="s">
        <v>15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W374" t="s">
        <v>53</v>
      </c>
      <c r="X374" t="s">
        <v>64</v>
      </c>
      <c r="Y374">
        <v>16</v>
      </c>
      <c r="Z374">
        <v>0</v>
      </c>
      <c r="AA374">
        <v>0</v>
      </c>
      <c r="AB374">
        <v>6</v>
      </c>
      <c r="AC374">
        <v>0</v>
      </c>
      <c r="AD374">
        <v>0</v>
      </c>
      <c r="AE374">
        <v>3</v>
      </c>
      <c r="AF374">
        <v>7</v>
      </c>
      <c r="AG374">
        <v>0</v>
      </c>
      <c r="AH374">
        <v>33</v>
      </c>
    </row>
    <row r="375" spans="1:34" x14ac:dyDescent="0.25">
      <c r="A375" t="s">
        <v>51</v>
      </c>
      <c r="B375" t="str">
        <f>X346</f>
        <v>pazer</v>
      </c>
      <c r="C375">
        <f t="shared" ref="C375:C386" si="139">SUM(D375:K375)</f>
        <v>1</v>
      </c>
      <c r="D375">
        <f t="shared" ref="D375:K386" si="140">Z346</f>
        <v>0</v>
      </c>
      <c r="E375">
        <f t="shared" si="140"/>
        <v>0</v>
      </c>
      <c r="F375">
        <f t="shared" si="140"/>
        <v>1</v>
      </c>
      <c r="G375">
        <f t="shared" si="140"/>
        <v>0</v>
      </c>
      <c r="H375">
        <f t="shared" si="140"/>
        <v>0</v>
      </c>
      <c r="I375">
        <f t="shared" si="140"/>
        <v>0</v>
      </c>
      <c r="J375">
        <f t="shared" si="140"/>
        <v>0</v>
      </c>
      <c r="K375">
        <f t="shared" si="140"/>
        <v>0</v>
      </c>
      <c r="L375" t="b">
        <f t="shared" ref="L375:L386" si="141">SUM(D375:K375)=Y346</f>
        <v>1</v>
      </c>
      <c r="W375" t="s">
        <v>53</v>
      </c>
      <c r="X375" t="s">
        <v>65</v>
      </c>
      <c r="Y375">
        <v>18</v>
      </c>
      <c r="Z375">
        <v>0</v>
      </c>
      <c r="AA375">
        <v>0</v>
      </c>
      <c r="AB375">
        <v>6</v>
      </c>
      <c r="AC375">
        <v>0</v>
      </c>
      <c r="AD375">
        <v>0</v>
      </c>
      <c r="AE375">
        <v>8</v>
      </c>
      <c r="AF375">
        <v>3</v>
      </c>
      <c r="AG375">
        <v>1</v>
      </c>
      <c r="AH375">
        <v>33</v>
      </c>
    </row>
    <row r="376" spans="1:34" x14ac:dyDescent="0.25">
      <c r="A376" t="s">
        <v>51</v>
      </c>
      <c r="B376" t="str">
        <f t="shared" ref="B376:B386" si="142">X347</f>
        <v>segol</v>
      </c>
      <c r="C376">
        <f t="shared" si="139"/>
        <v>2</v>
      </c>
      <c r="D376">
        <f t="shared" si="140"/>
        <v>0</v>
      </c>
      <c r="E376">
        <f t="shared" si="140"/>
        <v>0</v>
      </c>
      <c r="F376">
        <f t="shared" si="140"/>
        <v>0</v>
      </c>
      <c r="G376">
        <f t="shared" si="140"/>
        <v>0</v>
      </c>
      <c r="H376">
        <f t="shared" si="140"/>
        <v>0</v>
      </c>
      <c r="I376">
        <f t="shared" si="140"/>
        <v>0</v>
      </c>
      <c r="J376">
        <f t="shared" si="140"/>
        <v>2</v>
      </c>
      <c r="K376">
        <f t="shared" si="140"/>
        <v>0</v>
      </c>
      <c r="L376" t="b">
        <f t="shared" si="141"/>
        <v>1</v>
      </c>
      <c r="W376" t="s">
        <v>53</v>
      </c>
      <c r="X376" t="s">
        <v>8</v>
      </c>
      <c r="Y376">
        <v>27</v>
      </c>
      <c r="Z376">
        <v>0</v>
      </c>
      <c r="AA376">
        <v>0</v>
      </c>
      <c r="AB376">
        <v>16</v>
      </c>
      <c r="AC376">
        <v>0</v>
      </c>
      <c r="AD376">
        <v>0</v>
      </c>
      <c r="AE376">
        <v>3</v>
      </c>
      <c r="AF376">
        <v>8</v>
      </c>
      <c r="AG376">
        <v>0</v>
      </c>
      <c r="AH376">
        <v>33</v>
      </c>
    </row>
    <row r="377" spans="1:34" x14ac:dyDescent="0.25">
      <c r="A377" t="s">
        <v>51</v>
      </c>
      <c r="B377" t="str">
        <f t="shared" si="142"/>
        <v>tsinnor</v>
      </c>
      <c r="C377">
        <f t="shared" si="139"/>
        <v>2</v>
      </c>
      <c r="D377">
        <f t="shared" si="140"/>
        <v>0</v>
      </c>
      <c r="E377">
        <f t="shared" si="140"/>
        <v>0</v>
      </c>
      <c r="F377">
        <f t="shared" si="140"/>
        <v>1</v>
      </c>
      <c r="G377">
        <f t="shared" si="140"/>
        <v>0</v>
      </c>
      <c r="H377">
        <f t="shared" si="140"/>
        <v>0</v>
      </c>
      <c r="I377">
        <f t="shared" si="140"/>
        <v>0</v>
      </c>
      <c r="J377">
        <f t="shared" si="140"/>
        <v>1</v>
      </c>
      <c r="K377">
        <f t="shared" si="140"/>
        <v>0</v>
      </c>
      <c r="L377" t="b">
        <f t="shared" si="141"/>
        <v>1</v>
      </c>
      <c r="W377" t="s">
        <v>53</v>
      </c>
      <c r="X377" t="s">
        <v>6</v>
      </c>
      <c r="Y377">
        <v>58</v>
      </c>
      <c r="Z377">
        <v>0</v>
      </c>
      <c r="AA377">
        <v>0</v>
      </c>
      <c r="AB377">
        <v>29</v>
      </c>
      <c r="AC377">
        <v>2</v>
      </c>
      <c r="AD377">
        <v>0</v>
      </c>
      <c r="AE377">
        <v>11</v>
      </c>
      <c r="AF377">
        <v>15</v>
      </c>
      <c r="AG377">
        <v>1</v>
      </c>
      <c r="AH377">
        <v>33</v>
      </c>
    </row>
    <row r="378" spans="1:34" x14ac:dyDescent="0.25">
      <c r="A378" t="s">
        <v>51</v>
      </c>
      <c r="B378" t="str">
        <f t="shared" si="142"/>
        <v>tarsin</v>
      </c>
      <c r="C378">
        <f t="shared" si="139"/>
        <v>5</v>
      </c>
      <c r="D378">
        <f t="shared" si="140"/>
        <v>0</v>
      </c>
      <c r="E378">
        <f t="shared" si="140"/>
        <v>0</v>
      </c>
      <c r="F378">
        <f t="shared" si="140"/>
        <v>3</v>
      </c>
      <c r="G378">
        <f t="shared" si="140"/>
        <v>0</v>
      </c>
      <c r="H378">
        <f t="shared" si="140"/>
        <v>0</v>
      </c>
      <c r="I378">
        <f t="shared" si="140"/>
        <v>2</v>
      </c>
      <c r="J378">
        <f t="shared" si="140"/>
        <v>0</v>
      </c>
      <c r="K378">
        <f t="shared" si="140"/>
        <v>0</v>
      </c>
      <c r="L378" t="b">
        <f t="shared" si="141"/>
        <v>1</v>
      </c>
      <c r="W378" t="s">
        <v>53</v>
      </c>
      <c r="X378" t="s">
        <v>1</v>
      </c>
      <c r="Y378">
        <v>63</v>
      </c>
      <c r="Z378">
        <v>0</v>
      </c>
      <c r="AA378">
        <v>0</v>
      </c>
      <c r="AB378">
        <v>20</v>
      </c>
      <c r="AC378">
        <v>0</v>
      </c>
      <c r="AD378">
        <v>0</v>
      </c>
      <c r="AE378">
        <v>6</v>
      </c>
      <c r="AF378">
        <v>36</v>
      </c>
      <c r="AG378">
        <v>1</v>
      </c>
      <c r="AH378">
        <v>33</v>
      </c>
    </row>
    <row r="379" spans="1:34" x14ac:dyDescent="0.25">
      <c r="A379" t="s">
        <v>51</v>
      </c>
      <c r="B379" t="str">
        <f t="shared" si="142"/>
        <v>telisha-gedola</v>
      </c>
      <c r="C379">
        <f t="shared" si="139"/>
        <v>6</v>
      </c>
      <c r="D379">
        <f t="shared" si="140"/>
        <v>0</v>
      </c>
      <c r="E379">
        <f t="shared" si="140"/>
        <v>0</v>
      </c>
      <c r="F379">
        <f t="shared" si="140"/>
        <v>2</v>
      </c>
      <c r="G379">
        <f t="shared" si="140"/>
        <v>0</v>
      </c>
      <c r="H379">
        <f t="shared" si="140"/>
        <v>0</v>
      </c>
      <c r="I379">
        <f t="shared" si="140"/>
        <v>2</v>
      </c>
      <c r="J379">
        <f t="shared" si="140"/>
        <v>2</v>
      </c>
      <c r="K379">
        <f t="shared" si="140"/>
        <v>0</v>
      </c>
      <c r="L379" t="b">
        <f t="shared" si="141"/>
        <v>1</v>
      </c>
      <c r="W379" t="s">
        <v>53</v>
      </c>
      <c r="X379" t="s">
        <v>24</v>
      </c>
      <c r="Y379">
        <v>243</v>
      </c>
      <c r="Z379">
        <v>0</v>
      </c>
      <c r="AA379">
        <v>0</v>
      </c>
      <c r="AB379">
        <v>73</v>
      </c>
      <c r="AC379">
        <v>16</v>
      </c>
      <c r="AD379">
        <v>0</v>
      </c>
      <c r="AE379">
        <v>21</v>
      </c>
      <c r="AF379">
        <v>13</v>
      </c>
      <c r="AG379">
        <v>120</v>
      </c>
      <c r="AH379">
        <v>33</v>
      </c>
    </row>
    <row r="380" spans="1:34" x14ac:dyDescent="0.25">
      <c r="A380" t="s">
        <v>51</v>
      </c>
      <c r="B380" t="str">
        <f t="shared" si="142"/>
        <v>zaqef-gadol</v>
      </c>
      <c r="C380">
        <f t="shared" si="139"/>
        <v>8</v>
      </c>
      <c r="D380">
        <f t="shared" si="140"/>
        <v>0</v>
      </c>
      <c r="E380">
        <f t="shared" si="140"/>
        <v>0</v>
      </c>
      <c r="F380">
        <f t="shared" si="140"/>
        <v>2</v>
      </c>
      <c r="G380">
        <f t="shared" si="140"/>
        <v>0</v>
      </c>
      <c r="H380">
        <f t="shared" si="140"/>
        <v>0</v>
      </c>
      <c r="I380">
        <f t="shared" si="140"/>
        <v>2</v>
      </c>
      <c r="J380">
        <f t="shared" si="140"/>
        <v>3</v>
      </c>
      <c r="K380">
        <f t="shared" si="140"/>
        <v>1</v>
      </c>
      <c r="L380" t="b">
        <f t="shared" si="141"/>
        <v>1</v>
      </c>
      <c r="W380" t="s">
        <v>53</v>
      </c>
      <c r="X380" t="s">
        <v>66</v>
      </c>
      <c r="Y380">
        <v>269</v>
      </c>
      <c r="Z380">
        <v>0</v>
      </c>
      <c r="AA380">
        <v>0</v>
      </c>
      <c r="AB380">
        <v>43</v>
      </c>
      <c r="AC380">
        <v>4</v>
      </c>
      <c r="AD380">
        <v>0</v>
      </c>
      <c r="AE380">
        <v>5</v>
      </c>
      <c r="AF380">
        <v>185</v>
      </c>
      <c r="AG380">
        <v>32</v>
      </c>
      <c r="AH380">
        <v>33</v>
      </c>
    </row>
    <row r="381" spans="1:34" x14ac:dyDescent="0.25">
      <c r="A381" t="s">
        <v>51</v>
      </c>
      <c r="B381" t="str">
        <f t="shared" si="142"/>
        <v>telisha-qetana</v>
      </c>
      <c r="C381">
        <f t="shared" si="139"/>
        <v>13</v>
      </c>
      <c r="D381">
        <f t="shared" si="140"/>
        <v>0</v>
      </c>
      <c r="E381">
        <f t="shared" si="140"/>
        <v>0</v>
      </c>
      <c r="F381">
        <f t="shared" si="140"/>
        <v>8</v>
      </c>
      <c r="G381">
        <f t="shared" si="140"/>
        <v>0</v>
      </c>
      <c r="H381">
        <f t="shared" si="140"/>
        <v>0</v>
      </c>
      <c r="I381">
        <f t="shared" si="140"/>
        <v>3</v>
      </c>
      <c r="J381">
        <f t="shared" si="140"/>
        <v>2</v>
      </c>
      <c r="K381">
        <f t="shared" si="140"/>
        <v>0</v>
      </c>
      <c r="L381" t="b">
        <f t="shared" si="141"/>
        <v>1</v>
      </c>
      <c r="W381" t="s">
        <v>54</v>
      </c>
      <c r="X381" t="s">
        <v>72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34</v>
      </c>
    </row>
    <row r="382" spans="1:34" x14ac:dyDescent="0.25">
      <c r="A382" t="s">
        <v>51</v>
      </c>
      <c r="B382" t="str">
        <f t="shared" si="142"/>
        <v>azla</v>
      </c>
      <c r="C382">
        <f t="shared" si="139"/>
        <v>19</v>
      </c>
      <c r="D382">
        <f t="shared" si="140"/>
        <v>0</v>
      </c>
      <c r="E382">
        <f t="shared" si="140"/>
        <v>0</v>
      </c>
      <c r="F382">
        <f t="shared" si="140"/>
        <v>12</v>
      </c>
      <c r="G382">
        <f t="shared" si="140"/>
        <v>0</v>
      </c>
      <c r="H382">
        <f t="shared" si="140"/>
        <v>0</v>
      </c>
      <c r="I382">
        <f t="shared" si="140"/>
        <v>4</v>
      </c>
      <c r="J382">
        <f t="shared" si="140"/>
        <v>3</v>
      </c>
      <c r="K382">
        <f t="shared" si="140"/>
        <v>0</v>
      </c>
      <c r="L382" t="b">
        <f t="shared" si="141"/>
        <v>1</v>
      </c>
      <c r="W382" t="s">
        <v>54</v>
      </c>
      <c r="X382" t="s">
        <v>22</v>
      </c>
      <c r="Y382">
        <v>13</v>
      </c>
      <c r="Z382">
        <v>0</v>
      </c>
      <c r="AA382">
        <v>0</v>
      </c>
      <c r="AB382">
        <v>3</v>
      </c>
      <c r="AC382">
        <v>0</v>
      </c>
      <c r="AD382">
        <v>0</v>
      </c>
      <c r="AE382">
        <v>0</v>
      </c>
      <c r="AF382">
        <v>10</v>
      </c>
      <c r="AG382">
        <v>0</v>
      </c>
      <c r="AH382">
        <v>34</v>
      </c>
    </row>
    <row r="383" spans="1:34" x14ac:dyDescent="0.25">
      <c r="A383" t="s">
        <v>51</v>
      </c>
      <c r="B383" t="str">
        <f t="shared" si="142"/>
        <v>qadma</v>
      </c>
      <c r="C383">
        <f t="shared" si="139"/>
        <v>36</v>
      </c>
      <c r="D383">
        <f t="shared" si="140"/>
        <v>0</v>
      </c>
      <c r="E383">
        <f t="shared" si="140"/>
        <v>0</v>
      </c>
      <c r="F383">
        <f t="shared" si="140"/>
        <v>18</v>
      </c>
      <c r="G383">
        <f t="shared" si="140"/>
        <v>1</v>
      </c>
      <c r="H383">
        <f t="shared" si="140"/>
        <v>0</v>
      </c>
      <c r="I383">
        <f t="shared" si="140"/>
        <v>9</v>
      </c>
      <c r="J383">
        <f t="shared" si="140"/>
        <v>6</v>
      </c>
      <c r="K383">
        <f t="shared" si="140"/>
        <v>2</v>
      </c>
      <c r="L383" t="b">
        <f t="shared" si="141"/>
        <v>1</v>
      </c>
      <c r="W383" t="s">
        <v>54</v>
      </c>
      <c r="X383" t="s">
        <v>4</v>
      </c>
      <c r="Y383">
        <v>13</v>
      </c>
      <c r="Z383">
        <v>0</v>
      </c>
      <c r="AA383">
        <v>0</v>
      </c>
      <c r="AB383">
        <v>5</v>
      </c>
      <c r="AC383">
        <v>0</v>
      </c>
      <c r="AD383">
        <v>0</v>
      </c>
      <c r="AE383">
        <v>0</v>
      </c>
      <c r="AF383">
        <v>8</v>
      </c>
      <c r="AG383">
        <v>0</v>
      </c>
      <c r="AH383">
        <v>34</v>
      </c>
    </row>
    <row r="384" spans="1:34" x14ac:dyDescent="0.25">
      <c r="A384" t="s">
        <v>51</v>
      </c>
      <c r="B384" t="str">
        <f t="shared" si="142"/>
        <v>revia</v>
      </c>
      <c r="C384">
        <f t="shared" si="139"/>
        <v>48</v>
      </c>
      <c r="D384">
        <f t="shared" si="140"/>
        <v>0</v>
      </c>
      <c r="E384">
        <f t="shared" si="140"/>
        <v>0</v>
      </c>
      <c r="F384">
        <f t="shared" si="140"/>
        <v>14</v>
      </c>
      <c r="G384">
        <f t="shared" si="140"/>
        <v>0</v>
      </c>
      <c r="H384">
        <f t="shared" si="140"/>
        <v>0</v>
      </c>
      <c r="I384">
        <f t="shared" si="140"/>
        <v>10</v>
      </c>
      <c r="J384">
        <f t="shared" si="140"/>
        <v>23</v>
      </c>
      <c r="K384">
        <f t="shared" si="140"/>
        <v>1</v>
      </c>
      <c r="L384" t="b">
        <f t="shared" si="141"/>
        <v>1</v>
      </c>
      <c r="W384" t="s">
        <v>54</v>
      </c>
      <c r="X384" t="s">
        <v>65</v>
      </c>
      <c r="Y384">
        <v>16</v>
      </c>
      <c r="Z384">
        <v>0</v>
      </c>
      <c r="AA384">
        <v>0</v>
      </c>
      <c r="AB384">
        <v>4</v>
      </c>
      <c r="AC384">
        <v>0</v>
      </c>
      <c r="AD384">
        <v>0</v>
      </c>
      <c r="AE384">
        <v>5</v>
      </c>
      <c r="AF384">
        <v>5</v>
      </c>
      <c r="AG384">
        <v>2</v>
      </c>
      <c r="AH384">
        <v>34</v>
      </c>
    </row>
    <row r="385" spans="1:34" x14ac:dyDescent="0.25">
      <c r="A385" t="s">
        <v>51</v>
      </c>
      <c r="B385" t="str">
        <f t="shared" si="142"/>
        <v>zaqef-qatan</v>
      </c>
      <c r="C385">
        <f t="shared" si="139"/>
        <v>138</v>
      </c>
      <c r="D385">
        <f t="shared" si="140"/>
        <v>0</v>
      </c>
      <c r="E385">
        <f t="shared" si="140"/>
        <v>0</v>
      </c>
      <c r="F385">
        <f t="shared" si="140"/>
        <v>20</v>
      </c>
      <c r="G385">
        <f t="shared" si="140"/>
        <v>5</v>
      </c>
      <c r="H385">
        <f t="shared" si="140"/>
        <v>0</v>
      </c>
      <c r="I385">
        <f t="shared" si="140"/>
        <v>4</v>
      </c>
      <c r="J385">
        <f t="shared" si="140"/>
        <v>78</v>
      </c>
      <c r="K385">
        <f t="shared" si="140"/>
        <v>31</v>
      </c>
      <c r="L385" t="b">
        <f t="shared" si="141"/>
        <v>1</v>
      </c>
      <c r="W385" t="s">
        <v>54</v>
      </c>
      <c r="X385" t="s">
        <v>5</v>
      </c>
      <c r="Y385">
        <v>17</v>
      </c>
      <c r="Z385">
        <v>0</v>
      </c>
      <c r="AA385">
        <v>0</v>
      </c>
      <c r="AB385">
        <v>4</v>
      </c>
      <c r="AC385">
        <v>0</v>
      </c>
      <c r="AD385">
        <v>0</v>
      </c>
      <c r="AE385">
        <v>1</v>
      </c>
      <c r="AF385">
        <v>12</v>
      </c>
      <c r="AG385">
        <v>0</v>
      </c>
      <c r="AH385">
        <v>34</v>
      </c>
    </row>
    <row r="386" spans="1:34" x14ac:dyDescent="0.25">
      <c r="A386" t="s">
        <v>51</v>
      </c>
      <c r="B386" t="str">
        <f t="shared" si="142"/>
        <v>pashta</v>
      </c>
      <c r="C386">
        <f t="shared" si="139"/>
        <v>142</v>
      </c>
      <c r="D386">
        <f t="shared" si="140"/>
        <v>0</v>
      </c>
      <c r="E386">
        <f t="shared" si="140"/>
        <v>0</v>
      </c>
      <c r="F386">
        <f t="shared" si="140"/>
        <v>35</v>
      </c>
      <c r="G386">
        <f t="shared" si="140"/>
        <v>11</v>
      </c>
      <c r="H386">
        <f t="shared" si="140"/>
        <v>0</v>
      </c>
      <c r="I386">
        <f t="shared" si="140"/>
        <v>13</v>
      </c>
      <c r="J386">
        <f t="shared" si="140"/>
        <v>11</v>
      </c>
      <c r="K386">
        <f t="shared" si="140"/>
        <v>72</v>
      </c>
      <c r="L386" t="b">
        <f t="shared" si="141"/>
        <v>1</v>
      </c>
      <c r="W386" t="s">
        <v>54</v>
      </c>
      <c r="X386" t="s">
        <v>63</v>
      </c>
      <c r="Y386">
        <v>28</v>
      </c>
      <c r="Z386">
        <v>0</v>
      </c>
      <c r="AA386">
        <v>0</v>
      </c>
      <c r="AB386">
        <v>12</v>
      </c>
      <c r="AC386">
        <v>0</v>
      </c>
      <c r="AD386">
        <v>0</v>
      </c>
      <c r="AE386">
        <v>3</v>
      </c>
      <c r="AF386">
        <v>10</v>
      </c>
      <c r="AG386">
        <v>3</v>
      </c>
      <c r="AH386">
        <v>34</v>
      </c>
    </row>
    <row r="387" spans="1:34" x14ac:dyDescent="0.25">
      <c r="C387">
        <f>SUM(C375:C386)</f>
        <v>420</v>
      </c>
      <c r="D387" t="s">
        <v>60</v>
      </c>
      <c r="E387" t="s">
        <v>14</v>
      </c>
      <c r="F387" t="s">
        <v>15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W387" t="s">
        <v>54</v>
      </c>
      <c r="X387" t="s">
        <v>23</v>
      </c>
      <c r="Y387">
        <v>28</v>
      </c>
      <c r="Z387">
        <v>0</v>
      </c>
      <c r="AA387">
        <v>0</v>
      </c>
      <c r="AB387">
        <v>13</v>
      </c>
      <c r="AC387">
        <v>0</v>
      </c>
      <c r="AD387">
        <v>0</v>
      </c>
      <c r="AE387">
        <v>8</v>
      </c>
      <c r="AF387">
        <v>6</v>
      </c>
      <c r="AG387">
        <v>1</v>
      </c>
      <c r="AH387">
        <v>34</v>
      </c>
    </row>
    <row r="388" spans="1:34" x14ac:dyDescent="0.25">
      <c r="A388" t="s">
        <v>52</v>
      </c>
      <c r="B388" t="str">
        <f>X358</f>
        <v>telisha-gedola</v>
      </c>
      <c r="C388">
        <f t="shared" ref="C388:C398" si="143">SUM(D388:K388)</f>
        <v>1</v>
      </c>
      <c r="D388">
        <f>Z358</f>
        <v>0</v>
      </c>
      <c r="E388">
        <f t="shared" ref="E388:K398" si="144">AA358</f>
        <v>0</v>
      </c>
      <c r="F388">
        <f t="shared" si="144"/>
        <v>0</v>
      </c>
      <c r="G388">
        <f t="shared" si="144"/>
        <v>0</v>
      </c>
      <c r="H388">
        <f t="shared" si="144"/>
        <v>0</v>
      </c>
      <c r="I388">
        <f t="shared" si="144"/>
        <v>0</v>
      </c>
      <c r="J388">
        <f t="shared" si="144"/>
        <v>1</v>
      </c>
      <c r="K388">
        <f t="shared" si="144"/>
        <v>0</v>
      </c>
      <c r="L388" t="b">
        <f t="shared" ref="L388:L398" si="145">SUM(D388:K388)=Y358</f>
        <v>1</v>
      </c>
      <c r="W388" t="s">
        <v>54</v>
      </c>
      <c r="X388" t="s">
        <v>64</v>
      </c>
      <c r="Y388">
        <v>38</v>
      </c>
      <c r="Z388">
        <v>0</v>
      </c>
      <c r="AA388">
        <v>0</v>
      </c>
      <c r="AB388">
        <v>17</v>
      </c>
      <c r="AC388">
        <v>0</v>
      </c>
      <c r="AD388">
        <v>0</v>
      </c>
      <c r="AE388">
        <v>6</v>
      </c>
      <c r="AF388">
        <v>15</v>
      </c>
      <c r="AG388">
        <v>0</v>
      </c>
      <c r="AH388">
        <v>34</v>
      </c>
    </row>
    <row r="389" spans="1:34" x14ac:dyDescent="0.25">
      <c r="A389" t="s">
        <v>52</v>
      </c>
      <c r="B389" t="str">
        <f t="shared" ref="B389:D398" si="146">X359</f>
        <v>tsinnor</v>
      </c>
      <c r="C389">
        <f t="shared" si="143"/>
        <v>1</v>
      </c>
      <c r="D389">
        <f t="shared" si="146"/>
        <v>0</v>
      </c>
      <c r="E389">
        <f t="shared" si="144"/>
        <v>0</v>
      </c>
      <c r="F389">
        <f t="shared" si="144"/>
        <v>0</v>
      </c>
      <c r="G389">
        <f t="shared" si="144"/>
        <v>0</v>
      </c>
      <c r="H389">
        <f t="shared" si="144"/>
        <v>0</v>
      </c>
      <c r="I389">
        <f t="shared" si="144"/>
        <v>0</v>
      </c>
      <c r="J389">
        <f t="shared" si="144"/>
        <v>1</v>
      </c>
      <c r="K389">
        <f t="shared" si="144"/>
        <v>0</v>
      </c>
      <c r="L389" t="b">
        <f t="shared" si="145"/>
        <v>1</v>
      </c>
      <c r="W389" t="s">
        <v>54</v>
      </c>
      <c r="X389" t="s">
        <v>8</v>
      </c>
      <c r="Y389">
        <v>67</v>
      </c>
      <c r="Z389">
        <v>0</v>
      </c>
      <c r="AA389">
        <v>0</v>
      </c>
      <c r="AB389">
        <v>40</v>
      </c>
      <c r="AC389">
        <v>0</v>
      </c>
      <c r="AD389">
        <v>0</v>
      </c>
      <c r="AE389">
        <v>11</v>
      </c>
      <c r="AF389">
        <v>16</v>
      </c>
      <c r="AG389">
        <v>0</v>
      </c>
      <c r="AH389">
        <v>34</v>
      </c>
    </row>
    <row r="390" spans="1:34" x14ac:dyDescent="0.25">
      <c r="A390" t="s">
        <v>52</v>
      </c>
      <c r="B390" t="str">
        <f t="shared" si="146"/>
        <v>segol</v>
      </c>
      <c r="C390">
        <f t="shared" si="143"/>
        <v>1</v>
      </c>
      <c r="D390">
        <f t="shared" si="146"/>
        <v>0</v>
      </c>
      <c r="E390">
        <f t="shared" si="144"/>
        <v>0</v>
      </c>
      <c r="F390">
        <f t="shared" si="144"/>
        <v>0</v>
      </c>
      <c r="G390">
        <f t="shared" si="144"/>
        <v>0</v>
      </c>
      <c r="H390">
        <f t="shared" si="144"/>
        <v>0</v>
      </c>
      <c r="I390">
        <f t="shared" si="144"/>
        <v>0</v>
      </c>
      <c r="J390">
        <f t="shared" si="144"/>
        <v>1</v>
      </c>
      <c r="K390">
        <f t="shared" si="144"/>
        <v>0</v>
      </c>
      <c r="L390" t="b">
        <f t="shared" si="145"/>
        <v>1</v>
      </c>
      <c r="W390" t="s">
        <v>54</v>
      </c>
      <c r="X390" t="s">
        <v>6</v>
      </c>
      <c r="Y390">
        <v>113</v>
      </c>
      <c r="Z390">
        <v>0</v>
      </c>
      <c r="AA390">
        <v>0</v>
      </c>
      <c r="AB390">
        <v>53</v>
      </c>
      <c r="AC390">
        <v>1</v>
      </c>
      <c r="AD390">
        <v>0</v>
      </c>
      <c r="AE390">
        <v>26</v>
      </c>
      <c r="AF390">
        <v>31</v>
      </c>
      <c r="AG390">
        <v>2</v>
      </c>
      <c r="AH390">
        <v>34</v>
      </c>
    </row>
    <row r="391" spans="1:34" x14ac:dyDescent="0.25">
      <c r="A391" t="s">
        <v>52</v>
      </c>
      <c r="B391" t="str">
        <f t="shared" si="146"/>
        <v>zaqef-gadol</v>
      </c>
      <c r="C391">
        <f t="shared" si="143"/>
        <v>1</v>
      </c>
      <c r="D391">
        <f t="shared" si="146"/>
        <v>0</v>
      </c>
      <c r="E391">
        <f t="shared" si="144"/>
        <v>0</v>
      </c>
      <c r="F391">
        <f t="shared" si="144"/>
        <v>0</v>
      </c>
      <c r="G391">
        <f t="shared" si="144"/>
        <v>0</v>
      </c>
      <c r="H391">
        <f t="shared" si="144"/>
        <v>0</v>
      </c>
      <c r="I391">
        <f t="shared" si="144"/>
        <v>0</v>
      </c>
      <c r="J391">
        <f t="shared" si="144"/>
        <v>1</v>
      </c>
      <c r="K391">
        <f t="shared" si="144"/>
        <v>0</v>
      </c>
      <c r="L391" t="b">
        <f t="shared" si="145"/>
        <v>1</v>
      </c>
      <c r="W391" t="s">
        <v>54</v>
      </c>
      <c r="X391" t="s">
        <v>1</v>
      </c>
      <c r="Y391">
        <v>120</v>
      </c>
      <c r="Z391">
        <v>0</v>
      </c>
      <c r="AA391">
        <v>0</v>
      </c>
      <c r="AB391">
        <v>21</v>
      </c>
      <c r="AC391">
        <v>0</v>
      </c>
      <c r="AD391">
        <v>0</v>
      </c>
      <c r="AE391">
        <v>16</v>
      </c>
      <c r="AF391">
        <v>83</v>
      </c>
      <c r="AG391">
        <v>0</v>
      </c>
      <c r="AH391">
        <v>34</v>
      </c>
    </row>
    <row r="392" spans="1:34" x14ac:dyDescent="0.25">
      <c r="A392" t="s">
        <v>52</v>
      </c>
      <c r="B392" t="str">
        <f t="shared" si="146"/>
        <v>tarsin</v>
      </c>
      <c r="C392">
        <f t="shared" si="143"/>
        <v>3</v>
      </c>
      <c r="D392">
        <f t="shared" si="146"/>
        <v>0</v>
      </c>
      <c r="E392">
        <f t="shared" si="144"/>
        <v>0</v>
      </c>
      <c r="F392">
        <f t="shared" si="144"/>
        <v>2</v>
      </c>
      <c r="G392">
        <f t="shared" si="144"/>
        <v>0</v>
      </c>
      <c r="H392">
        <f t="shared" si="144"/>
        <v>0</v>
      </c>
      <c r="I392">
        <f t="shared" si="144"/>
        <v>0</v>
      </c>
      <c r="J392">
        <f t="shared" si="144"/>
        <v>1</v>
      </c>
      <c r="K392">
        <f t="shared" si="144"/>
        <v>0</v>
      </c>
      <c r="L392" t="b">
        <f t="shared" si="145"/>
        <v>1</v>
      </c>
      <c r="W392" t="s">
        <v>54</v>
      </c>
      <c r="X392" t="s">
        <v>24</v>
      </c>
      <c r="Y392">
        <v>277</v>
      </c>
      <c r="Z392">
        <v>0</v>
      </c>
      <c r="AA392">
        <v>0</v>
      </c>
      <c r="AB392">
        <v>41</v>
      </c>
      <c r="AC392">
        <v>5</v>
      </c>
      <c r="AD392">
        <v>0</v>
      </c>
      <c r="AE392">
        <v>19</v>
      </c>
      <c r="AF392">
        <v>45</v>
      </c>
      <c r="AG392">
        <v>167</v>
      </c>
      <c r="AH392">
        <v>34</v>
      </c>
    </row>
    <row r="393" spans="1:34" x14ac:dyDescent="0.25">
      <c r="A393" t="s">
        <v>52</v>
      </c>
      <c r="B393" t="str">
        <f t="shared" si="146"/>
        <v>telisha-qetana</v>
      </c>
      <c r="C393">
        <f t="shared" si="143"/>
        <v>3</v>
      </c>
      <c r="D393">
        <f t="shared" si="146"/>
        <v>0</v>
      </c>
      <c r="E393">
        <f t="shared" si="144"/>
        <v>0</v>
      </c>
      <c r="F393">
        <f t="shared" si="144"/>
        <v>3</v>
      </c>
      <c r="G393">
        <f t="shared" si="144"/>
        <v>0</v>
      </c>
      <c r="H393">
        <f t="shared" si="144"/>
        <v>0</v>
      </c>
      <c r="I393">
        <f t="shared" si="144"/>
        <v>0</v>
      </c>
      <c r="J393">
        <f t="shared" si="144"/>
        <v>0</v>
      </c>
      <c r="K393">
        <f t="shared" si="144"/>
        <v>0</v>
      </c>
      <c r="L393" t="b">
        <f t="shared" si="145"/>
        <v>1</v>
      </c>
      <c r="W393" t="s">
        <v>54</v>
      </c>
      <c r="X393" t="s">
        <v>66</v>
      </c>
      <c r="Y393">
        <v>284</v>
      </c>
      <c r="Z393">
        <v>0</v>
      </c>
      <c r="AA393">
        <v>0</v>
      </c>
      <c r="AB393">
        <v>24</v>
      </c>
      <c r="AC393">
        <v>3</v>
      </c>
      <c r="AD393">
        <v>0</v>
      </c>
      <c r="AE393">
        <v>6</v>
      </c>
      <c r="AF393">
        <v>196</v>
      </c>
      <c r="AG393">
        <v>55</v>
      </c>
      <c r="AH393">
        <v>34</v>
      </c>
    </row>
    <row r="394" spans="1:34" x14ac:dyDescent="0.25">
      <c r="A394" t="s">
        <v>52</v>
      </c>
      <c r="B394" t="str">
        <f t="shared" si="146"/>
        <v>azla</v>
      </c>
      <c r="C394">
        <f t="shared" si="143"/>
        <v>8</v>
      </c>
      <c r="D394">
        <f t="shared" si="146"/>
        <v>0</v>
      </c>
      <c r="E394">
        <f t="shared" si="144"/>
        <v>0</v>
      </c>
      <c r="F394">
        <f t="shared" si="144"/>
        <v>7</v>
      </c>
      <c r="G394">
        <f t="shared" si="144"/>
        <v>0</v>
      </c>
      <c r="H394">
        <f t="shared" si="144"/>
        <v>0</v>
      </c>
      <c r="I394">
        <f t="shared" si="144"/>
        <v>0</v>
      </c>
      <c r="J394">
        <f t="shared" si="144"/>
        <v>0</v>
      </c>
      <c r="K394">
        <f t="shared" si="144"/>
        <v>1</v>
      </c>
      <c r="L394" t="b">
        <f t="shared" si="145"/>
        <v>1</v>
      </c>
      <c r="W394" t="s">
        <v>55</v>
      </c>
      <c r="X394" t="s">
        <v>22</v>
      </c>
      <c r="Y394">
        <v>21</v>
      </c>
      <c r="Z394">
        <v>0</v>
      </c>
      <c r="AA394">
        <v>0</v>
      </c>
      <c r="AB394">
        <v>5</v>
      </c>
      <c r="AC394">
        <v>0</v>
      </c>
      <c r="AD394">
        <v>0</v>
      </c>
      <c r="AE394">
        <v>0</v>
      </c>
      <c r="AF394">
        <v>16</v>
      </c>
      <c r="AG394">
        <v>0</v>
      </c>
      <c r="AH394">
        <v>35</v>
      </c>
    </row>
    <row r="395" spans="1:34" x14ac:dyDescent="0.25">
      <c r="A395" t="s">
        <v>52</v>
      </c>
      <c r="B395" t="str">
        <f t="shared" si="146"/>
        <v>revia</v>
      </c>
      <c r="C395">
        <f t="shared" si="143"/>
        <v>26</v>
      </c>
      <c r="D395">
        <f t="shared" si="146"/>
        <v>0</v>
      </c>
      <c r="E395">
        <f t="shared" si="144"/>
        <v>0</v>
      </c>
      <c r="F395">
        <f t="shared" si="144"/>
        <v>10</v>
      </c>
      <c r="G395">
        <f t="shared" si="144"/>
        <v>0</v>
      </c>
      <c r="H395">
        <f t="shared" si="144"/>
        <v>0</v>
      </c>
      <c r="I395">
        <f t="shared" si="144"/>
        <v>0</v>
      </c>
      <c r="J395">
        <f t="shared" si="144"/>
        <v>16</v>
      </c>
      <c r="K395">
        <f t="shared" si="144"/>
        <v>0</v>
      </c>
      <c r="L395" t="b">
        <f t="shared" si="145"/>
        <v>1</v>
      </c>
      <c r="W395" t="s">
        <v>55</v>
      </c>
      <c r="X395" t="s">
        <v>4</v>
      </c>
      <c r="Y395">
        <v>22</v>
      </c>
      <c r="Z395">
        <v>0</v>
      </c>
      <c r="AA395">
        <v>0</v>
      </c>
      <c r="AB395">
        <v>6</v>
      </c>
      <c r="AC395">
        <v>2</v>
      </c>
      <c r="AD395">
        <v>0</v>
      </c>
      <c r="AE395">
        <v>0</v>
      </c>
      <c r="AF395">
        <v>14</v>
      </c>
      <c r="AG395">
        <v>0</v>
      </c>
      <c r="AH395">
        <v>35</v>
      </c>
    </row>
    <row r="396" spans="1:34" x14ac:dyDescent="0.25">
      <c r="A396" t="s">
        <v>52</v>
      </c>
      <c r="B396" t="str">
        <f t="shared" si="146"/>
        <v>qadma</v>
      </c>
      <c r="C396">
        <f t="shared" si="143"/>
        <v>31</v>
      </c>
      <c r="D396">
        <f t="shared" si="146"/>
        <v>0</v>
      </c>
      <c r="E396">
        <f t="shared" si="144"/>
        <v>0</v>
      </c>
      <c r="F396">
        <f t="shared" si="144"/>
        <v>25</v>
      </c>
      <c r="G396">
        <f t="shared" si="144"/>
        <v>0</v>
      </c>
      <c r="H396">
        <f t="shared" si="144"/>
        <v>0</v>
      </c>
      <c r="I396">
        <f t="shared" si="144"/>
        <v>4</v>
      </c>
      <c r="J396">
        <f t="shared" si="144"/>
        <v>1</v>
      </c>
      <c r="K396">
        <f t="shared" si="144"/>
        <v>1</v>
      </c>
      <c r="L396" t="b">
        <f t="shared" si="145"/>
        <v>1</v>
      </c>
      <c r="W396" t="s">
        <v>55</v>
      </c>
      <c r="X396" t="s">
        <v>63</v>
      </c>
      <c r="Y396">
        <v>34</v>
      </c>
      <c r="Z396">
        <v>0</v>
      </c>
      <c r="AA396">
        <v>0</v>
      </c>
      <c r="AB396">
        <v>16</v>
      </c>
      <c r="AC396">
        <v>0</v>
      </c>
      <c r="AD396">
        <v>0</v>
      </c>
      <c r="AE396">
        <v>3</v>
      </c>
      <c r="AF396">
        <v>15</v>
      </c>
      <c r="AG396">
        <v>0</v>
      </c>
      <c r="AH396">
        <v>35</v>
      </c>
    </row>
    <row r="397" spans="1:34" x14ac:dyDescent="0.25">
      <c r="A397" t="s">
        <v>52</v>
      </c>
      <c r="B397" t="str">
        <f t="shared" si="146"/>
        <v>zaqef-qatan</v>
      </c>
      <c r="C397">
        <f t="shared" si="143"/>
        <v>199</v>
      </c>
      <c r="D397">
        <f t="shared" si="146"/>
        <v>0</v>
      </c>
      <c r="E397">
        <f t="shared" si="144"/>
        <v>0</v>
      </c>
      <c r="F397">
        <f t="shared" si="144"/>
        <v>31</v>
      </c>
      <c r="G397">
        <f t="shared" si="144"/>
        <v>2</v>
      </c>
      <c r="H397">
        <f t="shared" si="144"/>
        <v>0</v>
      </c>
      <c r="I397">
        <f t="shared" si="144"/>
        <v>4</v>
      </c>
      <c r="J397">
        <f t="shared" si="144"/>
        <v>102</v>
      </c>
      <c r="K397">
        <f t="shared" si="144"/>
        <v>60</v>
      </c>
      <c r="L397" t="b">
        <f t="shared" si="145"/>
        <v>1</v>
      </c>
      <c r="W397" t="s">
        <v>55</v>
      </c>
      <c r="X397" t="s">
        <v>65</v>
      </c>
      <c r="Y397">
        <v>40</v>
      </c>
      <c r="Z397">
        <v>0</v>
      </c>
      <c r="AA397">
        <v>0</v>
      </c>
      <c r="AB397">
        <v>5</v>
      </c>
      <c r="AC397">
        <v>0</v>
      </c>
      <c r="AD397">
        <v>0</v>
      </c>
      <c r="AE397">
        <v>18</v>
      </c>
      <c r="AF397">
        <v>15</v>
      </c>
      <c r="AG397">
        <v>2</v>
      </c>
      <c r="AH397">
        <v>35</v>
      </c>
    </row>
    <row r="398" spans="1:34" x14ac:dyDescent="0.25">
      <c r="A398" t="s">
        <v>52</v>
      </c>
      <c r="B398" t="str">
        <f t="shared" si="146"/>
        <v>pashta</v>
      </c>
      <c r="C398">
        <f t="shared" si="143"/>
        <v>216</v>
      </c>
      <c r="D398">
        <f t="shared" si="146"/>
        <v>0</v>
      </c>
      <c r="E398">
        <f t="shared" si="144"/>
        <v>0</v>
      </c>
      <c r="F398">
        <f t="shared" si="144"/>
        <v>59</v>
      </c>
      <c r="G398">
        <f t="shared" si="144"/>
        <v>3</v>
      </c>
      <c r="H398">
        <f t="shared" si="144"/>
        <v>0</v>
      </c>
      <c r="I398">
        <f t="shared" si="144"/>
        <v>14</v>
      </c>
      <c r="J398">
        <f t="shared" si="144"/>
        <v>14</v>
      </c>
      <c r="K398">
        <f t="shared" si="144"/>
        <v>126</v>
      </c>
      <c r="L398" t="b">
        <f t="shared" si="145"/>
        <v>1</v>
      </c>
      <c r="W398" t="s">
        <v>55</v>
      </c>
      <c r="X398" t="s">
        <v>23</v>
      </c>
      <c r="Y398">
        <v>41</v>
      </c>
      <c r="Z398">
        <v>0</v>
      </c>
      <c r="AA398">
        <v>0</v>
      </c>
      <c r="AB398">
        <v>27</v>
      </c>
      <c r="AC398">
        <v>0</v>
      </c>
      <c r="AD398">
        <v>0</v>
      </c>
      <c r="AE398">
        <v>7</v>
      </c>
      <c r="AF398">
        <v>7</v>
      </c>
      <c r="AG398">
        <v>0</v>
      </c>
      <c r="AH398">
        <v>35</v>
      </c>
    </row>
    <row r="399" spans="1:34" x14ac:dyDescent="0.25">
      <c r="C399">
        <f>SUM(C388:C398)</f>
        <v>490</v>
      </c>
      <c r="D399" t="s">
        <v>60</v>
      </c>
      <c r="E399" t="s">
        <v>14</v>
      </c>
      <c r="F399" t="s">
        <v>15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W399" t="s">
        <v>55</v>
      </c>
      <c r="X399" t="s">
        <v>64</v>
      </c>
      <c r="Y399">
        <v>43</v>
      </c>
      <c r="Z399">
        <v>0</v>
      </c>
      <c r="AA399">
        <v>0</v>
      </c>
      <c r="AB399">
        <v>13</v>
      </c>
      <c r="AC399">
        <v>0</v>
      </c>
      <c r="AD399">
        <v>0</v>
      </c>
      <c r="AE399">
        <v>6</v>
      </c>
      <c r="AF399">
        <v>24</v>
      </c>
      <c r="AG399">
        <v>0</v>
      </c>
      <c r="AH399">
        <v>35</v>
      </c>
    </row>
    <row r="400" spans="1:34" x14ac:dyDescent="0.25">
      <c r="A400" t="s">
        <v>53</v>
      </c>
      <c r="B400" t="str">
        <f>X369</f>
        <v>segol</v>
      </c>
      <c r="C400">
        <f t="shared" ref="C400:C411" si="147">SUM(D400:K400)</f>
        <v>2</v>
      </c>
      <c r="D400">
        <f t="shared" ref="D400:K411" si="148">Z369</f>
        <v>0</v>
      </c>
      <c r="E400">
        <f t="shared" si="148"/>
        <v>0</v>
      </c>
      <c r="F400">
        <f t="shared" si="148"/>
        <v>0</v>
      </c>
      <c r="G400">
        <f t="shared" si="148"/>
        <v>0</v>
      </c>
      <c r="H400">
        <f t="shared" si="148"/>
        <v>0</v>
      </c>
      <c r="I400">
        <f t="shared" si="148"/>
        <v>0</v>
      </c>
      <c r="J400">
        <f t="shared" si="148"/>
        <v>2</v>
      </c>
      <c r="K400">
        <f t="shared" si="148"/>
        <v>0</v>
      </c>
      <c r="L400" t="b">
        <f t="shared" ref="L400:L411" si="149">SUM(D400:K400)=Y369</f>
        <v>1</v>
      </c>
      <c r="W400" t="s">
        <v>55</v>
      </c>
      <c r="X400" t="s">
        <v>5</v>
      </c>
      <c r="Y400">
        <v>43</v>
      </c>
      <c r="Z400">
        <v>0</v>
      </c>
      <c r="AA400">
        <v>0</v>
      </c>
      <c r="AB400">
        <v>16</v>
      </c>
      <c r="AC400">
        <v>0</v>
      </c>
      <c r="AD400">
        <v>0</v>
      </c>
      <c r="AE400">
        <v>3</v>
      </c>
      <c r="AF400">
        <v>24</v>
      </c>
      <c r="AG400">
        <v>0</v>
      </c>
      <c r="AH400">
        <v>35</v>
      </c>
    </row>
    <row r="401" spans="1:34" x14ac:dyDescent="0.25">
      <c r="A401" t="s">
        <v>53</v>
      </c>
      <c r="B401" t="str">
        <f t="shared" ref="B401:B411" si="150">X370</f>
        <v>tsinnor</v>
      </c>
      <c r="C401">
        <f t="shared" si="147"/>
        <v>2</v>
      </c>
      <c r="D401">
        <f t="shared" si="148"/>
        <v>0</v>
      </c>
      <c r="E401">
        <f t="shared" si="148"/>
        <v>0</v>
      </c>
      <c r="F401">
        <f t="shared" si="148"/>
        <v>2</v>
      </c>
      <c r="G401">
        <f t="shared" si="148"/>
        <v>0</v>
      </c>
      <c r="H401">
        <f t="shared" si="148"/>
        <v>0</v>
      </c>
      <c r="I401">
        <f t="shared" si="148"/>
        <v>0</v>
      </c>
      <c r="J401">
        <f t="shared" si="148"/>
        <v>0</v>
      </c>
      <c r="K401">
        <f t="shared" si="148"/>
        <v>0</v>
      </c>
      <c r="L401" t="b">
        <f t="shared" si="149"/>
        <v>1</v>
      </c>
      <c r="W401" t="s">
        <v>55</v>
      </c>
      <c r="X401" t="s">
        <v>8</v>
      </c>
      <c r="Y401">
        <v>101</v>
      </c>
      <c r="Z401">
        <v>0</v>
      </c>
      <c r="AA401">
        <v>0</v>
      </c>
      <c r="AB401">
        <v>57</v>
      </c>
      <c r="AC401">
        <v>0</v>
      </c>
      <c r="AD401">
        <v>0</v>
      </c>
      <c r="AE401">
        <v>25</v>
      </c>
      <c r="AF401">
        <v>19</v>
      </c>
      <c r="AG401">
        <v>0</v>
      </c>
      <c r="AH401">
        <v>35</v>
      </c>
    </row>
    <row r="402" spans="1:34" x14ac:dyDescent="0.25">
      <c r="A402" t="s">
        <v>53</v>
      </c>
      <c r="B402" t="str">
        <f t="shared" si="150"/>
        <v>pazer</v>
      </c>
      <c r="C402">
        <f t="shared" si="147"/>
        <v>6</v>
      </c>
      <c r="D402">
        <f t="shared" si="148"/>
        <v>0</v>
      </c>
      <c r="E402">
        <f t="shared" si="148"/>
        <v>0</v>
      </c>
      <c r="F402">
        <f t="shared" si="148"/>
        <v>3</v>
      </c>
      <c r="G402">
        <f t="shared" si="148"/>
        <v>0</v>
      </c>
      <c r="H402">
        <f t="shared" si="148"/>
        <v>0</v>
      </c>
      <c r="I402">
        <f t="shared" si="148"/>
        <v>1</v>
      </c>
      <c r="J402">
        <f t="shared" si="148"/>
        <v>2</v>
      </c>
      <c r="K402">
        <f t="shared" si="148"/>
        <v>0</v>
      </c>
      <c r="L402" t="b">
        <f t="shared" si="149"/>
        <v>1</v>
      </c>
      <c r="W402" t="s">
        <v>55</v>
      </c>
      <c r="X402" t="s">
        <v>6</v>
      </c>
      <c r="Y402">
        <v>151</v>
      </c>
      <c r="Z402">
        <v>0</v>
      </c>
      <c r="AA402">
        <v>0</v>
      </c>
      <c r="AB402">
        <v>61</v>
      </c>
      <c r="AC402">
        <v>1</v>
      </c>
      <c r="AD402">
        <v>0</v>
      </c>
      <c r="AE402">
        <v>35</v>
      </c>
      <c r="AF402">
        <v>49</v>
      </c>
      <c r="AG402">
        <v>5</v>
      </c>
      <c r="AH402">
        <v>35</v>
      </c>
    </row>
    <row r="403" spans="1:34" x14ac:dyDescent="0.25">
      <c r="A403" t="s">
        <v>53</v>
      </c>
      <c r="B403" t="str">
        <f t="shared" si="150"/>
        <v>telisha-gedola</v>
      </c>
      <c r="C403">
        <f t="shared" si="147"/>
        <v>9</v>
      </c>
      <c r="D403">
        <f t="shared" si="148"/>
        <v>0</v>
      </c>
      <c r="E403">
        <f t="shared" si="148"/>
        <v>0</v>
      </c>
      <c r="F403">
        <f t="shared" si="148"/>
        <v>7</v>
      </c>
      <c r="G403">
        <f t="shared" si="148"/>
        <v>0</v>
      </c>
      <c r="H403">
        <f t="shared" si="148"/>
        <v>0</v>
      </c>
      <c r="I403">
        <f t="shared" si="148"/>
        <v>0</v>
      </c>
      <c r="J403">
        <f t="shared" si="148"/>
        <v>2</v>
      </c>
      <c r="K403">
        <f t="shared" si="148"/>
        <v>0</v>
      </c>
      <c r="L403" t="b">
        <f t="shared" si="149"/>
        <v>1</v>
      </c>
      <c r="W403" t="s">
        <v>55</v>
      </c>
      <c r="X403" t="s">
        <v>1</v>
      </c>
      <c r="Y403">
        <v>248</v>
      </c>
      <c r="Z403">
        <v>0</v>
      </c>
      <c r="AA403">
        <v>0</v>
      </c>
      <c r="AB403">
        <v>59</v>
      </c>
      <c r="AC403">
        <v>0</v>
      </c>
      <c r="AD403">
        <v>0</v>
      </c>
      <c r="AE403">
        <v>24</v>
      </c>
      <c r="AF403">
        <v>165</v>
      </c>
      <c r="AG403">
        <v>0</v>
      </c>
      <c r="AH403">
        <v>35</v>
      </c>
    </row>
    <row r="404" spans="1:34" x14ac:dyDescent="0.25">
      <c r="A404" t="s">
        <v>53</v>
      </c>
      <c r="B404" t="str">
        <f t="shared" si="150"/>
        <v>tarsin</v>
      </c>
      <c r="C404">
        <f t="shared" si="147"/>
        <v>14</v>
      </c>
      <c r="D404">
        <f t="shared" si="148"/>
        <v>0</v>
      </c>
      <c r="E404">
        <f t="shared" si="148"/>
        <v>0</v>
      </c>
      <c r="F404">
        <f t="shared" si="148"/>
        <v>3</v>
      </c>
      <c r="G404">
        <f t="shared" si="148"/>
        <v>0</v>
      </c>
      <c r="H404">
        <f t="shared" si="148"/>
        <v>0</v>
      </c>
      <c r="I404">
        <f t="shared" si="148"/>
        <v>8</v>
      </c>
      <c r="J404">
        <f t="shared" si="148"/>
        <v>3</v>
      </c>
      <c r="K404">
        <f t="shared" si="148"/>
        <v>0</v>
      </c>
      <c r="L404" t="b">
        <f t="shared" si="149"/>
        <v>1</v>
      </c>
      <c r="W404" t="s">
        <v>55</v>
      </c>
      <c r="X404" t="s">
        <v>24</v>
      </c>
      <c r="Y404">
        <v>605</v>
      </c>
      <c r="Z404">
        <v>0</v>
      </c>
      <c r="AA404">
        <v>0</v>
      </c>
      <c r="AB404">
        <v>160</v>
      </c>
      <c r="AC404">
        <v>7</v>
      </c>
      <c r="AD404">
        <v>0</v>
      </c>
      <c r="AE404">
        <v>66</v>
      </c>
      <c r="AF404">
        <v>94</v>
      </c>
      <c r="AG404">
        <v>278</v>
      </c>
      <c r="AH404">
        <v>35</v>
      </c>
    </row>
    <row r="405" spans="1:34" x14ac:dyDescent="0.25">
      <c r="A405" t="s">
        <v>53</v>
      </c>
      <c r="B405" t="str">
        <f t="shared" si="150"/>
        <v>telisha-qetana</v>
      </c>
      <c r="C405">
        <f t="shared" si="147"/>
        <v>16</v>
      </c>
      <c r="D405">
        <f t="shared" si="148"/>
        <v>0</v>
      </c>
      <c r="E405">
        <f t="shared" si="148"/>
        <v>0</v>
      </c>
      <c r="F405">
        <f t="shared" si="148"/>
        <v>6</v>
      </c>
      <c r="G405">
        <f t="shared" si="148"/>
        <v>0</v>
      </c>
      <c r="H405">
        <f t="shared" si="148"/>
        <v>0</v>
      </c>
      <c r="I405">
        <f t="shared" si="148"/>
        <v>3</v>
      </c>
      <c r="J405">
        <f t="shared" si="148"/>
        <v>7</v>
      </c>
      <c r="K405">
        <f t="shared" si="148"/>
        <v>0</v>
      </c>
      <c r="L405" t="b">
        <f t="shared" si="149"/>
        <v>1</v>
      </c>
      <c r="W405" t="s">
        <v>55</v>
      </c>
      <c r="X405" t="s">
        <v>66</v>
      </c>
      <c r="Y405">
        <v>629</v>
      </c>
      <c r="Z405">
        <v>0</v>
      </c>
      <c r="AA405">
        <v>0</v>
      </c>
      <c r="AB405">
        <v>86</v>
      </c>
      <c r="AC405">
        <v>4</v>
      </c>
      <c r="AD405">
        <v>0</v>
      </c>
      <c r="AE405">
        <v>14</v>
      </c>
      <c r="AF405">
        <v>428</v>
      </c>
      <c r="AG405">
        <v>97</v>
      </c>
      <c r="AH405">
        <v>35</v>
      </c>
    </row>
    <row r="406" spans="1:34" x14ac:dyDescent="0.25">
      <c r="A406" t="s">
        <v>53</v>
      </c>
      <c r="B406" t="str">
        <f t="shared" si="150"/>
        <v>zaqef-gadol</v>
      </c>
      <c r="C406">
        <f t="shared" si="147"/>
        <v>18</v>
      </c>
      <c r="D406">
        <f t="shared" si="148"/>
        <v>0</v>
      </c>
      <c r="E406">
        <f t="shared" si="148"/>
        <v>0</v>
      </c>
      <c r="F406">
        <f t="shared" si="148"/>
        <v>6</v>
      </c>
      <c r="G406">
        <f t="shared" si="148"/>
        <v>0</v>
      </c>
      <c r="H406">
        <f t="shared" si="148"/>
        <v>0</v>
      </c>
      <c r="I406">
        <f t="shared" si="148"/>
        <v>8</v>
      </c>
      <c r="J406">
        <f t="shared" si="148"/>
        <v>3</v>
      </c>
      <c r="K406">
        <f t="shared" si="148"/>
        <v>1</v>
      </c>
      <c r="L406" t="b">
        <f t="shared" si="149"/>
        <v>1</v>
      </c>
      <c r="W406" t="s">
        <v>56</v>
      </c>
      <c r="X406" t="s">
        <v>11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36</v>
      </c>
    </row>
    <row r="407" spans="1:34" x14ac:dyDescent="0.25">
      <c r="A407" t="s">
        <v>53</v>
      </c>
      <c r="B407" t="str">
        <f t="shared" si="150"/>
        <v>azla</v>
      </c>
      <c r="C407">
        <f t="shared" si="147"/>
        <v>27</v>
      </c>
      <c r="D407">
        <f t="shared" si="148"/>
        <v>0</v>
      </c>
      <c r="E407">
        <f t="shared" si="148"/>
        <v>0</v>
      </c>
      <c r="F407">
        <f t="shared" si="148"/>
        <v>16</v>
      </c>
      <c r="G407">
        <f t="shared" si="148"/>
        <v>0</v>
      </c>
      <c r="H407">
        <f t="shared" si="148"/>
        <v>0</v>
      </c>
      <c r="I407">
        <f t="shared" si="148"/>
        <v>3</v>
      </c>
      <c r="J407">
        <f t="shared" si="148"/>
        <v>8</v>
      </c>
      <c r="K407">
        <f t="shared" si="148"/>
        <v>0</v>
      </c>
      <c r="L407" t="b">
        <f t="shared" si="149"/>
        <v>1</v>
      </c>
      <c r="W407" t="s">
        <v>56</v>
      </c>
      <c r="X407" t="s">
        <v>72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36</v>
      </c>
    </row>
    <row r="408" spans="1:34" x14ac:dyDescent="0.25">
      <c r="A408" t="s">
        <v>53</v>
      </c>
      <c r="B408" t="str">
        <f t="shared" si="150"/>
        <v>qadma</v>
      </c>
      <c r="C408">
        <f t="shared" si="147"/>
        <v>58</v>
      </c>
      <c r="D408">
        <f t="shared" si="148"/>
        <v>0</v>
      </c>
      <c r="E408">
        <f t="shared" si="148"/>
        <v>0</v>
      </c>
      <c r="F408">
        <f t="shared" si="148"/>
        <v>29</v>
      </c>
      <c r="G408">
        <f t="shared" si="148"/>
        <v>2</v>
      </c>
      <c r="H408">
        <f t="shared" si="148"/>
        <v>0</v>
      </c>
      <c r="I408">
        <f t="shared" si="148"/>
        <v>11</v>
      </c>
      <c r="J408">
        <f t="shared" si="148"/>
        <v>15</v>
      </c>
      <c r="K408">
        <f t="shared" si="148"/>
        <v>1</v>
      </c>
      <c r="L408" t="b">
        <f t="shared" si="149"/>
        <v>1</v>
      </c>
      <c r="W408" t="s">
        <v>56</v>
      </c>
      <c r="X408" t="s">
        <v>22</v>
      </c>
      <c r="Y408">
        <v>16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15</v>
      </c>
      <c r="AG408">
        <v>0</v>
      </c>
      <c r="AH408">
        <v>36</v>
      </c>
    </row>
    <row r="409" spans="1:34" x14ac:dyDescent="0.25">
      <c r="A409" t="s">
        <v>53</v>
      </c>
      <c r="B409" t="str">
        <f t="shared" si="150"/>
        <v>revia</v>
      </c>
      <c r="C409">
        <f t="shared" si="147"/>
        <v>63</v>
      </c>
      <c r="D409">
        <f t="shared" si="148"/>
        <v>0</v>
      </c>
      <c r="E409">
        <f t="shared" si="148"/>
        <v>0</v>
      </c>
      <c r="F409">
        <f t="shared" si="148"/>
        <v>20</v>
      </c>
      <c r="G409">
        <f t="shared" si="148"/>
        <v>0</v>
      </c>
      <c r="H409">
        <f t="shared" si="148"/>
        <v>0</v>
      </c>
      <c r="I409">
        <f t="shared" si="148"/>
        <v>6</v>
      </c>
      <c r="J409">
        <f t="shared" si="148"/>
        <v>36</v>
      </c>
      <c r="K409">
        <f t="shared" si="148"/>
        <v>1</v>
      </c>
      <c r="L409" t="b">
        <f t="shared" si="149"/>
        <v>1</v>
      </c>
      <c r="W409" t="s">
        <v>56</v>
      </c>
      <c r="X409" t="s">
        <v>4</v>
      </c>
      <c r="Y409">
        <v>16</v>
      </c>
      <c r="Z409">
        <v>0</v>
      </c>
      <c r="AA409">
        <v>0</v>
      </c>
      <c r="AB409">
        <v>10</v>
      </c>
      <c r="AC409">
        <v>0</v>
      </c>
      <c r="AD409">
        <v>0</v>
      </c>
      <c r="AE409">
        <v>0</v>
      </c>
      <c r="AF409">
        <v>6</v>
      </c>
      <c r="AG409">
        <v>0</v>
      </c>
      <c r="AH409">
        <v>36</v>
      </c>
    </row>
    <row r="410" spans="1:34" x14ac:dyDescent="0.25">
      <c r="A410" t="s">
        <v>53</v>
      </c>
      <c r="B410" t="str">
        <f t="shared" si="150"/>
        <v>pashta</v>
      </c>
      <c r="C410">
        <f t="shared" si="147"/>
        <v>243</v>
      </c>
      <c r="D410">
        <f t="shared" si="148"/>
        <v>0</v>
      </c>
      <c r="E410">
        <f t="shared" si="148"/>
        <v>0</v>
      </c>
      <c r="F410">
        <f t="shared" si="148"/>
        <v>73</v>
      </c>
      <c r="G410">
        <f t="shared" si="148"/>
        <v>16</v>
      </c>
      <c r="H410">
        <f t="shared" si="148"/>
        <v>0</v>
      </c>
      <c r="I410">
        <f t="shared" si="148"/>
        <v>21</v>
      </c>
      <c r="J410">
        <f t="shared" si="148"/>
        <v>13</v>
      </c>
      <c r="K410">
        <f t="shared" si="148"/>
        <v>120</v>
      </c>
      <c r="L410" t="b">
        <f t="shared" si="149"/>
        <v>1</v>
      </c>
      <c r="W410" t="s">
        <v>56</v>
      </c>
      <c r="X410" t="s">
        <v>5</v>
      </c>
      <c r="Y410">
        <v>21</v>
      </c>
      <c r="Z410">
        <v>0</v>
      </c>
      <c r="AA410">
        <v>0</v>
      </c>
      <c r="AB410">
        <v>9</v>
      </c>
      <c r="AC410">
        <v>0</v>
      </c>
      <c r="AD410">
        <v>0</v>
      </c>
      <c r="AE410">
        <v>4</v>
      </c>
      <c r="AF410">
        <v>8</v>
      </c>
      <c r="AG410">
        <v>0</v>
      </c>
      <c r="AH410">
        <v>36</v>
      </c>
    </row>
    <row r="411" spans="1:34" x14ac:dyDescent="0.25">
      <c r="A411" t="s">
        <v>53</v>
      </c>
      <c r="B411" t="str">
        <f t="shared" si="150"/>
        <v>zaqef-qatan</v>
      </c>
      <c r="C411">
        <f t="shared" si="147"/>
        <v>269</v>
      </c>
      <c r="D411">
        <f t="shared" si="148"/>
        <v>0</v>
      </c>
      <c r="E411">
        <f t="shared" si="148"/>
        <v>0</v>
      </c>
      <c r="F411">
        <f t="shared" si="148"/>
        <v>43</v>
      </c>
      <c r="G411">
        <f t="shared" si="148"/>
        <v>4</v>
      </c>
      <c r="H411">
        <f t="shared" si="148"/>
        <v>0</v>
      </c>
      <c r="I411">
        <f t="shared" si="148"/>
        <v>5</v>
      </c>
      <c r="J411">
        <f t="shared" si="148"/>
        <v>185</v>
      </c>
      <c r="K411">
        <f t="shared" si="148"/>
        <v>32</v>
      </c>
      <c r="L411" t="b">
        <f t="shared" si="149"/>
        <v>1</v>
      </c>
      <c r="W411" t="s">
        <v>56</v>
      </c>
      <c r="X411" t="s">
        <v>64</v>
      </c>
      <c r="Y411">
        <v>29</v>
      </c>
      <c r="Z411">
        <v>0</v>
      </c>
      <c r="AA411">
        <v>0</v>
      </c>
      <c r="AB411">
        <v>12</v>
      </c>
      <c r="AC411">
        <v>0</v>
      </c>
      <c r="AD411">
        <v>0</v>
      </c>
      <c r="AE411">
        <v>7</v>
      </c>
      <c r="AF411">
        <v>10</v>
      </c>
      <c r="AG411">
        <v>0</v>
      </c>
      <c r="AH411">
        <v>36</v>
      </c>
    </row>
    <row r="412" spans="1:34" x14ac:dyDescent="0.25">
      <c r="C412">
        <f>SUM(C400:C411)</f>
        <v>727</v>
      </c>
      <c r="D412" t="s">
        <v>60</v>
      </c>
      <c r="E412" t="s">
        <v>14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W412" t="s">
        <v>56</v>
      </c>
      <c r="X412" t="s">
        <v>65</v>
      </c>
      <c r="Y412">
        <v>34</v>
      </c>
      <c r="Z412">
        <v>0</v>
      </c>
      <c r="AA412">
        <v>0</v>
      </c>
      <c r="AB412">
        <v>5</v>
      </c>
      <c r="AC412">
        <v>0</v>
      </c>
      <c r="AD412">
        <v>0</v>
      </c>
      <c r="AE412">
        <v>14</v>
      </c>
      <c r="AF412">
        <v>12</v>
      </c>
      <c r="AG412">
        <v>3</v>
      </c>
      <c r="AH412">
        <v>36</v>
      </c>
    </row>
    <row r="413" spans="1:34" x14ac:dyDescent="0.25">
      <c r="A413" t="s">
        <v>54</v>
      </c>
      <c r="B413" t="str">
        <f>X381</f>
        <v>qarne-farah</v>
      </c>
      <c r="C413">
        <f t="shared" ref="C413:K425" si="151">Y381</f>
        <v>1</v>
      </c>
      <c r="D413">
        <f t="shared" si="151"/>
        <v>0</v>
      </c>
      <c r="E413">
        <f t="shared" si="151"/>
        <v>1</v>
      </c>
      <c r="F413">
        <f t="shared" si="151"/>
        <v>0</v>
      </c>
      <c r="G413">
        <f t="shared" si="151"/>
        <v>0</v>
      </c>
      <c r="H413">
        <f t="shared" si="151"/>
        <v>0</v>
      </c>
      <c r="I413">
        <f t="shared" si="151"/>
        <v>0</v>
      </c>
      <c r="J413">
        <f t="shared" si="151"/>
        <v>0</v>
      </c>
      <c r="K413">
        <f t="shared" si="151"/>
        <v>0</v>
      </c>
      <c r="L413" t="b">
        <f t="shared" ref="L413:L425" si="152">SUM(D413:K413)=Y381</f>
        <v>1</v>
      </c>
      <c r="W413" t="s">
        <v>56</v>
      </c>
      <c r="X413" t="s">
        <v>23</v>
      </c>
      <c r="Y413">
        <v>34</v>
      </c>
      <c r="Z413">
        <v>0</v>
      </c>
      <c r="AA413">
        <v>1</v>
      </c>
      <c r="AB413">
        <v>21</v>
      </c>
      <c r="AC413">
        <v>0</v>
      </c>
      <c r="AD413">
        <v>0</v>
      </c>
      <c r="AE413">
        <v>7</v>
      </c>
      <c r="AF413">
        <v>5</v>
      </c>
      <c r="AG413">
        <v>0</v>
      </c>
      <c r="AH413">
        <v>36</v>
      </c>
    </row>
    <row r="414" spans="1:34" x14ac:dyDescent="0.25">
      <c r="A414" t="s">
        <v>54</v>
      </c>
      <c r="B414" t="str">
        <f t="shared" ref="B414:B425" si="153">X382</f>
        <v>segol</v>
      </c>
      <c r="C414">
        <f t="shared" si="151"/>
        <v>13</v>
      </c>
      <c r="D414">
        <f t="shared" si="151"/>
        <v>0</v>
      </c>
      <c r="E414">
        <f t="shared" si="151"/>
        <v>0</v>
      </c>
      <c r="F414">
        <f t="shared" si="151"/>
        <v>3</v>
      </c>
      <c r="G414">
        <f t="shared" si="151"/>
        <v>0</v>
      </c>
      <c r="H414">
        <f t="shared" si="151"/>
        <v>0</v>
      </c>
      <c r="I414">
        <f t="shared" si="151"/>
        <v>0</v>
      </c>
      <c r="J414">
        <f t="shared" si="151"/>
        <v>10</v>
      </c>
      <c r="K414">
        <f t="shared" si="151"/>
        <v>0</v>
      </c>
      <c r="L414" t="b">
        <f t="shared" si="152"/>
        <v>1</v>
      </c>
      <c r="W414" t="s">
        <v>56</v>
      </c>
      <c r="X414" t="s">
        <v>63</v>
      </c>
      <c r="Y414">
        <v>36</v>
      </c>
      <c r="Z414">
        <v>0</v>
      </c>
      <c r="AA414">
        <v>0</v>
      </c>
      <c r="AB414">
        <v>14</v>
      </c>
      <c r="AC414">
        <v>0</v>
      </c>
      <c r="AD414">
        <v>0</v>
      </c>
      <c r="AE414">
        <v>5</v>
      </c>
      <c r="AF414">
        <v>16</v>
      </c>
      <c r="AG414">
        <v>1</v>
      </c>
      <c r="AH414">
        <v>36</v>
      </c>
    </row>
    <row r="415" spans="1:34" x14ac:dyDescent="0.25">
      <c r="A415" t="s">
        <v>54</v>
      </c>
      <c r="B415" t="str">
        <f t="shared" si="153"/>
        <v>tsinnor</v>
      </c>
      <c r="C415">
        <f t="shared" si="151"/>
        <v>13</v>
      </c>
      <c r="D415">
        <f t="shared" si="151"/>
        <v>0</v>
      </c>
      <c r="E415">
        <f t="shared" si="151"/>
        <v>0</v>
      </c>
      <c r="F415">
        <f t="shared" si="151"/>
        <v>5</v>
      </c>
      <c r="G415">
        <f t="shared" si="151"/>
        <v>0</v>
      </c>
      <c r="H415">
        <f t="shared" si="151"/>
        <v>0</v>
      </c>
      <c r="I415">
        <f t="shared" si="151"/>
        <v>0</v>
      </c>
      <c r="J415">
        <f t="shared" si="151"/>
        <v>8</v>
      </c>
      <c r="K415">
        <f t="shared" si="151"/>
        <v>0</v>
      </c>
      <c r="L415" t="b">
        <f t="shared" si="152"/>
        <v>1</v>
      </c>
      <c r="W415" t="s">
        <v>56</v>
      </c>
      <c r="X415" t="s">
        <v>8</v>
      </c>
      <c r="Y415">
        <v>58</v>
      </c>
      <c r="Z415">
        <v>0</v>
      </c>
      <c r="AA415">
        <v>0</v>
      </c>
      <c r="AB415">
        <v>29</v>
      </c>
      <c r="AC415">
        <v>0</v>
      </c>
      <c r="AD415">
        <v>0</v>
      </c>
      <c r="AE415">
        <v>11</v>
      </c>
      <c r="AF415">
        <v>18</v>
      </c>
      <c r="AG415">
        <v>0</v>
      </c>
      <c r="AH415">
        <v>36</v>
      </c>
    </row>
    <row r="416" spans="1:34" x14ac:dyDescent="0.25">
      <c r="A416" t="s">
        <v>54</v>
      </c>
      <c r="B416" t="str">
        <f t="shared" si="153"/>
        <v>zaqef-gadol</v>
      </c>
      <c r="C416">
        <f t="shared" si="151"/>
        <v>16</v>
      </c>
      <c r="D416">
        <f t="shared" si="151"/>
        <v>0</v>
      </c>
      <c r="E416">
        <f t="shared" si="151"/>
        <v>0</v>
      </c>
      <c r="F416">
        <f t="shared" si="151"/>
        <v>4</v>
      </c>
      <c r="G416">
        <f t="shared" si="151"/>
        <v>0</v>
      </c>
      <c r="H416">
        <f t="shared" si="151"/>
        <v>0</v>
      </c>
      <c r="I416">
        <f t="shared" si="151"/>
        <v>5</v>
      </c>
      <c r="J416">
        <f t="shared" si="151"/>
        <v>5</v>
      </c>
      <c r="K416">
        <f t="shared" si="151"/>
        <v>2</v>
      </c>
      <c r="L416" t="b">
        <f t="shared" si="152"/>
        <v>1</v>
      </c>
      <c r="W416" t="s">
        <v>56</v>
      </c>
      <c r="X416" t="s">
        <v>6</v>
      </c>
      <c r="Y416">
        <v>98</v>
      </c>
      <c r="Z416">
        <v>0</v>
      </c>
      <c r="AA416">
        <v>0</v>
      </c>
      <c r="AB416">
        <v>39</v>
      </c>
      <c r="AC416">
        <v>0</v>
      </c>
      <c r="AD416">
        <v>0</v>
      </c>
      <c r="AE416">
        <v>25</v>
      </c>
      <c r="AF416">
        <v>32</v>
      </c>
      <c r="AG416">
        <v>2</v>
      </c>
      <c r="AH416">
        <v>36</v>
      </c>
    </row>
    <row r="417" spans="1:34" x14ac:dyDescent="0.25">
      <c r="A417" t="s">
        <v>54</v>
      </c>
      <c r="B417" t="str">
        <f t="shared" si="153"/>
        <v>pazer</v>
      </c>
      <c r="C417">
        <f t="shared" si="151"/>
        <v>17</v>
      </c>
      <c r="D417">
        <f t="shared" si="151"/>
        <v>0</v>
      </c>
      <c r="E417">
        <f t="shared" si="151"/>
        <v>0</v>
      </c>
      <c r="F417">
        <f t="shared" si="151"/>
        <v>4</v>
      </c>
      <c r="G417">
        <f t="shared" si="151"/>
        <v>0</v>
      </c>
      <c r="H417">
        <f t="shared" si="151"/>
        <v>0</v>
      </c>
      <c r="I417">
        <f t="shared" si="151"/>
        <v>1</v>
      </c>
      <c r="J417">
        <f t="shared" si="151"/>
        <v>12</v>
      </c>
      <c r="K417">
        <f t="shared" si="151"/>
        <v>0</v>
      </c>
      <c r="L417" t="b">
        <f t="shared" si="152"/>
        <v>1</v>
      </c>
      <c r="W417" t="s">
        <v>56</v>
      </c>
      <c r="X417" t="s">
        <v>1</v>
      </c>
      <c r="Y417">
        <v>144</v>
      </c>
      <c r="Z417">
        <v>0</v>
      </c>
      <c r="AA417">
        <v>0</v>
      </c>
      <c r="AB417">
        <v>36</v>
      </c>
      <c r="AC417">
        <v>0</v>
      </c>
      <c r="AD417">
        <v>0</v>
      </c>
      <c r="AE417">
        <v>11</v>
      </c>
      <c r="AF417">
        <v>97</v>
      </c>
      <c r="AG417">
        <v>0</v>
      </c>
      <c r="AH417">
        <v>36</v>
      </c>
    </row>
    <row r="418" spans="1:34" x14ac:dyDescent="0.25">
      <c r="A418" t="s">
        <v>54</v>
      </c>
      <c r="B418" t="str">
        <f t="shared" si="153"/>
        <v>telisha-gedola</v>
      </c>
      <c r="C418">
        <f t="shared" si="151"/>
        <v>28</v>
      </c>
      <c r="D418">
        <f t="shared" si="151"/>
        <v>0</v>
      </c>
      <c r="E418">
        <f t="shared" si="151"/>
        <v>0</v>
      </c>
      <c r="F418">
        <f t="shared" si="151"/>
        <v>12</v>
      </c>
      <c r="G418">
        <f t="shared" si="151"/>
        <v>0</v>
      </c>
      <c r="H418">
        <f t="shared" si="151"/>
        <v>0</v>
      </c>
      <c r="I418">
        <f t="shared" si="151"/>
        <v>3</v>
      </c>
      <c r="J418">
        <f t="shared" si="151"/>
        <v>10</v>
      </c>
      <c r="K418">
        <f t="shared" si="151"/>
        <v>3</v>
      </c>
      <c r="L418" t="b">
        <f t="shared" si="152"/>
        <v>1</v>
      </c>
      <c r="W418" t="s">
        <v>56</v>
      </c>
      <c r="X418" t="s">
        <v>24</v>
      </c>
      <c r="Y418">
        <v>309</v>
      </c>
      <c r="Z418">
        <v>0</v>
      </c>
      <c r="AA418">
        <v>0</v>
      </c>
      <c r="AB418">
        <v>97</v>
      </c>
      <c r="AC418">
        <v>12</v>
      </c>
      <c r="AD418">
        <v>0</v>
      </c>
      <c r="AE418">
        <v>15</v>
      </c>
      <c r="AF418">
        <v>45</v>
      </c>
      <c r="AG418">
        <v>140</v>
      </c>
      <c r="AH418">
        <v>36</v>
      </c>
    </row>
    <row r="419" spans="1:34" x14ac:dyDescent="0.25">
      <c r="A419" t="s">
        <v>54</v>
      </c>
      <c r="B419" t="str">
        <f t="shared" si="153"/>
        <v>tarsin</v>
      </c>
      <c r="C419">
        <f t="shared" si="151"/>
        <v>28</v>
      </c>
      <c r="D419">
        <f t="shared" si="151"/>
        <v>0</v>
      </c>
      <c r="E419">
        <f t="shared" si="151"/>
        <v>0</v>
      </c>
      <c r="F419">
        <f t="shared" si="151"/>
        <v>13</v>
      </c>
      <c r="G419">
        <f t="shared" si="151"/>
        <v>0</v>
      </c>
      <c r="H419">
        <f t="shared" si="151"/>
        <v>0</v>
      </c>
      <c r="I419">
        <f t="shared" si="151"/>
        <v>8</v>
      </c>
      <c r="J419">
        <f t="shared" si="151"/>
        <v>6</v>
      </c>
      <c r="K419">
        <f t="shared" si="151"/>
        <v>1</v>
      </c>
      <c r="L419" t="b">
        <f t="shared" si="152"/>
        <v>1</v>
      </c>
      <c r="W419" t="s">
        <v>56</v>
      </c>
      <c r="X419" t="s">
        <v>66</v>
      </c>
      <c r="Y419">
        <v>357</v>
      </c>
      <c r="Z419">
        <v>0</v>
      </c>
      <c r="AA419">
        <v>0</v>
      </c>
      <c r="AB419">
        <v>58</v>
      </c>
      <c r="AC419">
        <v>5</v>
      </c>
      <c r="AD419">
        <v>0</v>
      </c>
      <c r="AE419">
        <v>7</v>
      </c>
      <c r="AF419">
        <v>244</v>
      </c>
      <c r="AG419">
        <v>43</v>
      </c>
      <c r="AH419">
        <v>36</v>
      </c>
    </row>
    <row r="420" spans="1:34" x14ac:dyDescent="0.25">
      <c r="A420" t="s">
        <v>54</v>
      </c>
      <c r="B420" t="str">
        <f t="shared" si="153"/>
        <v>telisha-qetana</v>
      </c>
      <c r="C420">
        <f t="shared" si="151"/>
        <v>38</v>
      </c>
      <c r="D420">
        <f t="shared" si="151"/>
        <v>0</v>
      </c>
      <c r="E420">
        <f t="shared" si="151"/>
        <v>0</v>
      </c>
      <c r="F420">
        <f t="shared" si="151"/>
        <v>17</v>
      </c>
      <c r="G420">
        <f t="shared" si="151"/>
        <v>0</v>
      </c>
      <c r="H420">
        <f t="shared" si="151"/>
        <v>0</v>
      </c>
      <c r="I420">
        <f t="shared" si="151"/>
        <v>6</v>
      </c>
      <c r="J420">
        <f t="shared" si="151"/>
        <v>15</v>
      </c>
      <c r="K420">
        <f t="shared" si="151"/>
        <v>0</v>
      </c>
      <c r="L420" t="b">
        <f t="shared" si="152"/>
        <v>1</v>
      </c>
      <c r="W420" t="s">
        <v>57</v>
      </c>
      <c r="X420" t="s">
        <v>72</v>
      </c>
      <c r="Y420">
        <v>4</v>
      </c>
      <c r="Z420">
        <v>0</v>
      </c>
      <c r="AA420">
        <v>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37</v>
      </c>
    </row>
    <row r="421" spans="1:34" x14ac:dyDescent="0.25">
      <c r="A421" t="s">
        <v>54</v>
      </c>
      <c r="B421" t="str">
        <f t="shared" si="153"/>
        <v>azla</v>
      </c>
      <c r="C421">
        <f t="shared" si="151"/>
        <v>67</v>
      </c>
      <c r="D421">
        <f t="shared" si="151"/>
        <v>0</v>
      </c>
      <c r="E421">
        <f t="shared" si="151"/>
        <v>0</v>
      </c>
      <c r="F421">
        <f t="shared" si="151"/>
        <v>40</v>
      </c>
      <c r="G421">
        <f t="shared" si="151"/>
        <v>0</v>
      </c>
      <c r="H421">
        <f t="shared" si="151"/>
        <v>0</v>
      </c>
      <c r="I421">
        <f t="shared" si="151"/>
        <v>11</v>
      </c>
      <c r="J421">
        <f t="shared" si="151"/>
        <v>16</v>
      </c>
      <c r="K421">
        <f t="shared" si="151"/>
        <v>0</v>
      </c>
      <c r="L421" t="b">
        <f t="shared" si="152"/>
        <v>1</v>
      </c>
      <c r="W421" t="s">
        <v>57</v>
      </c>
      <c r="X421" t="s">
        <v>22</v>
      </c>
      <c r="Y421">
        <v>21</v>
      </c>
      <c r="Z421">
        <v>0</v>
      </c>
      <c r="AA421">
        <v>0</v>
      </c>
      <c r="AB421">
        <v>2</v>
      </c>
      <c r="AC421">
        <v>0</v>
      </c>
      <c r="AD421">
        <v>0</v>
      </c>
      <c r="AE421">
        <v>0</v>
      </c>
      <c r="AF421">
        <v>19</v>
      </c>
      <c r="AG421">
        <v>0</v>
      </c>
      <c r="AH421">
        <v>37</v>
      </c>
    </row>
    <row r="422" spans="1:34" x14ac:dyDescent="0.25">
      <c r="A422" t="s">
        <v>54</v>
      </c>
      <c r="B422" t="str">
        <f t="shared" si="153"/>
        <v>qadma</v>
      </c>
      <c r="C422">
        <f t="shared" si="151"/>
        <v>113</v>
      </c>
      <c r="D422">
        <f t="shared" si="151"/>
        <v>0</v>
      </c>
      <c r="E422">
        <f t="shared" si="151"/>
        <v>0</v>
      </c>
      <c r="F422">
        <f t="shared" si="151"/>
        <v>53</v>
      </c>
      <c r="G422">
        <f t="shared" si="151"/>
        <v>1</v>
      </c>
      <c r="H422">
        <f t="shared" si="151"/>
        <v>0</v>
      </c>
      <c r="I422">
        <f t="shared" si="151"/>
        <v>26</v>
      </c>
      <c r="J422">
        <f t="shared" si="151"/>
        <v>31</v>
      </c>
      <c r="K422">
        <f t="shared" si="151"/>
        <v>2</v>
      </c>
      <c r="L422" t="b">
        <f t="shared" si="152"/>
        <v>1</v>
      </c>
      <c r="W422" t="s">
        <v>57</v>
      </c>
      <c r="X422" t="s">
        <v>4</v>
      </c>
      <c r="Y422">
        <v>22</v>
      </c>
      <c r="Z422">
        <v>0</v>
      </c>
      <c r="AA422">
        <v>0</v>
      </c>
      <c r="AB422">
        <v>3</v>
      </c>
      <c r="AC422">
        <v>3</v>
      </c>
      <c r="AD422">
        <v>0</v>
      </c>
      <c r="AE422">
        <v>0</v>
      </c>
      <c r="AF422">
        <v>16</v>
      </c>
      <c r="AG422">
        <v>0</v>
      </c>
      <c r="AH422">
        <v>37</v>
      </c>
    </row>
    <row r="423" spans="1:34" x14ac:dyDescent="0.25">
      <c r="A423" t="s">
        <v>54</v>
      </c>
      <c r="B423" t="str">
        <f t="shared" si="153"/>
        <v>revia</v>
      </c>
      <c r="C423">
        <f t="shared" si="151"/>
        <v>120</v>
      </c>
      <c r="D423">
        <f t="shared" si="151"/>
        <v>0</v>
      </c>
      <c r="E423">
        <f t="shared" si="151"/>
        <v>0</v>
      </c>
      <c r="F423">
        <f t="shared" si="151"/>
        <v>21</v>
      </c>
      <c r="G423">
        <f t="shared" si="151"/>
        <v>0</v>
      </c>
      <c r="H423">
        <f t="shared" si="151"/>
        <v>0</v>
      </c>
      <c r="I423">
        <f t="shared" si="151"/>
        <v>16</v>
      </c>
      <c r="J423">
        <f t="shared" si="151"/>
        <v>83</v>
      </c>
      <c r="K423">
        <f t="shared" si="151"/>
        <v>0</v>
      </c>
      <c r="L423" t="b">
        <f t="shared" si="152"/>
        <v>1</v>
      </c>
      <c r="W423" t="s">
        <v>57</v>
      </c>
      <c r="X423" t="s">
        <v>65</v>
      </c>
      <c r="Y423">
        <v>34</v>
      </c>
      <c r="Z423">
        <v>0</v>
      </c>
      <c r="AA423">
        <v>0</v>
      </c>
      <c r="AB423">
        <v>8</v>
      </c>
      <c r="AC423">
        <v>0</v>
      </c>
      <c r="AD423">
        <v>0</v>
      </c>
      <c r="AE423">
        <v>10</v>
      </c>
      <c r="AF423">
        <v>15</v>
      </c>
      <c r="AG423">
        <v>1</v>
      </c>
      <c r="AH423">
        <v>37</v>
      </c>
    </row>
    <row r="424" spans="1:34" x14ac:dyDescent="0.25">
      <c r="A424" t="s">
        <v>54</v>
      </c>
      <c r="B424" t="str">
        <f t="shared" si="153"/>
        <v>pashta</v>
      </c>
      <c r="C424">
        <f t="shared" si="151"/>
        <v>277</v>
      </c>
      <c r="D424">
        <f t="shared" si="151"/>
        <v>0</v>
      </c>
      <c r="E424">
        <f t="shared" si="151"/>
        <v>0</v>
      </c>
      <c r="F424">
        <f t="shared" si="151"/>
        <v>41</v>
      </c>
      <c r="G424">
        <f t="shared" si="151"/>
        <v>5</v>
      </c>
      <c r="H424">
        <f t="shared" si="151"/>
        <v>0</v>
      </c>
      <c r="I424">
        <f t="shared" si="151"/>
        <v>19</v>
      </c>
      <c r="J424">
        <f t="shared" si="151"/>
        <v>45</v>
      </c>
      <c r="K424">
        <f t="shared" si="151"/>
        <v>167</v>
      </c>
      <c r="L424" t="b">
        <f t="shared" si="152"/>
        <v>1</v>
      </c>
      <c r="W424" t="s">
        <v>57</v>
      </c>
      <c r="X424" t="s">
        <v>23</v>
      </c>
      <c r="Y424">
        <v>39</v>
      </c>
      <c r="Z424">
        <v>0</v>
      </c>
      <c r="AA424">
        <v>0</v>
      </c>
      <c r="AB424">
        <v>21</v>
      </c>
      <c r="AC424">
        <v>0</v>
      </c>
      <c r="AD424">
        <v>0</v>
      </c>
      <c r="AE424">
        <v>7</v>
      </c>
      <c r="AF424">
        <v>10</v>
      </c>
      <c r="AG424">
        <v>1</v>
      </c>
      <c r="AH424">
        <v>37</v>
      </c>
    </row>
    <row r="425" spans="1:34" x14ac:dyDescent="0.25">
      <c r="A425" t="s">
        <v>54</v>
      </c>
      <c r="B425" t="str">
        <f t="shared" si="153"/>
        <v>zaqef-qatan</v>
      </c>
      <c r="C425">
        <f t="shared" si="151"/>
        <v>284</v>
      </c>
      <c r="D425">
        <f t="shared" si="151"/>
        <v>0</v>
      </c>
      <c r="E425">
        <f t="shared" si="151"/>
        <v>0</v>
      </c>
      <c r="F425">
        <f t="shared" si="151"/>
        <v>24</v>
      </c>
      <c r="G425">
        <f t="shared" si="151"/>
        <v>3</v>
      </c>
      <c r="H425">
        <f t="shared" si="151"/>
        <v>0</v>
      </c>
      <c r="I425">
        <f t="shared" si="151"/>
        <v>6</v>
      </c>
      <c r="J425">
        <f t="shared" si="151"/>
        <v>196</v>
      </c>
      <c r="K425">
        <f t="shared" si="151"/>
        <v>55</v>
      </c>
      <c r="L425" t="b">
        <f t="shared" si="152"/>
        <v>1</v>
      </c>
      <c r="W425" t="s">
        <v>57</v>
      </c>
      <c r="X425" t="s">
        <v>64</v>
      </c>
      <c r="Y425">
        <v>40</v>
      </c>
      <c r="Z425">
        <v>0</v>
      </c>
      <c r="AA425">
        <v>1</v>
      </c>
      <c r="AB425">
        <v>21</v>
      </c>
      <c r="AC425">
        <v>0</v>
      </c>
      <c r="AD425">
        <v>0</v>
      </c>
      <c r="AE425">
        <v>4</v>
      </c>
      <c r="AF425">
        <v>13</v>
      </c>
      <c r="AG425">
        <v>1</v>
      </c>
      <c r="AH425">
        <v>37</v>
      </c>
    </row>
    <row r="426" spans="1:34" x14ac:dyDescent="0.25">
      <c r="C426">
        <f>SUM(C413:C425)</f>
        <v>1015</v>
      </c>
      <c r="D426" t="s">
        <v>60</v>
      </c>
      <c r="E426" t="s">
        <v>14</v>
      </c>
      <c r="F426" t="s">
        <v>15</v>
      </c>
      <c r="G426" t="s">
        <v>16</v>
      </c>
      <c r="H426" t="s">
        <v>17</v>
      </c>
      <c r="I426" t="s">
        <v>18</v>
      </c>
      <c r="J426" t="s">
        <v>19</v>
      </c>
      <c r="K426" t="s">
        <v>20</v>
      </c>
      <c r="W426" t="s">
        <v>57</v>
      </c>
      <c r="X426" t="s">
        <v>63</v>
      </c>
      <c r="Y426">
        <v>45</v>
      </c>
      <c r="Z426">
        <v>0</v>
      </c>
      <c r="AA426">
        <v>1</v>
      </c>
      <c r="AB426">
        <v>12</v>
      </c>
      <c r="AC426">
        <v>0</v>
      </c>
      <c r="AD426">
        <v>0</v>
      </c>
      <c r="AE426">
        <v>4</v>
      </c>
      <c r="AF426">
        <v>28</v>
      </c>
      <c r="AG426">
        <v>0</v>
      </c>
      <c r="AH426">
        <v>37</v>
      </c>
    </row>
    <row r="427" spans="1:34" x14ac:dyDescent="0.25">
      <c r="A427" t="s">
        <v>55</v>
      </c>
      <c r="B427" t="str">
        <f>X394</f>
        <v>segol</v>
      </c>
      <c r="C427">
        <f t="shared" ref="C427:C438" si="154">SUM(D427:K427)</f>
        <v>21</v>
      </c>
      <c r="D427">
        <f t="shared" ref="D427:K438" si="155">Z394</f>
        <v>0</v>
      </c>
      <c r="E427">
        <f t="shared" si="155"/>
        <v>0</v>
      </c>
      <c r="F427">
        <f t="shared" si="155"/>
        <v>5</v>
      </c>
      <c r="G427">
        <f t="shared" si="155"/>
        <v>0</v>
      </c>
      <c r="H427">
        <f t="shared" si="155"/>
        <v>0</v>
      </c>
      <c r="I427">
        <f t="shared" si="155"/>
        <v>0</v>
      </c>
      <c r="J427">
        <f t="shared" si="155"/>
        <v>16</v>
      </c>
      <c r="K427">
        <f t="shared" si="155"/>
        <v>0</v>
      </c>
      <c r="L427" t="b">
        <f t="shared" ref="L427:L438" si="156">SUM(D427:K427)=Y394</f>
        <v>1</v>
      </c>
      <c r="W427" t="s">
        <v>57</v>
      </c>
      <c r="X427" t="s">
        <v>5</v>
      </c>
      <c r="Y427">
        <v>50</v>
      </c>
      <c r="Z427">
        <v>0</v>
      </c>
      <c r="AA427">
        <v>0</v>
      </c>
      <c r="AB427">
        <v>17</v>
      </c>
      <c r="AC427">
        <v>0</v>
      </c>
      <c r="AD427">
        <v>0</v>
      </c>
      <c r="AE427">
        <v>6</v>
      </c>
      <c r="AF427">
        <v>27</v>
      </c>
      <c r="AG427">
        <v>0</v>
      </c>
      <c r="AH427">
        <v>37</v>
      </c>
    </row>
    <row r="428" spans="1:34" x14ac:dyDescent="0.25">
      <c r="A428" t="s">
        <v>55</v>
      </c>
      <c r="B428" t="str">
        <f t="shared" ref="B428:B438" si="157">X395</f>
        <v>tsinnor</v>
      </c>
      <c r="C428">
        <f t="shared" si="154"/>
        <v>22</v>
      </c>
      <c r="D428">
        <f t="shared" si="155"/>
        <v>0</v>
      </c>
      <c r="E428">
        <f t="shared" si="155"/>
        <v>0</v>
      </c>
      <c r="F428">
        <f t="shared" si="155"/>
        <v>6</v>
      </c>
      <c r="G428">
        <f t="shared" si="155"/>
        <v>2</v>
      </c>
      <c r="H428">
        <f t="shared" si="155"/>
        <v>0</v>
      </c>
      <c r="I428">
        <f t="shared" si="155"/>
        <v>0</v>
      </c>
      <c r="J428">
        <f t="shared" si="155"/>
        <v>14</v>
      </c>
      <c r="K428">
        <f t="shared" si="155"/>
        <v>0</v>
      </c>
      <c r="L428" t="b">
        <f t="shared" si="156"/>
        <v>1</v>
      </c>
      <c r="W428" t="s">
        <v>57</v>
      </c>
      <c r="X428" t="s">
        <v>8</v>
      </c>
      <c r="Y428">
        <v>107</v>
      </c>
      <c r="Z428">
        <v>0</v>
      </c>
      <c r="AA428">
        <v>2</v>
      </c>
      <c r="AB428">
        <v>54</v>
      </c>
      <c r="AC428">
        <v>0</v>
      </c>
      <c r="AD428">
        <v>0</v>
      </c>
      <c r="AE428">
        <v>16</v>
      </c>
      <c r="AF428">
        <v>34</v>
      </c>
      <c r="AG428">
        <v>1</v>
      </c>
      <c r="AH428">
        <v>37</v>
      </c>
    </row>
    <row r="429" spans="1:34" x14ac:dyDescent="0.25">
      <c r="A429" t="s">
        <v>55</v>
      </c>
      <c r="B429" t="str">
        <f t="shared" si="157"/>
        <v>telisha-gedola</v>
      </c>
      <c r="C429">
        <f t="shared" si="154"/>
        <v>34</v>
      </c>
      <c r="D429">
        <f t="shared" si="155"/>
        <v>0</v>
      </c>
      <c r="E429">
        <f t="shared" si="155"/>
        <v>0</v>
      </c>
      <c r="F429">
        <f t="shared" si="155"/>
        <v>16</v>
      </c>
      <c r="G429">
        <f t="shared" si="155"/>
        <v>0</v>
      </c>
      <c r="H429">
        <f t="shared" si="155"/>
        <v>0</v>
      </c>
      <c r="I429">
        <f t="shared" si="155"/>
        <v>3</v>
      </c>
      <c r="J429">
        <f t="shared" si="155"/>
        <v>15</v>
      </c>
      <c r="K429">
        <f t="shared" si="155"/>
        <v>0</v>
      </c>
      <c r="L429" t="b">
        <f t="shared" si="156"/>
        <v>1</v>
      </c>
      <c r="W429" t="s">
        <v>57</v>
      </c>
      <c r="X429" t="s">
        <v>6</v>
      </c>
      <c r="Y429">
        <v>152</v>
      </c>
      <c r="Z429">
        <v>0</v>
      </c>
      <c r="AA429">
        <v>2</v>
      </c>
      <c r="AB429">
        <v>71</v>
      </c>
      <c r="AC429">
        <v>0</v>
      </c>
      <c r="AD429">
        <v>0</v>
      </c>
      <c r="AE429">
        <v>24</v>
      </c>
      <c r="AF429">
        <v>54</v>
      </c>
      <c r="AG429">
        <v>1</v>
      </c>
      <c r="AH429">
        <v>37</v>
      </c>
    </row>
    <row r="430" spans="1:34" x14ac:dyDescent="0.25">
      <c r="A430" t="s">
        <v>55</v>
      </c>
      <c r="B430" t="str">
        <f t="shared" si="157"/>
        <v>zaqef-gadol</v>
      </c>
      <c r="C430">
        <f t="shared" si="154"/>
        <v>40</v>
      </c>
      <c r="D430">
        <f t="shared" si="155"/>
        <v>0</v>
      </c>
      <c r="E430">
        <f t="shared" si="155"/>
        <v>0</v>
      </c>
      <c r="F430">
        <f t="shared" si="155"/>
        <v>5</v>
      </c>
      <c r="G430">
        <f t="shared" si="155"/>
        <v>0</v>
      </c>
      <c r="H430">
        <f t="shared" si="155"/>
        <v>0</v>
      </c>
      <c r="I430">
        <f t="shared" si="155"/>
        <v>18</v>
      </c>
      <c r="J430">
        <f t="shared" si="155"/>
        <v>15</v>
      </c>
      <c r="K430">
        <f t="shared" si="155"/>
        <v>2</v>
      </c>
      <c r="L430" t="b">
        <f t="shared" si="156"/>
        <v>1</v>
      </c>
      <c r="W430" t="s">
        <v>57</v>
      </c>
      <c r="X430" t="s">
        <v>1</v>
      </c>
      <c r="Y430">
        <v>176</v>
      </c>
      <c r="Z430">
        <v>0</v>
      </c>
      <c r="AA430">
        <v>1</v>
      </c>
      <c r="AB430">
        <v>35</v>
      </c>
      <c r="AC430">
        <v>0</v>
      </c>
      <c r="AD430">
        <v>0</v>
      </c>
      <c r="AE430">
        <v>18</v>
      </c>
      <c r="AF430">
        <v>120</v>
      </c>
      <c r="AG430">
        <v>2</v>
      </c>
      <c r="AH430">
        <v>37</v>
      </c>
    </row>
    <row r="431" spans="1:34" x14ac:dyDescent="0.25">
      <c r="A431" t="s">
        <v>55</v>
      </c>
      <c r="B431" t="str">
        <f t="shared" si="157"/>
        <v>tarsin</v>
      </c>
      <c r="C431">
        <f t="shared" si="154"/>
        <v>41</v>
      </c>
      <c r="D431">
        <f t="shared" si="155"/>
        <v>0</v>
      </c>
      <c r="E431">
        <f t="shared" si="155"/>
        <v>0</v>
      </c>
      <c r="F431">
        <f t="shared" si="155"/>
        <v>27</v>
      </c>
      <c r="G431">
        <f t="shared" si="155"/>
        <v>0</v>
      </c>
      <c r="H431">
        <f t="shared" si="155"/>
        <v>0</v>
      </c>
      <c r="I431">
        <f t="shared" si="155"/>
        <v>7</v>
      </c>
      <c r="J431">
        <f t="shared" si="155"/>
        <v>7</v>
      </c>
      <c r="K431">
        <f t="shared" si="155"/>
        <v>0</v>
      </c>
      <c r="L431" t="b">
        <f t="shared" si="156"/>
        <v>1</v>
      </c>
      <c r="W431" t="s">
        <v>57</v>
      </c>
      <c r="X431" t="s">
        <v>24</v>
      </c>
      <c r="Y431">
        <v>453</v>
      </c>
      <c r="Z431">
        <v>0</v>
      </c>
      <c r="AA431">
        <v>0</v>
      </c>
      <c r="AB431">
        <v>114</v>
      </c>
      <c r="AC431">
        <v>8</v>
      </c>
      <c r="AD431">
        <v>0</v>
      </c>
      <c r="AE431">
        <v>50</v>
      </c>
      <c r="AF431">
        <v>66</v>
      </c>
      <c r="AG431">
        <v>215</v>
      </c>
      <c r="AH431">
        <v>37</v>
      </c>
    </row>
    <row r="432" spans="1:34" x14ac:dyDescent="0.25">
      <c r="A432" t="s">
        <v>55</v>
      </c>
      <c r="B432" t="str">
        <f t="shared" si="157"/>
        <v>telisha-qetana</v>
      </c>
      <c r="C432">
        <f t="shared" si="154"/>
        <v>43</v>
      </c>
      <c r="D432">
        <f t="shared" si="155"/>
        <v>0</v>
      </c>
      <c r="E432">
        <f t="shared" si="155"/>
        <v>0</v>
      </c>
      <c r="F432">
        <f t="shared" si="155"/>
        <v>13</v>
      </c>
      <c r="G432">
        <f t="shared" si="155"/>
        <v>0</v>
      </c>
      <c r="H432">
        <f t="shared" si="155"/>
        <v>0</v>
      </c>
      <c r="I432">
        <f t="shared" si="155"/>
        <v>6</v>
      </c>
      <c r="J432">
        <f t="shared" si="155"/>
        <v>24</v>
      </c>
      <c r="K432">
        <f t="shared" si="155"/>
        <v>0</v>
      </c>
      <c r="L432" t="b">
        <f t="shared" si="156"/>
        <v>1</v>
      </c>
      <c r="W432" t="s">
        <v>57</v>
      </c>
      <c r="X432" t="s">
        <v>66</v>
      </c>
      <c r="Y432">
        <v>500</v>
      </c>
      <c r="Z432">
        <v>0</v>
      </c>
      <c r="AA432">
        <v>0</v>
      </c>
      <c r="AB432">
        <v>63</v>
      </c>
      <c r="AC432">
        <v>4</v>
      </c>
      <c r="AD432">
        <v>0</v>
      </c>
      <c r="AE432">
        <v>17</v>
      </c>
      <c r="AF432">
        <v>349</v>
      </c>
      <c r="AG432">
        <v>67</v>
      </c>
      <c r="AH432">
        <v>37</v>
      </c>
    </row>
    <row r="433" spans="1:34" x14ac:dyDescent="0.25">
      <c r="A433" t="s">
        <v>55</v>
      </c>
      <c r="B433" t="str">
        <f t="shared" si="157"/>
        <v>pazer</v>
      </c>
      <c r="C433">
        <f t="shared" si="154"/>
        <v>43</v>
      </c>
      <c r="D433">
        <f t="shared" si="155"/>
        <v>0</v>
      </c>
      <c r="E433">
        <f t="shared" si="155"/>
        <v>0</v>
      </c>
      <c r="F433">
        <f t="shared" si="155"/>
        <v>16</v>
      </c>
      <c r="G433">
        <f t="shared" si="155"/>
        <v>0</v>
      </c>
      <c r="H433">
        <f t="shared" si="155"/>
        <v>0</v>
      </c>
      <c r="I433">
        <f t="shared" si="155"/>
        <v>3</v>
      </c>
      <c r="J433">
        <f t="shared" si="155"/>
        <v>24</v>
      </c>
      <c r="K433">
        <f t="shared" si="155"/>
        <v>0</v>
      </c>
      <c r="L433" t="b">
        <f t="shared" si="156"/>
        <v>1</v>
      </c>
      <c r="W433" t="s">
        <v>58</v>
      </c>
      <c r="X433" t="s">
        <v>72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38</v>
      </c>
    </row>
    <row r="434" spans="1:34" x14ac:dyDescent="0.25">
      <c r="A434" t="s">
        <v>55</v>
      </c>
      <c r="B434" t="str">
        <f t="shared" si="157"/>
        <v>azla</v>
      </c>
      <c r="C434">
        <f t="shared" si="154"/>
        <v>101</v>
      </c>
      <c r="D434">
        <f t="shared" si="155"/>
        <v>0</v>
      </c>
      <c r="E434">
        <f t="shared" si="155"/>
        <v>0</v>
      </c>
      <c r="F434">
        <f t="shared" si="155"/>
        <v>57</v>
      </c>
      <c r="G434">
        <f t="shared" si="155"/>
        <v>0</v>
      </c>
      <c r="H434">
        <f t="shared" si="155"/>
        <v>0</v>
      </c>
      <c r="I434">
        <f t="shared" si="155"/>
        <v>25</v>
      </c>
      <c r="J434">
        <f t="shared" si="155"/>
        <v>19</v>
      </c>
      <c r="K434">
        <f t="shared" si="155"/>
        <v>0</v>
      </c>
      <c r="L434" t="b">
        <f t="shared" si="156"/>
        <v>1</v>
      </c>
      <c r="W434" t="s">
        <v>58</v>
      </c>
      <c r="X434" t="s">
        <v>22</v>
      </c>
      <c r="Y434">
        <v>23</v>
      </c>
      <c r="Z434">
        <v>0</v>
      </c>
      <c r="AA434">
        <v>0</v>
      </c>
      <c r="AB434">
        <v>4</v>
      </c>
      <c r="AC434">
        <v>1</v>
      </c>
      <c r="AD434">
        <v>0</v>
      </c>
      <c r="AE434">
        <v>0</v>
      </c>
      <c r="AF434">
        <v>18</v>
      </c>
      <c r="AG434">
        <v>0</v>
      </c>
      <c r="AH434">
        <v>38</v>
      </c>
    </row>
    <row r="435" spans="1:34" x14ac:dyDescent="0.25">
      <c r="A435" t="s">
        <v>55</v>
      </c>
      <c r="B435" t="str">
        <f t="shared" si="157"/>
        <v>qadma</v>
      </c>
      <c r="C435">
        <f t="shared" si="154"/>
        <v>151</v>
      </c>
      <c r="D435">
        <f t="shared" si="155"/>
        <v>0</v>
      </c>
      <c r="E435">
        <f t="shared" si="155"/>
        <v>0</v>
      </c>
      <c r="F435">
        <f t="shared" si="155"/>
        <v>61</v>
      </c>
      <c r="G435">
        <f t="shared" si="155"/>
        <v>1</v>
      </c>
      <c r="H435">
        <f t="shared" si="155"/>
        <v>0</v>
      </c>
      <c r="I435">
        <f t="shared" si="155"/>
        <v>35</v>
      </c>
      <c r="J435">
        <f t="shared" si="155"/>
        <v>49</v>
      </c>
      <c r="K435">
        <f t="shared" si="155"/>
        <v>5</v>
      </c>
      <c r="L435" t="b">
        <f t="shared" si="156"/>
        <v>1</v>
      </c>
      <c r="W435" t="s">
        <v>58</v>
      </c>
      <c r="X435" t="s">
        <v>4</v>
      </c>
      <c r="Y435">
        <v>23</v>
      </c>
      <c r="Z435">
        <v>0</v>
      </c>
      <c r="AA435">
        <v>0</v>
      </c>
      <c r="AB435">
        <v>11</v>
      </c>
      <c r="AC435">
        <v>2</v>
      </c>
      <c r="AD435">
        <v>0</v>
      </c>
      <c r="AE435">
        <v>0</v>
      </c>
      <c r="AF435">
        <v>10</v>
      </c>
      <c r="AG435">
        <v>0</v>
      </c>
      <c r="AH435">
        <v>38</v>
      </c>
    </row>
    <row r="436" spans="1:34" x14ac:dyDescent="0.25">
      <c r="A436" t="s">
        <v>55</v>
      </c>
      <c r="B436" t="str">
        <f t="shared" si="157"/>
        <v>revia</v>
      </c>
      <c r="C436">
        <f t="shared" si="154"/>
        <v>248</v>
      </c>
      <c r="D436">
        <f t="shared" si="155"/>
        <v>0</v>
      </c>
      <c r="E436">
        <f t="shared" si="155"/>
        <v>0</v>
      </c>
      <c r="F436">
        <f t="shared" si="155"/>
        <v>59</v>
      </c>
      <c r="G436">
        <f t="shared" si="155"/>
        <v>0</v>
      </c>
      <c r="H436">
        <f t="shared" si="155"/>
        <v>0</v>
      </c>
      <c r="I436">
        <f t="shared" si="155"/>
        <v>24</v>
      </c>
      <c r="J436">
        <f t="shared" si="155"/>
        <v>165</v>
      </c>
      <c r="K436">
        <f t="shared" si="155"/>
        <v>0</v>
      </c>
      <c r="L436" t="b">
        <f t="shared" si="156"/>
        <v>1</v>
      </c>
      <c r="W436" t="s">
        <v>58</v>
      </c>
      <c r="X436" t="s">
        <v>65</v>
      </c>
      <c r="Y436">
        <v>54</v>
      </c>
      <c r="Z436">
        <v>0</v>
      </c>
      <c r="AA436">
        <v>0</v>
      </c>
      <c r="AB436">
        <v>15</v>
      </c>
      <c r="AC436">
        <v>0</v>
      </c>
      <c r="AD436">
        <v>0</v>
      </c>
      <c r="AE436">
        <v>19</v>
      </c>
      <c r="AF436">
        <v>15</v>
      </c>
      <c r="AG436">
        <v>5</v>
      </c>
      <c r="AH436">
        <v>38</v>
      </c>
    </row>
    <row r="437" spans="1:34" x14ac:dyDescent="0.25">
      <c r="A437" t="s">
        <v>55</v>
      </c>
      <c r="B437" t="str">
        <f t="shared" si="157"/>
        <v>pashta</v>
      </c>
      <c r="C437">
        <f t="shared" si="154"/>
        <v>605</v>
      </c>
      <c r="D437">
        <f t="shared" si="155"/>
        <v>0</v>
      </c>
      <c r="E437">
        <f t="shared" si="155"/>
        <v>0</v>
      </c>
      <c r="F437">
        <f t="shared" si="155"/>
        <v>160</v>
      </c>
      <c r="G437">
        <f t="shared" si="155"/>
        <v>7</v>
      </c>
      <c r="H437">
        <f t="shared" si="155"/>
        <v>0</v>
      </c>
      <c r="I437">
        <f t="shared" si="155"/>
        <v>66</v>
      </c>
      <c r="J437">
        <f t="shared" si="155"/>
        <v>94</v>
      </c>
      <c r="K437">
        <f t="shared" si="155"/>
        <v>278</v>
      </c>
      <c r="L437" t="b">
        <f t="shared" si="156"/>
        <v>1</v>
      </c>
      <c r="W437" t="s">
        <v>58</v>
      </c>
      <c r="X437" t="s">
        <v>64</v>
      </c>
      <c r="Y437">
        <v>54</v>
      </c>
      <c r="Z437">
        <v>0</v>
      </c>
      <c r="AA437">
        <v>0</v>
      </c>
      <c r="AB437">
        <v>30</v>
      </c>
      <c r="AC437">
        <v>0</v>
      </c>
      <c r="AD437">
        <v>0</v>
      </c>
      <c r="AE437">
        <v>6</v>
      </c>
      <c r="AF437">
        <v>17</v>
      </c>
      <c r="AG437">
        <v>1</v>
      </c>
      <c r="AH437">
        <v>38</v>
      </c>
    </row>
    <row r="438" spans="1:34" x14ac:dyDescent="0.25">
      <c r="A438" t="s">
        <v>55</v>
      </c>
      <c r="B438" t="str">
        <f t="shared" si="157"/>
        <v>zaqef-qatan</v>
      </c>
      <c r="C438">
        <f t="shared" si="154"/>
        <v>629</v>
      </c>
      <c r="D438">
        <f t="shared" si="155"/>
        <v>0</v>
      </c>
      <c r="E438">
        <f t="shared" si="155"/>
        <v>0</v>
      </c>
      <c r="F438">
        <f t="shared" si="155"/>
        <v>86</v>
      </c>
      <c r="G438">
        <f t="shared" si="155"/>
        <v>4</v>
      </c>
      <c r="H438">
        <f t="shared" si="155"/>
        <v>0</v>
      </c>
      <c r="I438">
        <f t="shared" si="155"/>
        <v>14</v>
      </c>
      <c r="J438">
        <f t="shared" si="155"/>
        <v>428</v>
      </c>
      <c r="K438">
        <f t="shared" si="155"/>
        <v>97</v>
      </c>
      <c r="L438" t="b">
        <f t="shared" si="156"/>
        <v>1</v>
      </c>
      <c r="W438" t="s">
        <v>58</v>
      </c>
      <c r="X438" t="s">
        <v>23</v>
      </c>
      <c r="Y438">
        <v>60</v>
      </c>
      <c r="Z438">
        <v>0</v>
      </c>
      <c r="AA438">
        <v>0</v>
      </c>
      <c r="AB438">
        <v>36</v>
      </c>
      <c r="AC438">
        <v>0</v>
      </c>
      <c r="AD438">
        <v>0</v>
      </c>
      <c r="AE438">
        <v>7</v>
      </c>
      <c r="AF438">
        <v>16</v>
      </c>
      <c r="AG438">
        <v>1</v>
      </c>
      <c r="AH438">
        <v>38</v>
      </c>
    </row>
    <row r="439" spans="1:34" x14ac:dyDescent="0.25">
      <c r="D439" t="s">
        <v>60</v>
      </c>
      <c r="E439" t="s">
        <v>14</v>
      </c>
      <c r="F439" t="s">
        <v>15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W439" t="s">
        <v>58</v>
      </c>
      <c r="X439" t="s">
        <v>63</v>
      </c>
      <c r="Y439">
        <v>66</v>
      </c>
      <c r="Z439">
        <v>0</v>
      </c>
      <c r="AA439">
        <v>0</v>
      </c>
      <c r="AB439">
        <v>26</v>
      </c>
      <c r="AC439">
        <v>0</v>
      </c>
      <c r="AD439">
        <v>0</v>
      </c>
      <c r="AE439">
        <v>8</v>
      </c>
      <c r="AF439">
        <v>31</v>
      </c>
      <c r="AG439">
        <v>1</v>
      </c>
      <c r="AH439">
        <v>38</v>
      </c>
    </row>
    <row r="440" spans="1:34" x14ac:dyDescent="0.25">
      <c r="A440" t="s">
        <v>56</v>
      </c>
      <c r="B440" t="str">
        <f>X406</f>
        <v>shalshelet</v>
      </c>
      <c r="C440">
        <f t="shared" ref="C440:C453" si="158">SUM(D440:K440)</f>
        <v>1</v>
      </c>
      <c r="D440">
        <f t="shared" ref="D440:K453" si="159">Z406</f>
        <v>0</v>
      </c>
      <c r="E440">
        <f t="shared" si="159"/>
        <v>0</v>
      </c>
      <c r="F440">
        <f t="shared" si="159"/>
        <v>1</v>
      </c>
      <c r="G440">
        <f t="shared" si="159"/>
        <v>0</v>
      </c>
      <c r="H440">
        <f t="shared" si="159"/>
        <v>0</v>
      </c>
      <c r="I440">
        <f t="shared" si="159"/>
        <v>0</v>
      </c>
      <c r="J440">
        <f t="shared" si="159"/>
        <v>0</v>
      </c>
      <c r="K440">
        <f t="shared" si="159"/>
        <v>0</v>
      </c>
      <c r="L440" t="b">
        <f t="shared" ref="L440:L453" si="160">SUM(D440:K440)=Y406</f>
        <v>1</v>
      </c>
      <c r="W440" t="s">
        <v>58</v>
      </c>
      <c r="X440" t="s">
        <v>5</v>
      </c>
      <c r="Y440">
        <v>74</v>
      </c>
      <c r="Z440">
        <v>0</v>
      </c>
      <c r="AA440">
        <v>0</v>
      </c>
      <c r="AB440">
        <v>26</v>
      </c>
      <c r="AC440">
        <v>0</v>
      </c>
      <c r="AD440">
        <v>0</v>
      </c>
      <c r="AE440">
        <v>14</v>
      </c>
      <c r="AF440">
        <v>34</v>
      </c>
      <c r="AG440">
        <v>0</v>
      </c>
      <c r="AH440">
        <v>38</v>
      </c>
    </row>
    <row r="441" spans="1:34" x14ac:dyDescent="0.25">
      <c r="A441" t="s">
        <v>56</v>
      </c>
      <c r="B441" t="str">
        <f t="shared" ref="B441:B453" si="161">X407</f>
        <v>qarne-farah</v>
      </c>
      <c r="C441">
        <f t="shared" si="158"/>
        <v>1</v>
      </c>
      <c r="D441">
        <f t="shared" si="159"/>
        <v>0</v>
      </c>
      <c r="E441">
        <f t="shared" si="159"/>
        <v>1</v>
      </c>
      <c r="F441">
        <f t="shared" si="159"/>
        <v>0</v>
      </c>
      <c r="G441">
        <f t="shared" si="159"/>
        <v>0</v>
      </c>
      <c r="H441">
        <f t="shared" si="159"/>
        <v>0</v>
      </c>
      <c r="I441">
        <f t="shared" si="159"/>
        <v>0</v>
      </c>
      <c r="J441">
        <f t="shared" si="159"/>
        <v>0</v>
      </c>
      <c r="K441">
        <f t="shared" si="159"/>
        <v>0</v>
      </c>
      <c r="L441" t="b">
        <f t="shared" si="160"/>
        <v>1</v>
      </c>
      <c r="W441" t="s">
        <v>58</v>
      </c>
      <c r="X441" t="s">
        <v>8</v>
      </c>
      <c r="Y441">
        <v>123</v>
      </c>
      <c r="Z441">
        <v>0</v>
      </c>
      <c r="AA441">
        <v>0</v>
      </c>
      <c r="AB441">
        <v>66</v>
      </c>
      <c r="AC441">
        <v>0</v>
      </c>
      <c r="AD441">
        <v>0</v>
      </c>
      <c r="AE441">
        <v>21</v>
      </c>
      <c r="AF441">
        <v>35</v>
      </c>
      <c r="AG441">
        <v>1</v>
      </c>
      <c r="AH441">
        <v>38</v>
      </c>
    </row>
    <row r="442" spans="1:34" x14ac:dyDescent="0.25">
      <c r="A442" t="s">
        <v>56</v>
      </c>
      <c r="B442" t="str">
        <f t="shared" si="161"/>
        <v>segol</v>
      </c>
      <c r="C442">
        <f t="shared" si="158"/>
        <v>16</v>
      </c>
      <c r="D442">
        <f t="shared" si="159"/>
        <v>0</v>
      </c>
      <c r="E442">
        <f t="shared" si="159"/>
        <v>0</v>
      </c>
      <c r="F442">
        <f t="shared" si="159"/>
        <v>1</v>
      </c>
      <c r="G442">
        <f t="shared" si="159"/>
        <v>0</v>
      </c>
      <c r="H442">
        <f t="shared" si="159"/>
        <v>0</v>
      </c>
      <c r="I442">
        <f t="shared" si="159"/>
        <v>0</v>
      </c>
      <c r="J442">
        <f t="shared" si="159"/>
        <v>15</v>
      </c>
      <c r="K442">
        <f t="shared" si="159"/>
        <v>0</v>
      </c>
      <c r="L442" t="b">
        <f t="shared" si="160"/>
        <v>1</v>
      </c>
      <c r="W442" t="s">
        <v>58</v>
      </c>
      <c r="X442" t="s">
        <v>6</v>
      </c>
      <c r="Y442">
        <v>246</v>
      </c>
      <c r="Z442">
        <v>0</v>
      </c>
      <c r="AA442">
        <v>0</v>
      </c>
      <c r="AB442">
        <v>130</v>
      </c>
      <c r="AC442">
        <v>0</v>
      </c>
      <c r="AD442">
        <v>0</v>
      </c>
      <c r="AE442">
        <v>46</v>
      </c>
      <c r="AF442">
        <v>67</v>
      </c>
      <c r="AG442">
        <v>3</v>
      </c>
      <c r="AH442">
        <v>38</v>
      </c>
    </row>
    <row r="443" spans="1:34" x14ac:dyDescent="0.25">
      <c r="A443" t="s">
        <v>56</v>
      </c>
      <c r="B443" t="str">
        <f t="shared" si="161"/>
        <v>tsinnor</v>
      </c>
      <c r="C443">
        <f t="shared" si="158"/>
        <v>16</v>
      </c>
      <c r="D443">
        <f t="shared" si="159"/>
        <v>0</v>
      </c>
      <c r="E443">
        <f t="shared" si="159"/>
        <v>0</v>
      </c>
      <c r="F443">
        <f t="shared" si="159"/>
        <v>10</v>
      </c>
      <c r="G443">
        <f t="shared" si="159"/>
        <v>0</v>
      </c>
      <c r="H443">
        <f t="shared" si="159"/>
        <v>0</v>
      </c>
      <c r="I443">
        <f t="shared" si="159"/>
        <v>0</v>
      </c>
      <c r="J443">
        <f t="shared" si="159"/>
        <v>6</v>
      </c>
      <c r="K443">
        <f t="shared" si="159"/>
        <v>0</v>
      </c>
      <c r="L443" t="b">
        <f t="shared" si="160"/>
        <v>1</v>
      </c>
      <c r="W443" t="s">
        <v>58</v>
      </c>
      <c r="X443" t="s">
        <v>1</v>
      </c>
      <c r="Y443">
        <v>290</v>
      </c>
      <c r="Z443">
        <v>0</v>
      </c>
      <c r="AA443">
        <v>0</v>
      </c>
      <c r="AB443">
        <v>74</v>
      </c>
      <c r="AC443">
        <v>1</v>
      </c>
      <c r="AD443">
        <v>0</v>
      </c>
      <c r="AE443">
        <v>33</v>
      </c>
      <c r="AF443">
        <v>180</v>
      </c>
      <c r="AG443">
        <v>2</v>
      </c>
      <c r="AH443">
        <v>38</v>
      </c>
    </row>
    <row r="444" spans="1:34" x14ac:dyDescent="0.25">
      <c r="A444" t="s">
        <v>56</v>
      </c>
      <c r="B444" t="str">
        <f t="shared" si="161"/>
        <v>pazer</v>
      </c>
      <c r="C444">
        <f t="shared" si="158"/>
        <v>21</v>
      </c>
      <c r="D444">
        <f t="shared" si="159"/>
        <v>0</v>
      </c>
      <c r="E444">
        <f t="shared" si="159"/>
        <v>0</v>
      </c>
      <c r="F444">
        <f t="shared" si="159"/>
        <v>9</v>
      </c>
      <c r="G444">
        <f t="shared" si="159"/>
        <v>0</v>
      </c>
      <c r="H444">
        <f t="shared" si="159"/>
        <v>0</v>
      </c>
      <c r="I444">
        <f t="shared" si="159"/>
        <v>4</v>
      </c>
      <c r="J444">
        <f t="shared" si="159"/>
        <v>8</v>
      </c>
      <c r="K444">
        <f t="shared" si="159"/>
        <v>0</v>
      </c>
      <c r="L444" t="b">
        <f t="shared" si="160"/>
        <v>1</v>
      </c>
      <c r="W444" t="s">
        <v>58</v>
      </c>
      <c r="X444" t="s">
        <v>24</v>
      </c>
      <c r="Y444">
        <v>876</v>
      </c>
      <c r="Z444">
        <v>0</v>
      </c>
      <c r="AA444">
        <v>0</v>
      </c>
      <c r="AB444">
        <v>259</v>
      </c>
      <c r="AC444">
        <v>17</v>
      </c>
      <c r="AD444">
        <v>0</v>
      </c>
      <c r="AE444">
        <v>106</v>
      </c>
      <c r="AF444">
        <v>78</v>
      </c>
      <c r="AG444">
        <v>416</v>
      </c>
      <c r="AH444">
        <v>38</v>
      </c>
    </row>
    <row r="445" spans="1:34" x14ac:dyDescent="0.25">
      <c r="A445" t="s">
        <v>56</v>
      </c>
      <c r="B445" t="str">
        <f t="shared" si="161"/>
        <v>telisha-qetana</v>
      </c>
      <c r="C445">
        <f t="shared" si="158"/>
        <v>29</v>
      </c>
      <c r="D445">
        <f t="shared" si="159"/>
        <v>0</v>
      </c>
      <c r="E445">
        <f t="shared" si="159"/>
        <v>0</v>
      </c>
      <c r="F445">
        <f t="shared" si="159"/>
        <v>12</v>
      </c>
      <c r="G445">
        <f t="shared" si="159"/>
        <v>0</v>
      </c>
      <c r="H445">
        <f t="shared" si="159"/>
        <v>0</v>
      </c>
      <c r="I445">
        <f t="shared" si="159"/>
        <v>7</v>
      </c>
      <c r="J445">
        <f t="shared" si="159"/>
        <v>10</v>
      </c>
      <c r="K445">
        <f t="shared" si="159"/>
        <v>0</v>
      </c>
      <c r="L445" t="b">
        <f t="shared" si="160"/>
        <v>1</v>
      </c>
      <c r="W445" t="s">
        <v>58</v>
      </c>
      <c r="X445" t="s">
        <v>66</v>
      </c>
      <c r="Y445">
        <v>996</v>
      </c>
      <c r="Z445">
        <v>0</v>
      </c>
      <c r="AA445">
        <v>0</v>
      </c>
      <c r="AB445">
        <v>137</v>
      </c>
      <c r="AC445">
        <v>5</v>
      </c>
      <c r="AD445">
        <v>0</v>
      </c>
      <c r="AE445">
        <v>52</v>
      </c>
      <c r="AF445">
        <v>618</v>
      </c>
      <c r="AG445">
        <v>184</v>
      </c>
      <c r="AH445">
        <v>38</v>
      </c>
    </row>
    <row r="446" spans="1:34" x14ac:dyDescent="0.25">
      <c r="A446" t="s">
        <v>56</v>
      </c>
      <c r="B446" t="str">
        <f t="shared" si="161"/>
        <v>zaqef-gadol</v>
      </c>
      <c r="C446">
        <f t="shared" si="158"/>
        <v>34</v>
      </c>
      <c r="D446">
        <f t="shared" si="159"/>
        <v>0</v>
      </c>
      <c r="E446">
        <f t="shared" si="159"/>
        <v>0</v>
      </c>
      <c r="F446">
        <f t="shared" si="159"/>
        <v>5</v>
      </c>
      <c r="G446">
        <f t="shared" si="159"/>
        <v>0</v>
      </c>
      <c r="H446">
        <f t="shared" si="159"/>
        <v>0</v>
      </c>
      <c r="I446">
        <f t="shared" si="159"/>
        <v>14</v>
      </c>
      <c r="J446">
        <f t="shared" si="159"/>
        <v>12</v>
      </c>
      <c r="K446">
        <f t="shared" si="159"/>
        <v>3</v>
      </c>
      <c r="L446" t="b">
        <f t="shared" si="160"/>
        <v>1</v>
      </c>
      <c r="W446" t="s">
        <v>59</v>
      </c>
      <c r="X446" t="s">
        <v>72</v>
      </c>
      <c r="Y446">
        <v>2</v>
      </c>
      <c r="Z446">
        <v>0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39</v>
      </c>
    </row>
    <row r="447" spans="1:34" x14ac:dyDescent="0.25">
      <c r="A447" t="s">
        <v>56</v>
      </c>
      <c r="B447" t="str">
        <f t="shared" si="161"/>
        <v>tarsin</v>
      </c>
      <c r="C447">
        <f t="shared" si="158"/>
        <v>34</v>
      </c>
      <c r="D447">
        <f t="shared" si="159"/>
        <v>0</v>
      </c>
      <c r="E447">
        <f t="shared" si="159"/>
        <v>1</v>
      </c>
      <c r="F447">
        <f t="shared" si="159"/>
        <v>21</v>
      </c>
      <c r="G447">
        <f t="shared" si="159"/>
        <v>0</v>
      </c>
      <c r="H447">
        <f t="shared" si="159"/>
        <v>0</v>
      </c>
      <c r="I447">
        <f t="shared" si="159"/>
        <v>7</v>
      </c>
      <c r="J447">
        <f t="shared" si="159"/>
        <v>5</v>
      </c>
      <c r="K447">
        <f t="shared" si="159"/>
        <v>0</v>
      </c>
      <c r="L447" t="b">
        <f t="shared" si="160"/>
        <v>1</v>
      </c>
      <c r="W447" t="s">
        <v>59</v>
      </c>
      <c r="X447" t="s">
        <v>22</v>
      </c>
      <c r="Y447">
        <v>66</v>
      </c>
      <c r="Z447">
        <v>0</v>
      </c>
      <c r="AA447">
        <v>0</v>
      </c>
      <c r="AB447">
        <v>5</v>
      </c>
      <c r="AC447">
        <v>1</v>
      </c>
      <c r="AD447">
        <v>0</v>
      </c>
      <c r="AE447">
        <v>0</v>
      </c>
      <c r="AF447">
        <v>60</v>
      </c>
      <c r="AG447">
        <v>0</v>
      </c>
      <c r="AH447">
        <v>39</v>
      </c>
    </row>
    <row r="448" spans="1:34" x14ac:dyDescent="0.25">
      <c r="A448" t="s">
        <v>56</v>
      </c>
      <c r="B448" t="str">
        <f t="shared" si="161"/>
        <v>telisha-gedola</v>
      </c>
      <c r="C448">
        <f t="shared" si="158"/>
        <v>36</v>
      </c>
      <c r="D448">
        <f t="shared" si="159"/>
        <v>0</v>
      </c>
      <c r="E448">
        <f t="shared" si="159"/>
        <v>0</v>
      </c>
      <c r="F448">
        <f t="shared" si="159"/>
        <v>14</v>
      </c>
      <c r="G448">
        <f t="shared" si="159"/>
        <v>0</v>
      </c>
      <c r="H448">
        <f t="shared" si="159"/>
        <v>0</v>
      </c>
      <c r="I448">
        <f t="shared" si="159"/>
        <v>5</v>
      </c>
      <c r="J448">
        <f t="shared" si="159"/>
        <v>16</v>
      </c>
      <c r="K448">
        <f t="shared" si="159"/>
        <v>1</v>
      </c>
      <c r="L448" t="b">
        <f t="shared" si="160"/>
        <v>1</v>
      </c>
      <c r="W448" t="s">
        <v>59</v>
      </c>
      <c r="X448" t="s">
        <v>5</v>
      </c>
      <c r="Y448">
        <v>69</v>
      </c>
      <c r="Z448">
        <v>0</v>
      </c>
      <c r="AA448">
        <v>0</v>
      </c>
      <c r="AB448">
        <v>23</v>
      </c>
      <c r="AC448">
        <v>0</v>
      </c>
      <c r="AD448">
        <v>0</v>
      </c>
      <c r="AE448">
        <v>5</v>
      </c>
      <c r="AF448">
        <v>41</v>
      </c>
      <c r="AG448">
        <v>0</v>
      </c>
      <c r="AH448">
        <v>39</v>
      </c>
    </row>
    <row r="449" spans="1:34" x14ac:dyDescent="0.25">
      <c r="A449" t="s">
        <v>56</v>
      </c>
      <c r="B449" t="str">
        <f t="shared" si="161"/>
        <v>azla</v>
      </c>
      <c r="C449">
        <f t="shared" si="158"/>
        <v>58</v>
      </c>
      <c r="D449">
        <f t="shared" si="159"/>
        <v>0</v>
      </c>
      <c r="E449">
        <f t="shared" si="159"/>
        <v>0</v>
      </c>
      <c r="F449">
        <f t="shared" si="159"/>
        <v>29</v>
      </c>
      <c r="G449">
        <f t="shared" si="159"/>
        <v>0</v>
      </c>
      <c r="H449">
        <f t="shared" si="159"/>
        <v>0</v>
      </c>
      <c r="I449">
        <f t="shared" si="159"/>
        <v>11</v>
      </c>
      <c r="J449">
        <f t="shared" si="159"/>
        <v>18</v>
      </c>
      <c r="K449">
        <f t="shared" si="159"/>
        <v>0</v>
      </c>
      <c r="L449" t="b">
        <f t="shared" si="160"/>
        <v>1</v>
      </c>
      <c r="W449" t="s">
        <v>59</v>
      </c>
      <c r="X449" t="s">
        <v>4</v>
      </c>
      <c r="Y449">
        <v>73</v>
      </c>
      <c r="Z449">
        <v>0</v>
      </c>
      <c r="AA449">
        <v>0</v>
      </c>
      <c r="AB449">
        <v>18</v>
      </c>
      <c r="AC449">
        <v>2</v>
      </c>
      <c r="AD449">
        <v>0</v>
      </c>
      <c r="AE449">
        <v>0</v>
      </c>
      <c r="AF449">
        <v>53</v>
      </c>
      <c r="AG449">
        <v>0</v>
      </c>
      <c r="AH449">
        <v>39</v>
      </c>
    </row>
    <row r="450" spans="1:34" x14ac:dyDescent="0.25">
      <c r="A450" t="s">
        <v>56</v>
      </c>
      <c r="B450" t="str">
        <f t="shared" si="161"/>
        <v>qadma</v>
      </c>
      <c r="C450">
        <f t="shared" si="158"/>
        <v>98</v>
      </c>
      <c r="D450">
        <f t="shared" si="159"/>
        <v>0</v>
      </c>
      <c r="E450">
        <f t="shared" si="159"/>
        <v>0</v>
      </c>
      <c r="F450">
        <f t="shared" si="159"/>
        <v>39</v>
      </c>
      <c r="G450">
        <f t="shared" si="159"/>
        <v>0</v>
      </c>
      <c r="H450">
        <f t="shared" si="159"/>
        <v>0</v>
      </c>
      <c r="I450">
        <f t="shared" si="159"/>
        <v>25</v>
      </c>
      <c r="J450">
        <f t="shared" si="159"/>
        <v>32</v>
      </c>
      <c r="K450">
        <f t="shared" si="159"/>
        <v>2</v>
      </c>
      <c r="L450" t="b">
        <f t="shared" si="160"/>
        <v>1</v>
      </c>
      <c r="W450" t="s">
        <v>59</v>
      </c>
      <c r="X450" t="s">
        <v>65</v>
      </c>
      <c r="Y450">
        <v>97</v>
      </c>
      <c r="Z450">
        <v>0</v>
      </c>
      <c r="AA450">
        <v>0</v>
      </c>
      <c r="AB450">
        <v>24</v>
      </c>
      <c r="AC450">
        <v>1</v>
      </c>
      <c r="AD450">
        <v>0</v>
      </c>
      <c r="AE450">
        <v>29</v>
      </c>
      <c r="AF450">
        <v>33</v>
      </c>
      <c r="AG450">
        <v>10</v>
      </c>
      <c r="AH450">
        <v>39</v>
      </c>
    </row>
    <row r="451" spans="1:34" x14ac:dyDescent="0.25">
      <c r="A451" t="s">
        <v>56</v>
      </c>
      <c r="B451" t="str">
        <f t="shared" si="161"/>
        <v>revia</v>
      </c>
      <c r="C451">
        <f t="shared" si="158"/>
        <v>144</v>
      </c>
      <c r="D451">
        <f t="shared" si="159"/>
        <v>0</v>
      </c>
      <c r="E451">
        <f t="shared" si="159"/>
        <v>0</v>
      </c>
      <c r="F451">
        <f t="shared" si="159"/>
        <v>36</v>
      </c>
      <c r="G451">
        <f t="shared" si="159"/>
        <v>0</v>
      </c>
      <c r="H451">
        <f t="shared" si="159"/>
        <v>0</v>
      </c>
      <c r="I451">
        <f t="shared" si="159"/>
        <v>11</v>
      </c>
      <c r="J451">
        <f t="shared" si="159"/>
        <v>97</v>
      </c>
      <c r="K451">
        <f t="shared" si="159"/>
        <v>0</v>
      </c>
      <c r="L451" t="b">
        <f t="shared" si="160"/>
        <v>1</v>
      </c>
      <c r="W451" t="s">
        <v>59</v>
      </c>
      <c r="X451" t="s">
        <v>63</v>
      </c>
      <c r="Y451">
        <v>104</v>
      </c>
      <c r="Z451">
        <v>0</v>
      </c>
      <c r="AA451">
        <v>0</v>
      </c>
      <c r="AB451">
        <v>44</v>
      </c>
      <c r="AC451">
        <v>1</v>
      </c>
      <c r="AD451">
        <v>0</v>
      </c>
      <c r="AE451">
        <v>15</v>
      </c>
      <c r="AF451">
        <v>42</v>
      </c>
      <c r="AG451">
        <v>2</v>
      </c>
      <c r="AH451">
        <v>39</v>
      </c>
    </row>
    <row r="452" spans="1:34" x14ac:dyDescent="0.25">
      <c r="A452" t="s">
        <v>56</v>
      </c>
      <c r="B452" t="str">
        <f t="shared" si="161"/>
        <v>pashta</v>
      </c>
      <c r="C452">
        <f t="shared" si="158"/>
        <v>309</v>
      </c>
      <c r="D452">
        <f t="shared" si="159"/>
        <v>0</v>
      </c>
      <c r="E452">
        <f t="shared" si="159"/>
        <v>0</v>
      </c>
      <c r="F452">
        <f t="shared" si="159"/>
        <v>97</v>
      </c>
      <c r="G452">
        <f t="shared" si="159"/>
        <v>12</v>
      </c>
      <c r="H452">
        <f t="shared" si="159"/>
        <v>0</v>
      </c>
      <c r="I452">
        <f t="shared" si="159"/>
        <v>15</v>
      </c>
      <c r="J452">
        <f t="shared" si="159"/>
        <v>45</v>
      </c>
      <c r="K452">
        <f t="shared" si="159"/>
        <v>140</v>
      </c>
      <c r="L452" t="b">
        <f t="shared" si="160"/>
        <v>1</v>
      </c>
      <c r="W452" t="s">
        <v>59</v>
      </c>
      <c r="X452" t="s">
        <v>64</v>
      </c>
      <c r="Y452">
        <v>107</v>
      </c>
      <c r="Z452">
        <v>0</v>
      </c>
      <c r="AA452">
        <v>1</v>
      </c>
      <c r="AB452">
        <v>51</v>
      </c>
      <c r="AC452">
        <v>0</v>
      </c>
      <c r="AD452">
        <v>0</v>
      </c>
      <c r="AE452">
        <v>8</v>
      </c>
      <c r="AF452">
        <v>45</v>
      </c>
      <c r="AG452">
        <v>2</v>
      </c>
      <c r="AH452">
        <v>39</v>
      </c>
    </row>
    <row r="453" spans="1:34" x14ac:dyDescent="0.25">
      <c r="A453" t="s">
        <v>56</v>
      </c>
      <c r="B453" t="str">
        <f t="shared" si="161"/>
        <v>zaqef-qatan</v>
      </c>
      <c r="C453">
        <f t="shared" si="158"/>
        <v>357</v>
      </c>
      <c r="D453">
        <f t="shared" si="159"/>
        <v>0</v>
      </c>
      <c r="E453">
        <f t="shared" si="159"/>
        <v>0</v>
      </c>
      <c r="F453">
        <f t="shared" si="159"/>
        <v>58</v>
      </c>
      <c r="G453">
        <f t="shared" si="159"/>
        <v>5</v>
      </c>
      <c r="H453">
        <f t="shared" si="159"/>
        <v>0</v>
      </c>
      <c r="I453">
        <f t="shared" si="159"/>
        <v>7</v>
      </c>
      <c r="J453">
        <f t="shared" si="159"/>
        <v>244</v>
      </c>
      <c r="K453">
        <f t="shared" si="159"/>
        <v>43</v>
      </c>
      <c r="L453" t="b">
        <f t="shared" si="160"/>
        <v>1</v>
      </c>
      <c r="W453" t="s">
        <v>59</v>
      </c>
      <c r="X453" t="s">
        <v>23</v>
      </c>
      <c r="Y453">
        <v>110</v>
      </c>
      <c r="Z453" s="1">
        <v>1</v>
      </c>
      <c r="AA453">
        <v>1</v>
      </c>
      <c r="AB453">
        <v>62</v>
      </c>
      <c r="AC453">
        <v>1</v>
      </c>
      <c r="AD453">
        <v>0</v>
      </c>
      <c r="AE453">
        <v>13</v>
      </c>
      <c r="AF453">
        <v>26</v>
      </c>
      <c r="AG453">
        <v>6</v>
      </c>
      <c r="AH453">
        <v>39</v>
      </c>
    </row>
    <row r="454" spans="1:34" x14ac:dyDescent="0.25">
      <c r="D454" t="s">
        <v>60</v>
      </c>
      <c r="E454" t="s">
        <v>14</v>
      </c>
      <c r="F454" t="s">
        <v>15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W454" t="s">
        <v>59</v>
      </c>
      <c r="X454" t="s">
        <v>8</v>
      </c>
      <c r="Y454">
        <v>248</v>
      </c>
      <c r="Z454">
        <v>0</v>
      </c>
      <c r="AA454">
        <v>1</v>
      </c>
      <c r="AB454">
        <v>138</v>
      </c>
      <c r="AC454">
        <v>0</v>
      </c>
      <c r="AD454">
        <v>0</v>
      </c>
      <c r="AE454">
        <v>28</v>
      </c>
      <c r="AF454">
        <v>79</v>
      </c>
      <c r="AG454">
        <v>2</v>
      </c>
      <c r="AH454">
        <v>39</v>
      </c>
    </row>
    <row r="455" spans="1:34" x14ac:dyDescent="0.25">
      <c r="A455" t="s">
        <v>57</v>
      </c>
      <c r="B455" t="str">
        <f>X420</f>
        <v>qarne-farah</v>
      </c>
      <c r="C455">
        <f t="shared" ref="C455:C467" si="162">SUM(D455:K455)</f>
        <v>4</v>
      </c>
      <c r="D455">
        <f t="shared" ref="D455:K467" si="163">Z420</f>
        <v>0</v>
      </c>
      <c r="E455">
        <f t="shared" si="163"/>
        <v>4</v>
      </c>
      <c r="F455">
        <f t="shared" si="163"/>
        <v>0</v>
      </c>
      <c r="G455">
        <f t="shared" si="163"/>
        <v>0</v>
      </c>
      <c r="H455">
        <f t="shared" si="163"/>
        <v>0</v>
      </c>
      <c r="I455">
        <f t="shared" si="163"/>
        <v>0</v>
      </c>
      <c r="J455">
        <f t="shared" si="163"/>
        <v>0</v>
      </c>
      <c r="K455">
        <f t="shared" si="163"/>
        <v>0</v>
      </c>
      <c r="L455" t="b">
        <f t="shared" ref="L455:L467" si="164">SUM(D455:K455)=Y420</f>
        <v>1</v>
      </c>
      <c r="W455" t="s">
        <v>59</v>
      </c>
      <c r="X455" t="s">
        <v>6</v>
      </c>
      <c r="Y455">
        <v>421</v>
      </c>
      <c r="Z455">
        <v>0</v>
      </c>
      <c r="AA455">
        <v>1</v>
      </c>
      <c r="AB455">
        <v>211</v>
      </c>
      <c r="AC455">
        <v>0</v>
      </c>
      <c r="AD455">
        <v>0</v>
      </c>
      <c r="AE455">
        <v>57</v>
      </c>
      <c r="AF455">
        <v>140</v>
      </c>
      <c r="AG455">
        <v>12</v>
      </c>
      <c r="AH455">
        <v>39</v>
      </c>
    </row>
    <row r="456" spans="1:34" x14ac:dyDescent="0.25">
      <c r="A456" t="s">
        <v>57</v>
      </c>
      <c r="B456" t="str">
        <f t="shared" ref="B456:B467" si="165">X421</f>
        <v>segol</v>
      </c>
      <c r="C456">
        <f t="shared" si="162"/>
        <v>21</v>
      </c>
      <c r="D456">
        <f t="shared" si="163"/>
        <v>0</v>
      </c>
      <c r="E456">
        <f t="shared" si="163"/>
        <v>0</v>
      </c>
      <c r="F456">
        <f t="shared" si="163"/>
        <v>2</v>
      </c>
      <c r="G456">
        <f t="shared" si="163"/>
        <v>0</v>
      </c>
      <c r="H456">
        <f t="shared" si="163"/>
        <v>0</v>
      </c>
      <c r="I456">
        <f t="shared" si="163"/>
        <v>0</v>
      </c>
      <c r="J456">
        <f t="shared" si="163"/>
        <v>19</v>
      </c>
      <c r="K456">
        <f t="shared" si="163"/>
        <v>0</v>
      </c>
      <c r="L456" t="b">
        <f t="shared" si="164"/>
        <v>1</v>
      </c>
      <c r="W456" t="s">
        <v>59</v>
      </c>
      <c r="X456" t="s">
        <v>1</v>
      </c>
      <c r="Y456">
        <v>503</v>
      </c>
      <c r="Z456">
        <v>0</v>
      </c>
      <c r="AA456">
        <v>0</v>
      </c>
      <c r="AB456">
        <v>119</v>
      </c>
      <c r="AC456">
        <v>0</v>
      </c>
      <c r="AD456">
        <v>0</v>
      </c>
      <c r="AE456">
        <v>44</v>
      </c>
      <c r="AF456">
        <v>333</v>
      </c>
      <c r="AG456">
        <v>7</v>
      </c>
      <c r="AH456">
        <v>39</v>
      </c>
    </row>
    <row r="457" spans="1:34" x14ac:dyDescent="0.25">
      <c r="A457" t="s">
        <v>57</v>
      </c>
      <c r="B457" t="str">
        <f t="shared" si="165"/>
        <v>tsinnor</v>
      </c>
      <c r="C457">
        <f t="shared" si="162"/>
        <v>22</v>
      </c>
      <c r="D457">
        <f t="shared" si="163"/>
        <v>0</v>
      </c>
      <c r="E457">
        <f t="shared" si="163"/>
        <v>0</v>
      </c>
      <c r="F457">
        <f t="shared" si="163"/>
        <v>3</v>
      </c>
      <c r="G457">
        <f t="shared" si="163"/>
        <v>3</v>
      </c>
      <c r="H457">
        <f t="shared" si="163"/>
        <v>0</v>
      </c>
      <c r="I457">
        <f t="shared" si="163"/>
        <v>0</v>
      </c>
      <c r="J457">
        <f t="shared" si="163"/>
        <v>16</v>
      </c>
      <c r="K457">
        <f t="shared" si="163"/>
        <v>0</v>
      </c>
      <c r="L457" t="b">
        <f t="shared" si="164"/>
        <v>1</v>
      </c>
      <c r="W457" t="s">
        <v>59</v>
      </c>
      <c r="X457" t="s">
        <v>66</v>
      </c>
      <c r="Y457">
        <v>1220</v>
      </c>
      <c r="Z457">
        <v>0</v>
      </c>
      <c r="AA457">
        <v>0</v>
      </c>
      <c r="AB457">
        <v>147</v>
      </c>
      <c r="AC457">
        <v>5</v>
      </c>
      <c r="AD457">
        <v>0</v>
      </c>
      <c r="AE457">
        <v>17</v>
      </c>
      <c r="AF457">
        <v>851</v>
      </c>
      <c r="AG457">
        <v>200</v>
      </c>
      <c r="AH457">
        <v>39</v>
      </c>
    </row>
    <row r="458" spans="1:34" x14ac:dyDescent="0.25">
      <c r="A458" t="s">
        <v>57</v>
      </c>
      <c r="B458" t="str">
        <f t="shared" si="165"/>
        <v>zaqef-gadol</v>
      </c>
      <c r="C458">
        <f t="shared" si="162"/>
        <v>34</v>
      </c>
      <c r="D458">
        <f t="shared" si="163"/>
        <v>0</v>
      </c>
      <c r="E458">
        <f t="shared" si="163"/>
        <v>0</v>
      </c>
      <c r="F458">
        <f t="shared" si="163"/>
        <v>8</v>
      </c>
      <c r="G458">
        <f t="shared" si="163"/>
        <v>0</v>
      </c>
      <c r="H458">
        <f t="shared" si="163"/>
        <v>0</v>
      </c>
      <c r="I458">
        <f t="shared" si="163"/>
        <v>10</v>
      </c>
      <c r="J458">
        <f t="shared" si="163"/>
        <v>15</v>
      </c>
      <c r="K458">
        <f t="shared" si="163"/>
        <v>1</v>
      </c>
      <c r="L458" t="b">
        <f t="shared" si="164"/>
        <v>1</v>
      </c>
      <c r="W458" t="s">
        <v>59</v>
      </c>
      <c r="X458" t="s">
        <v>24</v>
      </c>
      <c r="Y458">
        <v>1240</v>
      </c>
      <c r="Z458">
        <v>0</v>
      </c>
      <c r="AA458">
        <v>0</v>
      </c>
      <c r="AB458">
        <v>299</v>
      </c>
      <c r="AC458">
        <v>24</v>
      </c>
      <c r="AD458">
        <v>0</v>
      </c>
      <c r="AE458">
        <v>117</v>
      </c>
      <c r="AF458">
        <v>170</v>
      </c>
      <c r="AG458">
        <v>630</v>
      </c>
      <c r="AH458">
        <v>39</v>
      </c>
    </row>
    <row r="459" spans="1:34" x14ac:dyDescent="0.25">
      <c r="A459" t="s">
        <v>57</v>
      </c>
      <c r="B459" t="str">
        <f t="shared" si="165"/>
        <v>tarsin</v>
      </c>
      <c r="C459">
        <f t="shared" si="162"/>
        <v>39</v>
      </c>
      <c r="D459">
        <f t="shared" si="163"/>
        <v>0</v>
      </c>
      <c r="E459">
        <f t="shared" si="163"/>
        <v>0</v>
      </c>
      <c r="F459">
        <f t="shared" si="163"/>
        <v>21</v>
      </c>
      <c r="G459">
        <f t="shared" si="163"/>
        <v>0</v>
      </c>
      <c r="H459">
        <f t="shared" si="163"/>
        <v>0</v>
      </c>
      <c r="I459">
        <f t="shared" si="163"/>
        <v>7</v>
      </c>
      <c r="J459">
        <f t="shared" si="163"/>
        <v>10</v>
      </c>
      <c r="K459">
        <f t="shared" si="163"/>
        <v>1</v>
      </c>
      <c r="L459" t="b">
        <f t="shared" si="164"/>
        <v>1</v>
      </c>
    </row>
    <row r="460" spans="1:34" x14ac:dyDescent="0.25">
      <c r="A460" t="s">
        <v>57</v>
      </c>
      <c r="B460" t="str">
        <f t="shared" si="165"/>
        <v>telisha-qetana</v>
      </c>
      <c r="C460">
        <f t="shared" si="162"/>
        <v>40</v>
      </c>
      <c r="D460">
        <f t="shared" si="163"/>
        <v>0</v>
      </c>
      <c r="E460">
        <f t="shared" si="163"/>
        <v>1</v>
      </c>
      <c r="F460">
        <f t="shared" si="163"/>
        <v>21</v>
      </c>
      <c r="G460">
        <f t="shared" si="163"/>
        <v>0</v>
      </c>
      <c r="H460">
        <f t="shared" si="163"/>
        <v>0</v>
      </c>
      <c r="I460">
        <f t="shared" si="163"/>
        <v>4</v>
      </c>
      <c r="J460">
        <f t="shared" si="163"/>
        <v>13</v>
      </c>
      <c r="K460">
        <f t="shared" si="163"/>
        <v>1</v>
      </c>
      <c r="L460" t="b">
        <f t="shared" si="164"/>
        <v>1</v>
      </c>
    </row>
    <row r="461" spans="1:34" x14ac:dyDescent="0.25">
      <c r="A461" t="s">
        <v>57</v>
      </c>
      <c r="B461" t="str">
        <f t="shared" si="165"/>
        <v>telisha-gedola</v>
      </c>
      <c r="C461">
        <f t="shared" si="162"/>
        <v>45</v>
      </c>
      <c r="D461">
        <f t="shared" si="163"/>
        <v>0</v>
      </c>
      <c r="E461">
        <f t="shared" si="163"/>
        <v>1</v>
      </c>
      <c r="F461">
        <f t="shared" si="163"/>
        <v>12</v>
      </c>
      <c r="G461">
        <f t="shared" si="163"/>
        <v>0</v>
      </c>
      <c r="H461">
        <f t="shared" si="163"/>
        <v>0</v>
      </c>
      <c r="I461">
        <f t="shared" si="163"/>
        <v>4</v>
      </c>
      <c r="J461">
        <f t="shared" si="163"/>
        <v>28</v>
      </c>
      <c r="K461">
        <f t="shared" si="163"/>
        <v>0</v>
      </c>
      <c r="L461" t="b">
        <f t="shared" si="164"/>
        <v>1</v>
      </c>
    </row>
    <row r="462" spans="1:34" x14ac:dyDescent="0.25">
      <c r="A462" t="s">
        <v>57</v>
      </c>
      <c r="B462" t="str">
        <f t="shared" si="165"/>
        <v>pazer</v>
      </c>
      <c r="C462">
        <f t="shared" si="162"/>
        <v>50</v>
      </c>
      <c r="D462">
        <f t="shared" si="163"/>
        <v>0</v>
      </c>
      <c r="E462">
        <f t="shared" si="163"/>
        <v>0</v>
      </c>
      <c r="F462">
        <f t="shared" si="163"/>
        <v>17</v>
      </c>
      <c r="G462">
        <f t="shared" si="163"/>
        <v>0</v>
      </c>
      <c r="H462">
        <f t="shared" si="163"/>
        <v>0</v>
      </c>
      <c r="I462">
        <f t="shared" si="163"/>
        <v>6</v>
      </c>
      <c r="J462">
        <f t="shared" si="163"/>
        <v>27</v>
      </c>
      <c r="K462">
        <f t="shared" si="163"/>
        <v>0</v>
      </c>
      <c r="L462" t="b">
        <f t="shared" si="164"/>
        <v>1</v>
      </c>
    </row>
    <row r="463" spans="1:34" x14ac:dyDescent="0.25">
      <c r="A463" t="s">
        <v>57</v>
      </c>
      <c r="B463" t="str">
        <f t="shared" si="165"/>
        <v>azla</v>
      </c>
      <c r="C463">
        <f t="shared" si="162"/>
        <v>107</v>
      </c>
      <c r="D463">
        <f t="shared" si="163"/>
        <v>0</v>
      </c>
      <c r="E463">
        <f t="shared" si="163"/>
        <v>2</v>
      </c>
      <c r="F463">
        <f t="shared" si="163"/>
        <v>54</v>
      </c>
      <c r="G463">
        <f t="shared" si="163"/>
        <v>0</v>
      </c>
      <c r="H463">
        <f t="shared" si="163"/>
        <v>0</v>
      </c>
      <c r="I463">
        <f t="shared" si="163"/>
        <v>16</v>
      </c>
      <c r="J463">
        <f t="shared" si="163"/>
        <v>34</v>
      </c>
      <c r="K463">
        <f t="shared" si="163"/>
        <v>1</v>
      </c>
      <c r="L463" t="b">
        <f t="shared" si="164"/>
        <v>1</v>
      </c>
    </row>
    <row r="464" spans="1:34" x14ac:dyDescent="0.25">
      <c r="A464" t="s">
        <v>57</v>
      </c>
      <c r="B464" t="str">
        <f t="shared" si="165"/>
        <v>qadma</v>
      </c>
      <c r="C464">
        <f t="shared" si="162"/>
        <v>152</v>
      </c>
      <c r="D464">
        <f t="shared" si="163"/>
        <v>0</v>
      </c>
      <c r="E464">
        <f t="shared" si="163"/>
        <v>2</v>
      </c>
      <c r="F464">
        <f t="shared" si="163"/>
        <v>71</v>
      </c>
      <c r="G464">
        <f t="shared" si="163"/>
        <v>0</v>
      </c>
      <c r="H464">
        <f t="shared" si="163"/>
        <v>0</v>
      </c>
      <c r="I464">
        <f t="shared" si="163"/>
        <v>24</v>
      </c>
      <c r="J464">
        <f t="shared" si="163"/>
        <v>54</v>
      </c>
      <c r="K464">
        <f t="shared" si="163"/>
        <v>1</v>
      </c>
      <c r="L464" t="b">
        <f t="shared" si="164"/>
        <v>1</v>
      </c>
    </row>
    <row r="465" spans="1:12" x14ac:dyDescent="0.25">
      <c r="A465" t="s">
        <v>57</v>
      </c>
      <c r="B465" t="str">
        <f t="shared" si="165"/>
        <v>revia</v>
      </c>
      <c r="C465">
        <f t="shared" si="162"/>
        <v>176</v>
      </c>
      <c r="D465">
        <f t="shared" si="163"/>
        <v>0</v>
      </c>
      <c r="E465">
        <f t="shared" si="163"/>
        <v>1</v>
      </c>
      <c r="F465">
        <f t="shared" si="163"/>
        <v>35</v>
      </c>
      <c r="G465">
        <f t="shared" si="163"/>
        <v>0</v>
      </c>
      <c r="H465">
        <f t="shared" si="163"/>
        <v>0</v>
      </c>
      <c r="I465">
        <f t="shared" si="163"/>
        <v>18</v>
      </c>
      <c r="J465">
        <f t="shared" si="163"/>
        <v>120</v>
      </c>
      <c r="K465">
        <f t="shared" si="163"/>
        <v>2</v>
      </c>
      <c r="L465" t="b">
        <f t="shared" si="164"/>
        <v>1</v>
      </c>
    </row>
    <row r="466" spans="1:12" x14ac:dyDescent="0.25">
      <c r="A466" t="s">
        <v>57</v>
      </c>
      <c r="B466" t="str">
        <f t="shared" si="165"/>
        <v>pashta</v>
      </c>
      <c r="C466">
        <f t="shared" si="162"/>
        <v>453</v>
      </c>
      <c r="D466">
        <f t="shared" si="163"/>
        <v>0</v>
      </c>
      <c r="E466">
        <f t="shared" si="163"/>
        <v>0</v>
      </c>
      <c r="F466">
        <f t="shared" si="163"/>
        <v>114</v>
      </c>
      <c r="G466">
        <f t="shared" si="163"/>
        <v>8</v>
      </c>
      <c r="H466">
        <f t="shared" si="163"/>
        <v>0</v>
      </c>
      <c r="I466">
        <f t="shared" si="163"/>
        <v>50</v>
      </c>
      <c r="J466">
        <f t="shared" si="163"/>
        <v>66</v>
      </c>
      <c r="K466">
        <f t="shared" si="163"/>
        <v>215</v>
      </c>
      <c r="L466" t="b">
        <f t="shared" si="164"/>
        <v>1</v>
      </c>
    </row>
    <row r="467" spans="1:12" x14ac:dyDescent="0.25">
      <c r="A467" t="s">
        <v>57</v>
      </c>
      <c r="B467" t="str">
        <f t="shared" si="165"/>
        <v>zaqef-qatan</v>
      </c>
      <c r="C467">
        <f t="shared" si="162"/>
        <v>500</v>
      </c>
      <c r="D467">
        <f t="shared" si="163"/>
        <v>0</v>
      </c>
      <c r="E467">
        <f t="shared" si="163"/>
        <v>0</v>
      </c>
      <c r="F467">
        <f t="shared" si="163"/>
        <v>63</v>
      </c>
      <c r="G467">
        <f t="shared" si="163"/>
        <v>4</v>
      </c>
      <c r="H467">
        <f t="shared" si="163"/>
        <v>0</v>
      </c>
      <c r="I467">
        <f t="shared" si="163"/>
        <v>17</v>
      </c>
      <c r="J467">
        <f t="shared" si="163"/>
        <v>349</v>
      </c>
      <c r="K467">
        <f t="shared" si="163"/>
        <v>67</v>
      </c>
      <c r="L467" t="b">
        <f t="shared" si="164"/>
        <v>1</v>
      </c>
    </row>
    <row r="468" spans="1:12" x14ac:dyDescent="0.25">
      <c r="D468" t="s">
        <v>60</v>
      </c>
      <c r="E468" t="s">
        <v>14</v>
      </c>
      <c r="F468" t="s">
        <v>15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</row>
    <row r="469" spans="1:12" x14ac:dyDescent="0.25">
      <c r="A469" t="s">
        <v>58</v>
      </c>
      <c r="B469" t="str">
        <f>X433</f>
        <v>qarne-farah</v>
      </c>
      <c r="C469">
        <f t="shared" ref="C469:C481" si="166">SUM(D469:K469)</f>
        <v>1</v>
      </c>
      <c r="D469">
        <f t="shared" ref="D469:K469" si="167">Z433</f>
        <v>0</v>
      </c>
      <c r="E469">
        <f t="shared" si="167"/>
        <v>1</v>
      </c>
      <c r="F469">
        <f t="shared" si="167"/>
        <v>0</v>
      </c>
      <c r="G469">
        <f t="shared" si="167"/>
        <v>0</v>
      </c>
      <c r="H469">
        <f t="shared" si="167"/>
        <v>0</v>
      </c>
      <c r="I469">
        <f t="shared" si="167"/>
        <v>0</v>
      </c>
      <c r="J469">
        <f t="shared" si="167"/>
        <v>0</v>
      </c>
      <c r="K469">
        <f t="shared" si="167"/>
        <v>0</v>
      </c>
      <c r="L469" t="b">
        <f t="shared" ref="L469:L481" si="168">SUM(D469:K469)=Y433</f>
        <v>1</v>
      </c>
    </row>
    <row r="470" spans="1:12" x14ac:dyDescent="0.25">
      <c r="A470" t="s">
        <v>58</v>
      </c>
      <c r="B470" t="str">
        <f t="shared" ref="B470:K481" si="169">X434</f>
        <v>segol</v>
      </c>
      <c r="C470">
        <f t="shared" si="166"/>
        <v>23</v>
      </c>
      <c r="D470">
        <f t="shared" si="169"/>
        <v>0</v>
      </c>
      <c r="E470">
        <f t="shared" si="169"/>
        <v>0</v>
      </c>
      <c r="F470">
        <f t="shared" si="169"/>
        <v>4</v>
      </c>
      <c r="G470">
        <f t="shared" si="169"/>
        <v>1</v>
      </c>
      <c r="H470">
        <f t="shared" si="169"/>
        <v>0</v>
      </c>
      <c r="I470">
        <f t="shared" si="169"/>
        <v>0</v>
      </c>
      <c r="J470">
        <f t="shared" si="169"/>
        <v>18</v>
      </c>
      <c r="K470">
        <f t="shared" si="169"/>
        <v>0</v>
      </c>
      <c r="L470" t="b">
        <f t="shared" si="168"/>
        <v>1</v>
      </c>
    </row>
    <row r="471" spans="1:12" x14ac:dyDescent="0.25">
      <c r="A471" t="s">
        <v>58</v>
      </c>
      <c r="B471" t="str">
        <f t="shared" si="169"/>
        <v>tsinnor</v>
      </c>
      <c r="C471">
        <f t="shared" si="166"/>
        <v>23</v>
      </c>
      <c r="D471">
        <f t="shared" si="169"/>
        <v>0</v>
      </c>
      <c r="E471">
        <f t="shared" si="169"/>
        <v>0</v>
      </c>
      <c r="F471">
        <f t="shared" si="169"/>
        <v>11</v>
      </c>
      <c r="G471">
        <f t="shared" si="169"/>
        <v>2</v>
      </c>
      <c r="H471">
        <f t="shared" si="169"/>
        <v>0</v>
      </c>
      <c r="I471">
        <f t="shared" si="169"/>
        <v>0</v>
      </c>
      <c r="J471">
        <f t="shared" si="169"/>
        <v>10</v>
      </c>
      <c r="K471">
        <f t="shared" si="169"/>
        <v>0</v>
      </c>
      <c r="L471" t="b">
        <f t="shared" si="168"/>
        <v>1</v>
      </c>
    </row>
    <row r="472" spans="1:12" x14ac:dyDescent="0.25">
      <c r="A472" t="s">
        <v>58</v>
      </c>
      <c r="B472" t="str">
        <f t="shared" si="169"/>
        <v>zaqef-gadol</v>
      </c>
      <c r="C472">
        <f t="shared" si="166"/>
        <v>54</v>
      </c>
      <c r="D472">
        <f t="shared" si="169"/>
        <v>0</v>
      </c>
      <c r="E472">
        <f t="shared" si="169"/>
        <v>0</v>
      </c>
      <c r="F472">
        <f t="shared" si="169"/>
        <v>15</v>
      </c>
      <c r="G472">
        <f t="shared" si="169"/>
        <v>0</v>
      </c>
      <c r="H472">
        <f t="shared" si="169"/>
        <v>0</v>
      </c>
      <c r="I472">
        <f t="shared" si="169"/>
        <v>19</v>
      </c>
      <c r="J472">
        <f t="shared" si="169"/>
        <v>15</v>
      </c>
      <c r="K472">
        <f t="shared" si="169"/>
        <v>5</v>
      </c>
      <c r="L472" t="b">
        <f t="shared" si="168"/>
        <v>1</v>
      </c>
    </row>
    <row r="473" spans="1:12" x14ac:dyDescent="0.25">
      <c r="A473" t="s">
        <v>58</v>
      </c>
      <c r="B473" t="str">
        <f t="shared" si="169"/>
        <v>telisha-qetana</v>
      </c>
      <c r="C473">
        <f t="shared" si="166"/>
        <v>54</v>
      </c>
      <c r="D473">
        <f t="shared" si="169"/>
        <v>0</v>
      </c>
      <c r="E473">
        <f t="shared" si="169"/>
        <v>0</v>
      </c>
      <c r="F473">
        <f t="shared" si="169"/>
        <v>30</v>
      </c>
      <c r="G473">
        <f t="shared" si="169"/>
        <v>0</v>
      </c>
      <c r="H473">
        <f t="shared" si="169"/>
        <v>0</v>
      </c>
      <c r="I473">
        <f t="shared" si="169"/>
        <v>6</v>
      </c>
      <c r="J473">
        <f t="shared" si="169"/>
        <v>17</v>
      </c>
      <c r="K473">
        <f t="shared" si="169"/>
        <v>1</v>
      </c>
      <c r="L473" t="b">
        <f t="shared" si="168"/>
        <v>1</v>
      </c>
    </row>
    <row r="474" spans="1:12" x14ac:dyDescent="0.25">
      <c r="A474" t="s">
        <v>58</v>
      </c>
      <c r="B474" t="str">
        <f t="shared" si="169"/>
        <v>tarsin</v>
      </c>
      <c r="C474">
        <f t="shared" si="166"/>
        <v>60</v>
      </c>
      <c r="D474">
        <f t="shared" si="169"/>
        <v>0</v>
      </c>
      <c r="E474">
        <f t="shared" si="169"/>
        <v>0</v>
      </c>
      <c r="F474">
        <f t="shared" si="169"/>
        <v>36</v>
      </c>
      <c r="G474">
        <f t="shared" si="169"/>
        <v>0</v>
      </c>
      <c r="H474">
        <f t="shared" si="169"/>
        <v>0</v>
      </c>
      <c r="I474">
        <f t="shared" si="169"/>
        <v>7</v>
      </c>
      <c r="J474">
        <f t="shared" si="169"/>
        <v>16</v>
      </c>
      <c r="K474">
        <f t="shared" si="169"/>
        <v>1</v>
      </c>
      <c r="L474" t="b">
        <f t="shared" si="168"/>
        <v>1</v>
      </c>
    </row>
    <row r="475" spans="1:12" x14ac:dyDescent="0.25">
      <c r="A475" t="s">
        <v>58</v>
      </c>
      <c r="B475" t="str">
        <f t="shared" si="169"/>
        <v>telisha-gedola</v>
      </c>
      <c r="C475">
        <f t="shared" si="166"/>
        <v>66</v>
      </c>
      <c r="D475">
        <f t="shared" si="169"/>
        <v>0</v>
      </c>
      <c r="E475">
        <f t="shared" si="169"/>
        <v>0</v>
      </c>
      <c r="F475">
        <f t="shared" si="169"/>
        <v>26</v>
      </c>
      <c r="G475">
        <f t="shared" si="169"/>
        <v>0</v>
      </c>
      <c r="H475">
        <f t="shared" si="169"/>
        <v>0</v>
      </c>
      <c r="I475">
        <f t="shared" si="169"/>
        <v>8</v>
      </c>
      <c r="J475">
        <f t="shared" si="169"/>
        <v>31</v>
      </c>
      <c r="K475">
        <f t="shared" si="169"/>
        <v>1</v>
      </c>
      <c r="L475" t="b">
        <f t="shared" si="168"/>
        <v>1</v>
      </c>
    </row>
    <row r="476" spans="1:12" x14ac:dyDescent="0.25">
      <c r="A476" t="s">
        <v>58</v>
      </c>
      <c r="B476" t="str">
        <f t="shared" si="169"/>
        <v>pazer</v>
      </c>
      <c r="C476">
        <f t="shared" si="166"/>
        <v>74</v>
      </c>
      <c r="D476">
        <f t="shared" si="169"/>
        <v>0</v>
      </c>
      <c r="E476">
        <f t="shared" si="169"/>
        <v>0</v>
      </c>
      <c r="F476">
        <f t="shared" si="169"/>
        <v>26</v>
      </c>
      <c r="G476">
        <f t="shared" si="169"/>
        <v>0</v>
      </c>
      <c r="H476">
        <f t="shared" si="169"/>
        <v>0</v>
      </c>
      <c r="I476">
        <f t="shared" si="169"/>
        <v>14</v>
      </c>
      <c r="J476">
        <f t="shared" si="169"/>
        <v>34</v>
      </c>
      <c r="K476">
        <f t="shared" si="169"/>
        <v>0</v>
      </c>
      <c r="L476" t="b">
        <f t="shared" si="168"/>
        <v>1</v>
      </c>
    </row>
    <row r="477" spans="1:12" x14ac:dyDescent="0.25">
      <c r="A477" t="s">
        <v>58</v>
      </c>
      <c r="B477" t="str">
        <f t="shared" si="169"/>
        <v>azla</v>
      </c>
      <c r="C477">
        <f t="shared" si="166"/>
        <v>123</v>
      </c>
      <c r="D477">
        <f t="shared" si="169"/>
        <v>0</v>
      </c>
      <c r="E477">
        <f t="shared" si="169"/>
        <v>0</v>
      </c>
      <c r="F477">
        <f t="shared" si="169"/>
        <v>66</v>
      </c>
      <c r="G477">
        <f t="shared" si="169"/>
        <v>0</v>
      </c>
      <c r="H477">
        <f t="shared" si="169"/>
        <v>0</v>
      </c>
      <c r="I477">
        <f t="shared" si="169"/>
        <v>21</v>
      </c>
      <c r="J477">
        <f t="shared" si="169"/>
        <v>35</v>
      </c>
      <c r="K477">
        <f t="shared" si="169"/>
        <v>1</v>
      </c>
      <c r="L477" t="b">
        <f t="shared" si="168"/>
        <v>1</v>
      </c>
    </row>
    <row r="478" spans="1:12" x14ac:dyDescent="0.25">
      <c r="A478" t="s">
        <v>58</v>
      </c>
      <c r="B478" t="str">
        <f t="shared" si="169"/>
        <v>qadma</v>
      </c>
      <c r="C478">
        <f t="shared" si="166"/>
        <v>246</v>
      </c>
      <c r="D478">
        <f t="shared" si="169"/>
        <v>0</v>
      </c>
      <c r="E478">
        <f t="shared" si="169"/>
        <v>0</v>
      </c>
      <c r="F478">
        <f t="shared" si="169"/>
        <v>130</v>
      </c>
      <c r="G478">
        <f t="shared" si="169"/>
        <v>0</v>
      </c>
      <c r="H478">
        <f t="shared" si="169"/>
        <v>0</v>
      </c>
      <c r="I478">
        <f t="shared" si="169"/>
        <v>46</v>
      </c>
      <c r="J478">
        <f t="shared" si="169"/>
        <v>67</v>
      </c>
      <c r="K478">
        <f t="shared" si="169"/>
        <v>3</v>
      </c>
      <c r="L478" t="b">
        <f t="shared" si="168"/>
        <v>1</v>
      </c>
    </row>
    <row r="479" spans="1:12" x14ac:dyDescent="0.25">
      <c r="A479" t="s">
        <v>58</v>
      </c>
      <c r="B479" t="str">
        <f t="shared" si="169"/>
        <v>revia</v>
      </c>
      <c r="C479">
        <f t="shared" si="166"/>
        <v>290</v>
      </c>
      <c r="D479">
        <f t="shared" si="169"/>
        <v>0</v>
      </c>
      <c r="E479">
        <f t="shared" si="169"/>
        <v>0</v>
      </c>
      <c r="F479">
        <f t="shared" si="169"/>
        <v>74</v>
      </c>
      <c r="G479">
        <f t="shared" si="169"/>
        <v>1</v>
      </c>
      <c r="H479">
        <f t="shared" si="169"/>
        <v>0</v>
      </c>
      <c r="I479">
        <f t="shared" si="169"/>
        <v>33</v>
      </c>
      <c r="J479">
        <f t="shared" si="169"/>
        <v>180</v>
      </c>
      <c r="K479">
        <f t="shared" si="169"/>
        <v>2</v>
      </c>
      <c r="L479" t="b">
        <f t="shared" si="168"/>
        <v>1</v>
      </c>
    </row>
    <row r="480" spans="1:12" x14ac:dyDescent="0.25">
      <c r="A480" t="s">
        <v>58</v>
      </c>
      <c r="B480" t="str">
        <f t="shared" si="169"/>
        <v>pashta</v>
      </c>
      <c r="C480">
        <f t="shared" si="166"/>
        <v>876</v>
      </c>
      <c r="D480">
        <f t="shared" si="169"/>
        <v>0</v>
      </c>
      <c r="E480">
        <f t="shared" si="169"/>
        <v>0</v>
      </c>
      <c r="F480">
        <f t="shared" si="169"/>
        <v>259</v>
      </c>
      <c r="G480">
        <f t="shared" si="169"/>
        <v>17</v>
      </c>
      <c r="H480">
        <f t="shared" si="169"/>
        <v>0</v>
      </c>
      <c r="I480">
        <f t="shared" si="169"/>
        <v>106</v>
      </c>
      <c r="J480">
        <f t="shared" si="169"/>
        <v>78</v>
      </c>
      <c r="K480">
        <f t="shared" si="169"/>
        <v>416</v>
      </c>
      <c r="L480" t="b">
        <f t="shared" si="168"/>
        <v>1</v>
      </c>
    </row>
    <row r="481" spans="1:12" x14ac:dyDescent="0.25">
      <c r="A481" t="s">
        <v>58</v>
      </c>
      <c r="B481" t="str">
        <f t="shared" si="169"/>
        <v>zaqef-qatan</v>
      </c>
      <c r="C481">
        <f t="shared" si="166"/>
        <v>996</v>
      </c>
      <c r="D481">
        <f t="shared" si="169"/>
        <v>0</v>
      </c>
      <c r="E481">
        <f t="shared" si="169"/>
        <v>0</v>
      </c>
      <c r="F481">
        <f t="shared" si="169"/>
        <v>137</v>
      </c>
      <c r="G481">
        <f t="shared" si="169"/>
        <v>5</v>
      </c>
      <c r="H481">
        <f t="shared" si="169"/>
        <v>0</v>
      </c>
      <c r="I481">
        <f t="shared" si="169"/>
        <v>52</v>
      </c>
      <c r="J481">
        <f t="shared" si="169"/>
        <v>618</v>
      </c>
      <c r="K481">
        <f t="shared" si="169"/>
        <v>184</v>
      </c>
      <c r="L481" t="b">
        <f t="shared" si="168"/>
        <v>1</v>
      </c>
    </row>
    <row r="482" spans="1:12" x14ac:dyDescent="0.25">
      <c r="D482" t="s">
        <v>60</v>
      </c>
      <c r="E482" t="s">
        <v>14</v>
      </c>
      <c r="F482" t="s">
        <v>15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</row>
    <row r="483" spans="1:12" x14ac:dyDescent="0.25">
      <c r="A483" t="s">
        <v>59</v>
      </c>
      <c r="B483" t="str">
        <f t="shared" ref="B483:B495" si="170">X446</f>
        <v>qarne-farah</v>
      </c>
      <c r="C483">
        <f>SUM(D483:K483)</f>
        <v>2</v>
      </c>
      <c r="D483">
        <f t="shared" ref="D483:K483" si="171">Z446</f>
        <v>0</v>
      </c>
      <c r="E483">
        <f t="shared" si="171"/>
        <v>2</v>
      </c>
      <c r="F483">
        <f t="shared" si="171"/>
        <v>0</v>
      </c>
      <c r="G483">
        <f t="shared" si="171"/>
        <v>0</v>
      </c>
      <c r="H483">
        <f t="shared" si="171"/>
        <v>0</v>
      </c>
      <c r="I483">
        <f t="shared" si="171"/>
        <v>0</v>
      </c>
      <c r="J483">
        <f t="shared" si="171"/>
        <v>0</v>
      </c>
      <c r="K483">
        <f t="shared" si="171"/>
        <v>0</v>
      </c>
      <c r="L483" t="b">
        <f t="shared" ref="L483:L495" si="172">SUM(D483:K483)=Y446</f>
        <v>1</v>
      </c>
    </row>
    <row r="484" spans="1:12" x14ac:dyDescent="0.25">
      <c r="A484" t="s">
        <v>59</v>
      </c>
      <c r="B484" t="str">
        <f t="shared" si="170"/>
        <v>segol</v>
      </c>
      <c r="C484">
        <f t="shared" ref="C484:C495" si="173">SUM(D484:K484)</f>
        <v>66</v>
      </c>
      <c r="D484">
        <f t="shared" ref="D484:K484" si="174">Z447</f>
        <v>0</v>
      </c>
      <c r="E484">
        <f t="shared" si="174"/>
        <v>0</v>
      </c>
      <c r="F484">
        <f t="shared" si="174"/>
        <v>5</v>
      </c>
      <c r="G484">
        <f t="shared" si="174"/>
        <v>1</v>
      </c>
      <c r="H484">
        <f t="shared" si="174"/>
        <v>0</v>
      </c>
      <c r="I484">
        <f t="shared" si="174"/>
        <v>0</v>
      </c>
      <c r="J484">
        <f t="shared" si="174"/>
        <v>60</v>
      </c>
      <c r="K484">
        <f t="shared" si="174"/>
        <v>0</v>
      </c>
      <c r="L484" t="b">
        <f t="shared" si="172"/>
        <v>1</v>
      </c>
    </row>
    <row r="485" spans="1:12" x14ac:dyDescent="0.25">
      <c r="A485" t="s">
        <v>59</v>
      </c>
      <c r="B485" t="str">
        <f t="shared" si="170"/>
        <v>pazer</v>
      </c>
      <c r="C485">
        <f t="shared" si="173"/>
        <v>69</v>
      </c>
      <c r="D485">
        <f t="shared" ref="D485:K485" si="175">Z448</f>
        <v>0</v>
      </c>
      <c r="E485">
        <f t="shared" si="175"/>
        <v>0</v>
      </c>
      <c r="F485">
        <f t="shared" si="175"/>
        <v>23</v>
      </c>
      <c r="G485">
        <f t="shared" si="175"/>
        <v>0</v>
      </c>
      <c r="H485">
        <f t="shared" si="175"/>
        <v>0</v>
      </c>
      <c r="I485">
        <f t="shared" si="175"/>
        <v>5</v>
      </c>
      <c r="J485">
        <f t="shared" si="175"/>
        <v>41</v>
      </c>
      <c r="K485">
        <f t="shared" si="175"/>
        <v>0</v>
      </c>
      <c r="L485" t="b">
        <f t="shared" si="172"/>
        <v>1</v>
      </c>
    </row>
    <row r="486" spans="1:12" x14ac:dyDescent="0.25">
      <c r="A486" t="s">
        <v>59</v>
      </c>
      <c r="B486" t="str">
        <f t="shared" si="170"/>
        <v>tsinnor</v>
      </c>
      <c r="C486">
        <f t="shared" si="173"/>
        <v>73</v>
      </c>
      <c r="D486">
        <f t="shared" ref="D486:K486" si="176">Z449</f>
        <v>0</v>
      </c>
      <c r="E486">
        <f t="shared" si="176"/>
        <v>0</v>
      </c>
      <c r="F486">
        <f t="shared" si="176"/>
        <v>18</v>
      </c>
      <c r="G486">
        <f t="shared" si="176"/>
        <v>2</v>
      </c>
      <c r="H486">
        <f t="shared" si="176"/>
        <v>0</v>
      </c>
      <c r="I486">
        <f t="shared" si="176"/>
        <v>0</v>
      </c>
      <c r="J486">
        <f t="shared" si="176"/>
        <v>53</v>
      </c>
      <c r="K486">
        <f t="shared" si="176"/>
        <v>0</v>
      </c>
      <c r="L486" t="b">
        <f t="shared" si="172"/>
        <v>1</v>
      </c>
    </row>
    <row r="487" spans="1:12" x14ac:dyDescent="0.25">
      <c r="A487" t="s">
        <v>59</v>
      </c>
      <c r="B487" t="str">
        <f t="shared" si="170"/>
        <v>zaqef-gadol</v>
      </c>
      <c r="C487">
        <f t="shared" si="173"/>
        <v>97</v>
      </c>
      <c r="D487">
        <f t="shared" ref="D487:K487" si="177">Z450</f>
        <v>0</v>
      </c>
      <c r="E487">
        <f t="shared" si="177"/>
        <v>0</v>
      </c>
      <c r="F487">
        <f t="shared" si="177"/>
        <v>24</v>
      </c>
      <c r="G487">
        <f t="shared" si="177"/>
        <v>1</v>
      </c>
      <c r="H487">
        <f t="shared" si="177"/>
        <v>0</v>
      </c>
      <c r="I487">
        <f t="shared" si="177"/>
        <v>29</v>
      </c>
      <c r="J487">
        <f t="shared" si="177"/>
        <v>33</v>
      </c>
      <c r="K487">
        <f t="shared" si="177"/>
        <v>10</v>
      </c>
      <c r="L487" t="b">
        <f t="shared" si="172"/>
        <v>1</v>
      </c>
    </row>
    <row r="488" spans="1:12" x14ac:dyDescent="0.25">
      <c r="A488" t="s">
        <v>59</v>
      </c>
      <c r="B488" t="str">
        <f t="shared" si="170"/>
        <v>telisha-gedola</v>
      </c>
      <c r="C488">
        <f t="shared" si="173"/>
        <v>104</v>
      </c>
      <c r="D488">
        <f t="shared" ref="D488:K488" si="178">Z451</f>
        <v>0</v>
      </c>
      <c r="E488">
        <f t="shared" si="178"/>
        <v>0</v>
      </c>
      <c r="F488">
        <f t="shared" si="178"/>
        <v>44</v>
      </c>
      <c r="G488">
        <f t="shared" si="178"/>
        <v>1</v>
      </c>
      <c r="H488">
        <f t="shared" si="178"/>
        <v>0</v>
      </c>
      <c r="I488">
        <f t="shared" si="178"/>
        <v>15</v>
      </c>
      <c r="J488">
        <f t="shared" si="178"/>
        <v>42</v>
      </c>
      <c r="K488">
        <f t="shared" si="178"/>
        <v>2</v>
      </c>
      <c r="L488" t="b">
        <f t="shared" si="172"/>
        <v>1</v>
      </c>
    </row>
    <row r="489" spans="1:12" x14ac:dyDescent="0.25">
      <c r="A489" t="s">
        <v>59</v>
      </c>
      <c r="B489" t="str">
        <f t="shared" si="170"/>
        <v>telisha-qetana</v>
      </c>
      <c r="C489">
        <f t="shared" si="173"/>
        <v>107</v>
      </c>
      <c r="D489">
        <f t="shared" ref="D489:K489" si="179">Z452</f>
        <v>0</v>
      </c>
      <c r="E489">
        <f t="shared" si="179"/>
        <v>1</v>
      </c>
      <c r="F489">
        <f t="shared" si="179"/>
        <v>51</v>
      </c>
      <c r="G489">
        <f t="shared" si="179"/>
        <v>0</v>
      </c>
      <c r="H489">
        <f t="shared" si="179"/>
        <v>0</v>
      </c>
      <c r="I489">
        <f t="shared" si="179"/>
        <v>8</v>
      </c>
      <c r="J489">
        <f t="shared" si="179"/>
        <v>45</v>
      </c>
      <c r="K489">
        <f t="shared" si="179"/>
        <v>2</v>
      </c>
      <c r="L489" t="b">
        <f t="shared" si="172"/>
        <v>1</v>
      </c>
    </row>
    <row r="490" spans="1:12" x14ac:dyDescent="0.25">
      <c r="A490" t="s">
        <v>59</v>
      </c>
      <c r="B490" t="str">
        <f t="shared" si="170"/>
        <v>tarsin</v>
      </c>
      <c r="C490">
        <f t="shared" si="173"/>
        <v>110</v>
      </c>
      <c r="D490">
        <f t="shared" ref="D490:K490" si="180">Z453</f>
        <v>1</v>
      </c>
      <c r="E490">
        <f t="shared" si="180"/>
        <v>1</v>
      </c>
      <c r="F490">
        <f t="shared" si="180"/>
        <v>62</v>
      </c>
      <c r="G490">
        <f t="shared" si="180"/>
        <v>1</v>
      </c>
      <c r="H490">
        <f t="shared" si="180"/>
        <v>0</v>
      </c>
      <c r="I490">
        <f t="shared" si="180"/>
        <v>13</v>
      </c>
      <c r="J490">
        <f t="shared" si="180"/>
        <v>26</v>
      </c>
      <c r="K490">
        <f t="shared" si="180"/>
        <v>6</v>
      </c>
      <c r="L490" t="b">
        <f t="shared" si="172"/>
        <v>1</v>
      </c>
    </row>
    <row r="491" spans="1:12" x14ac:dyDescent="0.25">
      <c r="A491" t="s">
        <v>59</v>
      </c>
      <c r="B491" t="str">
        <f t="shared" si="170"/>
        <v>azla</v>
      </c>
      <c r="C491">
        <f t="shared" si="173"/>
        <v>248</v>
      </c>
      <c r="D491">
        <f t="shared" ref="D491:K491" si="181">Z454</f>
        <v>0</v>
      </c>
      <c r="E491">
        <f t="shared" si="181"/>
        <v>1</v>
      </c>
      <c r="F491">
        <f t="shared" si="181"/>
        <v>138</v>
      </c>
      <c r="G491">
        <f t="shared" si="181"/>
        <v>0</v>
      </c>
      <c r="H491">
        <f t="shared" si="181"/>
        <v>0</v>
      </c>
      <c r="I491">
        <f t="shared" si="181"/>
        <v>28</v>
      </c>
      <c r="J491">
        <f t="shared" si="181"/>
        <v>79</v>
      </c>
      <c r="K491">
        <f t="shared" si="181"/>
        <v>2</v>
      </c>
      <c r="L491" t="b">
        <f t="shared" si="172"/>
        <v>1</v>
      </c>
    </row>
    <row r="492" spans="1:12" x14ac:dyDescent="0.25">
      <c r="A492" t="s">
        <v>59</v>
      </c>
      <c r="B492" t="str">
        <f t="shared" si="170"/>
        <v>qadma</v>
      </c>
      <c r="C492">
        <f t="shared" si="173"/>
        <v>421</v>
      </c>
      <c r="D492">
        <f t="shared" ref="D492:K492" si="182">Z455</f>
        <v>0</v>
      </c>
      <c r="E492">
        <f t="shared" si="182"/>
        <v>1</v>
      </c>
      <c r="F492">
        <f t="shared" si="182"/>
        <v>211</v>
      </c>
      <c r="G492">
        <f t="shared" si="182"/>
        <v>0</v>
      </c>
      <c r="H492">
        <f t="shared" si="182"/>
        <v>0</v>
      </c>
      <c r="I492">
        <f t="shared" si="182"/>
        <v>57</v>
      </c>
      <c r="J492">
        <f t="shared" si="182"/>
        <v>140</v>
      </c>
      <c r="K492">
        <f t="shared" si="182"/>
        <v>12</v>
      </c>
      <c r="L492" t="b">
        <f t="shared" si="172"/>
        <v>1</v>
      </c>
    </row>
    <row r="493" spans="1:12" x14ac:dyDescent="0.25">
      <c r="A493" t="s">
        <v>59</v>
      </c>
      <c r="B493" t="str">
        <f t="shared" si="170"/>
        <v>revia</v>
      </c>
      <c r="C493">
        <f t="shared" si="173"/>
        <v>503</v>
      </c>
      <c r="D493">
        <f t="shared" ref="D493:K493" si="183">Z456</f>
        <v>0</v>
      </c>
      <c r="E493">
        <f t="shared" si="183"/>
        <v>0</v>
      </c>
      <c r="F493">
        <f t="shared" si="183"/>
        <v>119</v>
      </c>
      <c r="G493">
        <f t="shared" si="183"/>
        <v>0</v>
      </c>
      <c r="H493">
        <f t="shared" si="183"/>
        <v>0</v>
      </c>
      <c r="I493">
        <f t="shared" si="183"/>
        <v>44</v>
      </c>
      <c r="J493">
        <f t="shared" si="183"/>
        <v>333</v>
      </c>
      <c r="K493">
        <f t="shared" si="183"/>
        <v>7</v>
      </c>
      <c r="L493" t="b">
        <f t="shared" si="172"/>
        <v>1</v>
      </c>
    </row>
    <row r="494" spans="1:12" x14ac:dyDescent="0.25">
      <c r="A494" t="s">
        <v>59</v>
      </c>
      <c r="B494" t="str">
        <f t="shared" si="170"/>
        <v>zaqef-qatan</v>
      </c>
      <c r="C494">
        <f t="shared" si="173"/>
        <v>1220</v>
      </c>
      <c r="D494">
        <f t="shared" ref="D494:K494" si="184">Z457</f>
        <v>0</v>
      </c>
      <c r="E494">
        <f t="shared" si="184"/>
        <v>0</v>
      </c>
      <c r="F494">
        <f t="shared" si="184"/>
        <v>147</v>
      </c>
      <c r="G494">
        <f t="shared" si="184"/>
        <v>5</v>
      </c>
      <c r="H494">
        <f t="shared" si="184"/>
        <v>0</v>
      </c>
      <c r="I494">
        <f t="shared" si="184"/>
        <v>17</v>
      </c>
      <c r="J494">
        <f t="shared" si="184"/>
        <v>851</v>
      </c>
      <c r="K494">
        <f t="shared" si="184"/>
        <v>200</v>
      </c>
      <c r="L494" t="b">
        <f t="shared" si="172"/>
        <v>1</v>
      </c>
    </row>
    <row r="495" spans="1:12" x14ac:dyDescent="0.25">
      <c r="A495" t="s">
        <v>59</v>
      </c>
      <c r="B495" t="str">
        <f t="shared" si="170"/>
        <v>pashta</v>
      </c>
      <c r="C495">
        <f t="shared" si="173"/>
        <v>1240</v>
      </c>
      <c r="D495">
        <f t="shared" ref="D495:K495" si="185">Z458</f>
        <v>0</v>
      </c>
      <c r="E495">
        <f t="shared" si="185"/>
        <v>0</v>
      </c>
      <c r="F495">
        <f t="shared" si="185"/>
        <v>299</v>
      </c>
      <c r="G495">
        <f t="shared" si="185"/>
        <v>24</v>
      </c>
      <c r="H495">
        <f t="shared" si="185"/>
        <v>0</v>
      </c>
      <c r="I495">
        <f t="shared" si="185"/>
        <v>117</v>
      </c>
      <c r="J495">
        <f t="shared" si="185"/>
        <v>170</v>
      </c>
      <c r="K495">
        <f t="shared" si="185"/>
        <v>630</v>
      </c>
      <c r="L495" t="b">
        <f t="shared" si="172"/>
        <v>1</v>
      </c>
    </row>
    <row r="496" spans="1:12" x14ac:dyDescent="0.25">
      <c r="D496" s="1">
        <f>SUM(D1:D495)</f>
        <v>1</v>
      </c>
      <c r="E496">
        <f t="shared" ref="E496:K496" si="186">SUM(E1:E495)</f>
        <v>42</v>
      </c>
      <c r="F496">
        <f t="shared" si="186"/>
        <v>20777</v>
      </c>
      <c r="G496">
        <f t="shared" si="186"/>
        <v>1105</v>
      </c>
      <c r="H496">
        <f t="shared" si="186"/>
        <v>16</v>
      </c>
      <c r="I496">
        <f t="shared" si="186"/>
        <v>7717</v>
      </c>
      <c r="J496">
        <f t="shared" si="186"/>
        <v>31506</v>
      </c>
      <c r="K496">
        <f t="shared" si="186"/>
        <v>18406</v>
      </c>
    </row>
    <row r="497" spans="4:4" x14ac:dyDescent="0.25">
      <c r="D497" t="s">
        <v>126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zoomScale="85" zoomScaleNormal="85" workbookViewId="0">
      <selection activeCell="A66" sqref="A66:N71"/>
    </sheetView>
  </sheetViews>
  <sheetFormatPr defaultRowHeight="15" x14ac:dyDescent="0.25"/>
  <cols>
    <col min="5" max="5" width="9.140625" customWidth="1"/>
    <col min="11" max="12" width="11" bestFit="1" customWidth="1"/>
    <col min="14" max="14" width="11" bestFit="1" customWidth="1"/>
    <col min="15" max="15" width="14.42578125" bestFit="1" customWidth="1"/>
  </cols>
  <sheetData>
    <row r="1" spans="1:15" x14ac:dyDescent="0.25">
      <c r="A1" t="s">
        <v>98</v>
      </c>
    </row>
    <row r="2" spans="1:15" x14ac:dyDescent="0.25">
      <c r="A2" t="s">
        <v>99</v>
      </c>
    </row>
    <row r="3" spans="1:15" x14ac:dyDescent="0.25">
      <c r="A3" t="s">
        <v>93</v>
      </c>
      <c r="B3" t="s">
        <v>94</v>
      </c>
      <c r="C3" t="s">
        <v>96</v>
      </c>
      <c r="D3" t="s">
        <v>97</v>
      </c>
      <c r="E3" t="s">
        <v>95</v>
      </c>
      <c r="F3" t="s">
        <v>1</v>
      </c>
      <c r="G3" t="s">
        <v>3</v>
      </c>
      <c r="H3" t="s">
        <v>2</v>
      </c>
      <c r="I3" t="s">
        <v>84</v>
      </c>
      <c r="J3" t="s">
        <v>6</v>
      </c>
      <c r="K3" t="s">
        <v>5</v>
      </c>
      <c r="L3" t="s">
        <v>9</v>
      </c>
      <c r="M3" t="s">
        <v>4</v>
      </c>
      <c r="N3" t="s">
        <v>11</v>
      </c>
      <c r="O3" t="s">
        <v>10</v>
      </c>
    </row>
    <row r="4" spans="1:15" x14ac:dyDescent="0.25">
      <c r="A4">
        <v>27</v>
      </c>
      <c r="B4" t="s">
        <v>7</v>
      </c>
      <c r="C4">
        <v>2</v>
      </c>
      <c r="D4">
        <v>1</v>
      </c>
      <c r="E4" t="s">
        <v>85</v>
      </c>
      <c r="F4">
        <v>2</v>
      </c>
      <c r="G4">
        <v>51</v>
      </c>
      <c r="H4">
        <v>0</v>
      </c>
      <c r="I4">
        <v>0</v>
      </c>
      <c r="J4">
        <v>0</v>
      </c>
      <c r="K4">
        <v>9</v>
      </c>
      <c r="L4">
        <v>2</v>
      </c>
      <c r="M4">
        <v>1</v>
      </c>
      <c r="N4">
        <v>0</v>
      </c>
      <c r="O4">
        <v>0</v>
      </c>
    </row>
    <row r="5" spans="1:15" x14ac:dyDescent="0.25">
      <c r="A5">
        <v>27</v>
      </c>
      <c r="B5" t="s">
        <v>7</v>
      </c>
      <c r="C5">
        <v>3</v>
      </c>
      <c r="D5">
        <v>1</v>
      </c>
      <c r="E5" t="s">
        <v>86</v>
      </c>
      <c r="F5">
        <v>122</v>
      </c>
      <c r="G5">
        <v>33</v>
      </c>
      <c r="H5">
        <v>22</v>
      </c>
      <c r="I5">
        <v>24</v>
      </c>
      <c r="J5">
        <v>29</v>
      </c>
      <c r="K5">
        <v>6</v>
      </c>
      <c r="L5">
        <v>24</v>
      </c>
      <c r="M5">
        <v>27</v>
      </c>
      <c r="N5">
        <v>1</v>
      </c>
      <c r="O5">
        <v>1</v>
      </c>
    </row>
    <row r="6" spans="1:15" x14ac:dyDescent="0.25">
      <c r="A6">
        <v>27</v>
      </c>
      <c r="B6" t="s">
        <v>7</v>
      </c>
      <c r="C6">
        <v>4</v>
      </c>
      <c r="D6">
        <v>1</v>
      </c>
      <c r="E6" t="s">
        <v>87</v>
      </c>
      <c r="F6">
        <v>233</v>
      </c>
      <c r="G6">
        <v>27</v>
      </c>
      <c r="H6">
        <v>171</v>
      </c>
      <c r="I6">
        <v>1</v>
      </c>
      <c r="J6">
        <v>7</v>
      </c>
      <c r="K6">
        <v>7</v>
      </c>
      <c r="L6">
        <v>4</v>
      </c>
      <c r="M6">
        <v>20</v>
      </c>
      <c r="N6">
        <v>0</v>
      </c>
      <c r="O6">
        <v>15</v>
      </c>
    </row>
    <row r="7" spans="1:15" x14ac:dyDescent="0.25">
      <c r="A7">
        <v>27</v>
      </c>
      <c r="B7" t="s">
        <v>7</v>
      </c>
      <c r="C7">
        <v>5</v>
      </c>
      <c r="D7">
        <v>1</v>
      </c>
      <c r="E7" t="s">
        <v>90</v>
      </c>
      <c r="F7">
        <v>3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27</v>
      </c>
      <c r="B8" t="s">
        <v>7</v>
      </c>
      <c r="C8">
        <v>6</v>
      </c>
      <c r="D8">
        <v>1</v>
      </c>
      <c r="E8" t="s">
        <v>88</v>
      </c>
      <c r="F8">
        <v>315</v>
      </c>
      <c r="G8">
        <v>0</v>
      </c>
      <c r="H8">
        <v>322</v>
      </c>
      <c r="I8">
        <v>2</v>
      </c>
      <c r="J8">
        <v>2</v>
      </c>
      <c r="K8">
        <v>0</v>
      </c>
      <c r="L8">
        <v>1</v>
      </c>
      <c r="M8">
        <v>0</v>
      </c>
      <c r="N8">
        <v>5</v>
      </c>
      <c r="O8">
        <v>21</v>
      </c>
    </row>
    <row r="9" spans="1:15" x14ac:dyDescent="0.25">
      <c r="A9">
        <v>27</v>
      </c>
      <c r="B9" t="s">
        <v>7</v>
      </c>
      <c r="C9">
        <v>7</v>
      </c>
      <c r="D9">
        <v>1</v>
      </c>
      <c r="E9" t="s">
        <v>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22</v>
      </c>
      <c r="N9">
        <v>0</v>
      </c>
      <c r="O9">
        <v>0</v>
      </c>
    </row>
    <row r="10" spans="1:15" x14ac:dyDescent="0.25">
      <c r="A10">
        <v>27</v>
      </c>
      <c r="B10" t="s">
        <v>7</v>
      </c>
      <c r="C10">
        <v>8</v>
      </c>
      <c r="D10">
        <v>1</v>
      </c>
      <c r="E10" t="s">
        <v>89</v>
      </c>
      <c r="F10">
        <v>68</v>
      </c>
      <c r="G10">
        <v>5</v>
      </c>
      <c r="H10">
        <v>0</v>
      </c>
      <c r="I10">
        <v>24</v>
      </c>
      <c r="J10">
        <v>56</v>
      </c>
      <c r="K10">
        <v>0</v>
      </c>
      <c r="L10">
        <v>15</v>
      </c>
      <c r="M10">
        <v>9</v>
      </c>
      <c r="N10">
        <v>1</v>
      </c>
      <c r="O10">
        <v>0</v>
      </c>
    </row>
    <row r="11" spans="1:15" x14ac:dyDescent="0.25">
      <c r="A11" t="s">
        <v>93</v>
      </c>
      <c r="B11" t="s">
        <v>94</v>
      </c>
      <c r="C11" t="s">
        <v>96</v>
      </c>
      <c r="D11" t="s">
        <v>97</v>
      </c>
      <c r="E11" t="s">
        <v>95</v>
      </c>
      <c r="F11" t="s">
        <v>1</v>
      </c>
      <c r="G11" t="s">
        <v>3</v>
      </c>
      <c r="H11" t="s">
        <v>2</v>
      </c>
      <c r="I11" t="s">
        <v>84</v>
      </c>
      <c r="J11" t="s">
        <v>6</v>
      </c>
      <c r="K11" t="s">
        <v>5</v>
      </c>
      <c r="L11" t="s">
        <v>9</v>
      </c>
      <c r="M11" t="s">
        <v>4</v>
      </c>
      <c r="N11" t="s">
        <v>11</v>
      </c>
      <c r="O11" t="s">
        <v>92</v>
      </c>
    </row>
    <row r="12" spans="1:15" x14ac:dyDescent="0.25">
      <c r="A12">
        <v>27</v>
      </c>
      <c r="B12" t="s">
        <v>7</v>
      </c>
      <c r="C12">
        <v>2</v>
      </c>
      <c r="D12">
        <v>2</v>
      </c>
      <c r="E12" t="s">
        <v>85</v>
      </c>
      <c r="F12">
        <v>1</v>
      </c>
      <c r="G12">
        <v>25</v>
      </c>
      <c r="H12">
        <v>0</v>
      </c>
      <c r="I12">
        <v>1</v>
      </c>
      <c r="J12">
        <v>0</v>
      </c>
      <c r="K12">
        <v>5</v>
      </c>
      <c r="L12">
        <v>0</v>
      </c>
      <c r="M12">
        <v>1</v>
      </c>
      <c r="N12">
        <v>0</v>
      </c>
      <c r="O12">
        <v>0</v>
      </c>
    </row>
    <row r="13" spans="1:15" x14ac:dyDescent="0.25">
      <c r="A13">
        <v>27</v>
      </c>
      <c r="B13" t="s">
        <v>7</v>
      </c>
      <c r="C13">
        <v>3</v>
      </c>
      <c r="D13">
        <v>2</v>
      </c>
      <c r="E13" t="s">
        <v>86</v>
      </c>
      <c r="F13">
        <v>64</v>
      </c>
      <c r="G13">
        <v>8</v>
      </c>
      <c r="H13">
        <v>15</v>
      </c>
      <c r="I13">
        <v>13</v>
      </c>
      <c r="J13">
        <v>14</v>
      </c>
      <c r="K13">
        <v>4</v>
      </c>
      <c r="L13">
        <v>20</v>
      </c>
      <c r="M13">
        <v>13</v>
      </c>
      <c r="N13">
        <v>0</v>
      </c>
      <c r="O13">
        <v>0</v>
      </c>
    </row>
    <row r="14" spans="1:15" x14ac:dyDescent="0.25">
      <c r="A14">
        <v>27</v>
      </c>
      <c r="B14" t="s">
        <v>7</v>
      </c>
      <c r="C14">
        <v>4</v>
      </c>
      <c r="D14">
        <v>2</v>
      </c>
      <c r="E14" t="s">
        <v>87</v>
      </c>
      <c r="F14">
        <v>150</v>
      </c>
      <c r="G14">
        <v>8</v>
      </c>
      <c r="H14">
        <v>89</v>
      </c>
      <c r="I14">
        <v>1</v>
      </c>
      <c r="J14">
        <v>8</v>
      </c>
      <c r="K14">
        <v>1</v>
      </c>
      <c r="L14">
        <v>4</v>
      </c>
      <c r="M14">
        <v>5</v>
      </c>
      <c r="N14">
        <v>0</v>
      </c>
      <c r="O14">
        <v>6</v>
      </c>
    </row>
    <row r="15" spans="1:15" x14ac:dyDescent="0.25">
      <c r="A15">
        <v>27</v>
      </c>
      <c r="B15" t="s">
        <v>7</v>
      </c>
      <c r="C15">
        <v>5</v>
      </c>
      <c r="D15">
        <v>2</v>
      </c>
      <c r="E15" t="s">
        <v>90</v>
      </c>
      <c r="F15">
        <v>4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27</v>
      </c>
      <c r="B16" t="s">
        <v>7</v>
      </c>
      <c r="C16">
        <v>6</v>
      </c>
      <c r="D16">
        <v>2</v>
      </c>
      <c r="E16" t="s">
        <v>88</v>
      </c>
      <c r="F16">
        <v>193</v>
      </c>
      <c r="G16">
        <v>0</v>
      </c>
      <c r="H16">
        <v>209</v>
      </c>
      <c r="I16">
        <v>1</v>
      </c>
      <c r="J16">
        <v>1</v>
      </c>
      <c r="K16">
        <v>0</v>
      </c>
      <c r="L16">
        <v>1</v>
      </c>
      <c r="M16">
        <v>0</v>
      </c>
      <c r="N16">
        <v>2</v>
      </c>
      <c r="O16">
        <v>18</v>
      </c>
    </row>
    <row r="17" spans="1:15" x14ac:dyDescent="0.25">
      <c r="A17">
        <v>27</v>
      </c>
      <c r="B17" t="s">
        <v>7</v>
      </c>
      <c r="C17">
        <v>7</v>
      </c>
      <c r="D17">
        <v>2</v>
      </c>
      <c r="E17" t="s">
        <v>91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</row>
    <row r="18" spans="1:15" x14ac:dyDescent="0.25">
      <c r="A18">
        <v>27</v>
      </c>
      <c r="B18" t="s">
        <v>7</v>
      </c>
      <c r="C18">
        <v>8</v>
      </c>
      <c r="D18">
        <v>2</v>
      </c>
      <c r="E18" t="s">
        <v>89</v>
      </c>
      <c r="F18">
        <v>28</v>
      </c>
      <c r="G18">
        <v>1</v>
      </c>
      <c r="H18">
        <v>0</v>
      </c>
      <c r="I18">
        <v>10</v>
      </c>
      <c r="J18">
        <v>24</v>
      </c>
      <c r="K18">
        <v>1</v>
      </c>
      <c r="L18">
        <v>10</v>
      </c>
      <c r="M18">
        <v>5</v>
      </c>
      <c r="N18">
        <v>1</v>
      </c>
      <c r="O18">
        <v>0</v>
      </c>
    </row>
    <row r="19" spans="1:15" x14ac:dyDescent="0.25">
      <c r="A19" t="s">
        <v>93</v>
      </c>
      <c r="B19" t="s">
        <v>94</v>
      </c>
      <c r="C19" t="s">
        <v>96</v>
      </c>
      <c r="D19" t="s">
        <v>97</v>
      </c>
      <c r="E19" t="s">
        <v>95</v>
      </c>
      <c r="F19" t="s">
        <v>1</v>
      </c>
      <c r="G19" t="s">
        <v>3</v>
      </c>
      <c r="H19" t="s">
        <v>2</v>
      </c>
      <c r="I19" t="s">
        <v>84</v>
      </c>
      <c r="J19" t="s">
        <v>6</v>
      </c>
      <c r="K19" t="s">
        <v>5</v>
      </c>
      <c r="L19" t="s">
        <v>9</v>
      </c>
      <c r="M19" t="s">
        <v>4</v>
      </c>
      <c r="N19" t="s">
        <v>11</v>
      </c>
      <c r="O19" t="s">
        <v>92</v>
      </c>
    </row>
    <row r="20" spans="1:15" x14ac:dyDescent="0.25">
      <c r="A20">
        <v>27</v>
      </c>
      <c r="B20" t="s">
        <v>7</v>
      </c>
      <c r="C20">
        <v>2</v>
      </c>
      <c r="D20">
        <v>3</v>
      </c>
      <c r="E20" t="s">
        <v>85</v>
      </c>
      <c r="F20">
        <v>1</v>
      </c>
      <c r="G20">
        <v>51</v>
      </c>
      <c r="H20">
        <v>0</v>
      </c>
      <c r="I20">
        <v>1</v>
      </c>
      <c r="J20">
        <v>1</v>
      </c>
      <c r="K20">
        <v>12</v>
      </c>
      <c r="L20">
        <v>3</v>
      </c>
      <c r="M20">
        <v>3</v>
      </c>
      <c r="N20">
        <v>0</v>
      </c>
      <c r="O20">
        <v>0</v>
      </c>
    </row>
    <row r="21" spans="1:15" x14ac:dyDescent="0.25">
      <c r="A21">
        <v>27</v>
      </c>
      <c r="B21" t="s">
        <v>7</v>
      </c>
      <c r="C21">
        <v>3</v>
      </c>
      <c r="D21">
        <v>3</v>
      </c>
      <c r="E21" t="s">
        <v>86</v>
      </c>
      <c r="F21">
        <v>116</v>
      </c>
      <c r="G21">
        <v>46</v>
      </c>
      <c r="H21">
        <v>19</v>
      </c>
      <c r="I21">
        <v>22</v>
      </c>
      <c r="J21">
        <v>32</v>
      </c>
      <c r="K21">
        <v>9</v>
      </c>
      <c r="L21">
        <v>28</v>
      </c>
      <c r="M21">
        <v>22</v>
      </c>
      <c r="N21">
        <v>1</v>
      </c>
      <c r="O21">
        <v>1</v>
      </c>
    </row>
    <row r="22" spans="1:15" x14ac:dyDescent="0.25">
      <c r="A22">
        <v>27</v>
      </c>
      <c r="B22" t="s">
        <v>7</v>
      </c>
      <c r="C22">
        <v>4</v>
      </c>
      <c r="D22">
        <v>3</v>
      </c>
      <c r="E22" t="s">
        <v>87</v>
      </c>
      <c r="F22">
        <v>252</v>
      </c>
      <c r="G22">
        <v>32</v>
      </c>
      <c r="H22">
        <v>162</v>
      </c>
      <c r="I22">
        <v>2</v>
      </c>
      <c r="J22">
        <v>4</v>
      </c>
      <c r="K22">
        <v>4</v>
      </c>
      <c r="L22">
        <v>8</v>
      </c>
      <c r="M22">
        <v>18</v>
      </c>
      <c r="N22">
        <v>1</v>
      </c>
      <c r="O22">
        <v>17</v>
      </c>
    </row>
    <row r="23" spans="1:15" x14ac:dyDescent="0.25">
      <c r="A23">
        <v>27</v>
      </c>
      <c r="B23" t="s">
        <v>7</v>
      </c>
      <c r="C23">
        <v>5</v>
      </c>
      <c r="D23">
        <v>3</v>
      </c>
      <c r="E23" t="s">
        <v>90</v>
      </c>
      <c r="F23">
        <v>4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</row>
    <row r="24" spans="1:15" x14ac:dyDescent="0.25">
      <c r="A24">
        <v>27</v>
      </c>
      <c r="B24" t="s">
        <v>7</v>
      </c>
      <c r="C24">
        <v>6</v>
      </c>
      <c r="D24">
        <v>3</v>
      </c>
      <c r="E24" t="s">
        <v>88</v>
      </c>
      <c r="F24">
        <v>306</v>
      </c>
      <c r="G24">
        <v>0</v>
      </c>
      <c r="H24">
        <v>325</v>
      </c>
      <c r="I24">
        <v>1</v>
      </c>
      <c r="J24">
        <v>5</v>
      </c>
      <c r="K24">
        <v>0</v>
      </c>
      <c r="L24">
        <v>7</v>
      </c>
      <c r="M24">
        <v>0</v>
      </c>
      <c r="N24">
        <v>6</v>
      </c>
      <c r="O24">
        <v>35</v>
      </c>
    </row>
    <row r="25" spans="1:15" x14ac:dyDescent="0.25">
      <c r="A25">
        <v>27</v>
      </c>
      <c r="B25" t="s">
        <v>7</v>
      </c>
      <c r="C25">
        <v>7</v>
      </c>
      <c r="D25">
        <v>3</v>
      </c>
      <c r="E25" t="s">
        <v>91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22</v>
      </c>
      <c r="N25">
        <v>0</v>
      </c>
      <c r="O25">
        <v>0</v>
      </c>
    </row>
    <row r="26" spans="1:15" x14ac:dyDescent="0.25">
      <c r="A26">
        <v>27</v>
      </c>
      <c r="B26" t="s">
        <v>7</v>
      </c>
      <c r="C26">
        <v>8</v>
      </c>
      <c r="D26">
        <v>3</v>
      </c>
      <c r="E26" t="s">
        <v>89</v>
      </c>
      <c r="F26">
        <v>68</v>
      </c>
      <c r="G26">
        <v>6</v>
      </c>
      <c r="H26">
        <v>1</v>
      </c>
      <c r="I26">
        <v>21</v>
      </c>
      <c r="J26">
        <v>65</v>
      </c>
      <c r="K26">
        <v>4</v>
      </c>
      <c r="L26">
        <v>12</v>
      </c>
      <c r="M26">
        <v>18</v>
      </c>
      <c r="N26">
        <v>1</v>
      </c>
      <c r="O26">
        <v>0</v>
      </c>
    </row>
    <row r="27" spans="1:15" x14ac:dyDescent="0.25">
      <c r="A27" t="s">
        <v>93</v>
      </c>
      <c r="B27" t="s">
        <v>94</v>
      </c>
      <c r="C27" t="s">
        <v>96</v>
      </c>
      <c r="D27" t="s">
        <v>97</v>
      </c>
      <c r="E27" t="s">
        <v>95</v>
      </c>
      <c r="F27" t="s">
        <v>1</v>
      </c>
      <c r="G27" t="s">
        <v>3</v>
      </c>
      <c r="H27" t="s">
        <v>2</v>
      </c>
      <c r="I27" t="s">
        <v>84</v>
      </c>
      <c r="J27" t="s">
        <v>6</v>
      </c>
      <c r="K27" t="s">
        <v>5</v>
      </c>
      <c r="L27" t="s">
        <v>9</v>
      </c>
      <c r="M27" t="s">
        <v>4</v>
      </c>
      <c r="N27" t="s">
        <v>11</v>
      </c>
      <c r="O27" t="s">
        <v>92</v>
      </c>
    </row>
    <row r="28" spans="1:15" x14ac:dyDescent="0.25">
      <c r="A28">
        <v>27</v>
      </c>
      <c r="B28" t="s">
        <v>7</v>
      </c>
      <c r="C28">
        <v>2</v>
      </c>
      <c r="D28">
        <v>4</v>
      </c>
      <c r="E28" t="s">
        <v>85</v>
      </c>
      <c r="F28">
        <v>0</v>
      </c>
      <c r="G28">
        <v>22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27</v>
      </c>
      <c r="B29" t="s">
        <v>7</v>
      </c>
      <c r="C29">
        <v>3</v>
      </c>
      <c r="D29">
        <v>4</v>
      </c>
      <c r="E29" t="s">
        <v>86</v>
      </c>
      <c r="F29">
        <v>47</v>
      </c>
      <c r="G29">
        <v>12</v>
      </c>
      <c r="H29">
        <v>7</v>
      </c>
      <c r="I29">
        <v>9</v>
      </c>
      <c r="J29">
        <v>8</v>
      </c>
      <c r="K29">
        <v>3</v>
      </c>
      <c r="L29">
        <v>5</v>
      </c>
      <c r="M29">
        <v>9</v>
      </c>
      <c r="N29">
        <v>0</v>
      </c>
      <c r="O29">
        <v>1</v>
      </c>
    </row>
    <row r="30" spans="1:15" x14ac:dyDescent="0.25">
      <c r="A30">
        <v>27</v>
      </c>
      <c r="B30" t="s">
        <v>7</v>
      </c>
      <c r="C30">
        <v>4</v>
      </c>
      <c r="D30">
        <v>4</v>
      </c>
      <c r="E30" t="s">
        <v>87</v>
      </c>
      <c r="F30">
        <v>78</v>
      </c>
      <c r="G30">
        <v>5</v>
      </c>
      <c r="H30">
        <v>63</v>
      </c>
      <c r="I30">
        <v>0</v>
      </c>
      <c r="J30">
        <v>4</v>
      </c>
      <c r="K30">
        <v>1</v>
      </c>
      <c r="L30">
        <v>0</v>
      </c>
      <c r="M30">
        <v>6</v>
      </c>
      <c r="N30">
        <v>0</v>
      </c>
      <c r="O30">
        <v>8</v>
      </c>
    </row>
    <row r="31" spans="1:15" x14ac:dyDescent="0.25">
      <c r="A31">
        <v>27</v>
      </c>
      <c r="B31" t="s">
        <v>7</v>
      </c>
      <c r="C31">
        <v>5</v>
      </c>
      <c r="D31">
        <v>4</v>
      </c>
      <c r="E31" t="s">
        <v>90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27</v>
      </c>
      <c r="B32" t="s">
        <v>7</v>
      </c>
      <c r="C32">
        <v>6</v>
      </c>
      <c r="D32">
        <v>4</v>
      </c>
      <c r="E32" t="s">
        <v>88</v>
      </c>
      <c r="F32">
        <v>77</v>
      </c>
      <c r="G32">
        <v>0</v>
      </c>
      <c r="H32">
        <v>80</v>
      </c>
      <c r="I32">
        <v>0</v>
      </c>
      <c r="J32">
        <v>2</v>
      </c>
      <c r="K32">
        <v>0</v>
      </c>
      <c r="L32">
        <v>2</v>
      </c>
      <c r="M32">
        <v>0</v>
      </c>
      <c r="N32">
        <v>5</v>
      </c>
      <c r="O32">
        <v>9</v>
      </c>
    </row>
    <row r="33" spans="1:15" x14ac:dyDescent="0.25">
      <c r="A33">
        <v>27</v>
      </c>
      <c r="B33" t="s">
        <v>7</v>
      </c>
      <c r="C33">
        <v>7</v>
      </c>
      <c r="D33">
        <v>4</v>
      </c>
      <c r="E33" t="s">
        <v>91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11</v>
      </c>
      <c r="N33">
        <v>0</v>
      </c>
      <c r="O33">
        <v>0</v>
      </c>
    </row>
    <row r="34" spans="1:15" x14ac:dyDescent="0.25">
      <c r="A34">
        <v>27</v>
      </c>
      <c r="B34" t="s">
        <v>7</v>
      </c>
      <c r="C34">
        <v>8</v>
      </c>
      <c r="D34">
        <v>4</v>
      </c>
      <c r="E34" t="s">
        <v>89</v>
      </c>
      <c r="F34">
        <v>13</v>
      </c>
      <c r="G34">
        <v>3</v>
      </c>
      <c r="H34">
        <v>0</v>
      </c>
      <c r="I34">
        <v>9</v>
      </c>
      <c r="J34">
        <v>15</v>
      </c>
      <c r="K34">
        <v>2</v>
      </c>
      <c r="L34">
        <v>4</v>
      </c>
      <c r="M34">
        <v>3</v>
      </c>
      <c r="N34">
        <v>1</v>
      </c>
      <c r="O34">
        <v>0</v>
      </c>
    </row>
    <row r="35" spans="1:15" x14ac:dyDescent="0.25">
      <c r="A35" t="s">
        <v>93</v>
      </c>
      <c r="B35" t="s">
        <v>94</v>
      </c>
      <c r="C35" t="s">
        <v>96</v>
      </c>
      <c r="D35" t="s">
        <v>97</v>
      </c>
      <c r="E35" t="s">
        <v>95</v>
      </c>
      <c r="F35" t="s">
        <v>1</v>
      </c>
      <c r="G35" t="s">
        <v>3</v>
      </c>
      <c r="H35" t="s">
        <v>2</v>
      </c>
      <c r="I35" t="s">
        <v>84</v>
      </c>
      <c r="J35" t="s">
        <v>6</v>
      </c>
      <c r="K35" t="s">
        <v>5</v>
      </c>
      <c r="L35" t="s">
        <v>9</v>
      </c>
      <c r="M35" t="s">
        <v>4</v>
      </c>
      <c r="N35" t="s">
        <v>11</v>
      </c>
      <c r="O35" t="s">
        <v>92</v>
      </c>
    </row>
    <row r="36" spans="1:15" x14ac:dyDescent="0.25">
      <c r="A36">
        <v>27</v>
      </c>
      <c r="B36" t="s">
        <v>7</v>
      </c>
      <c r="C36">
        <v>2</v>
      </c>
      <c r="D36">
        <v>7</v>
      </c>
      <c r="E36" t="s">
        <v>85</v>
      </c>
      <c r="F36">
        <v>1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27</v>
      </c>
      <c r="B37" t="s">
        <v>7</v>
      </c>
      <c r="C37">
        <v>3</v>
      </c>
      <c r="D37">
        <v>7</v>
      </c>
      <c r="E37" t="s">
        <v>86</v>
      </c>
      <c r="F37">
        <v>10</v>
      </c>
      <c r="G37">
        <v>3</v>
      </c>
      <c r="H37">
        <v>1</v>
      </c>
      <c r="I37">
        <v>4</v>
      </c>
      <c r="J37">
        <v>1</v>
      </c>
      <c r="K37">
        <v>1</v>
      </c>
      <c r="L37">
        <v>4</v>
      </c>
      <c r="M37">
        <v>0</v>
      </c>
      <c r="N37">
        <v>2</v>
      </c>
      <c r="O37">
        <v>0</v>
      </c>
    </row>
    <row r="38" spans="1:15" x14ac:dyDescent="0.25">
      <c r="A38">
        <v>27</v>
      </c>
      <c r="B38" t="s">
        <v>7</v>
      </c>
      <c r="C38">
        <v>4</v>
      </c>
      <c r="D38">
        <v>7</v>
      </c>
      <c r="E38" t="s">
        <v>87</v>
      </c>
      <c r="F38">
        <v>19</v>
      </c>
      <c r="G38">
        <v>1</v>
      </c>
      <c r="H38">
        <v>12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</row>
    <row r="39" spans="1:15" x14ac:dyDescent="0.25">
      <c r="A39">
        <v>27</v>
      </c>
      <c r="B39" t="s">
        <v>7</v>
      </c>
      <c r="C39">
        <v>6</v>
      </c>
      <c r="D39">
        <v>7</v>
      </c>
      <c r="E39" t="s">
        <v>88</v>
      </c>
      <c r="F39">
        <v>24</v>
      </c>
      <c r="G39">
        <v>0</v>
      </c>
      <c r="H39">
        <v>24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5</v>
      </c>
    </row>
    <row r="40" spans="1:15" x14ac:dyDescent="0.25">
      <c r="A40">
        <v>27</v>
      </c>
      <c r="B40" t="s">
        <v>7</v>
      </c>
      <c r="C40">
        <v>7</v>
      </c>
      <c r="D40">
        <v>7</v>
      </c>
      <c r="E40" t="s">
        <v>91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</row>
    <row r="41" spans="1:15" x14ac:dyDescent="0.25">
      <c r="A41">
        <v>27</v>
      </c>
      <c r="B41" t="s">
        <v>7</v>
      </c>
      <c r="C41">
        <v>8</v>
      </c>
      <c r="D41">
        <v>7</v>
      </c>
      <c r="E41" t="s">
        <v>89</v>
      </c>
      <c r="F41">
        <v>5</v>
      </c>
      <c r="G41">
        <v>1</v>
      </c>
      <c r="H41">
        <v>0</v>
      </c>
      <c r="I41">
        <v>0</v>
      </c>
      <c r="J41">
        <v>10</v>
      </c>
      <c r="K41">
        <v>0</v>
      </c>
      <c r="L41">
        <v>2</v>
      </c>
      <c r="M41">
        <v>0</v>
      </c>
      <c r="N41">
        <v>0</v>
      </c>
      <c r="O41">
        <v>0</v>
      </c>
    </row>
    <row r="64" spans="1:1" x14ac:dyDescent="0.25">
      <c r="A64" t="s">
        <v>103</v>
      </c>
    </row>
    <row r="65" spans="1:15" x14ac:dyDescent="0.25">
      <c r="A65" t="s">
        <v>93</v>
      </c>
      <c r="B65" t="s">
        <v>94</v>
      </c>
      <c r="C65" t="s">
        <v>96</v>
      </c>
      <c r="D65" t="s">
        <v>95</v>
      </c>
      <c r="E65" t="s">
        <v>1</v>
      </c>
      <c r="F65" t="s">
        <v>3</v>
      </c>
      <c r="G65" t="s">
        <v>2</v>
      </c>
      <c r="H65" t="s">
        <v>84</v>
      </c>
      <c r="I65" t="s">
        <v>6</v>
      </c>
      <c r="J65" t="s">
        <v>5</v>
      </c>
      <c r="K65" t="s">
        <v>9</v>
      </c>
      <c r="L65" t="s">
        <v>4</v>
      </c>
      <c r="M65" t="s">
        <v>11</v>
      </c>
      <c r="N65" t="s">
        <v>92</v>
      </c>
    </row>
    <row r="66" spans="1:15" x14ac:dyDescent="0.25">
      <c r="A66">
        <v>27</v>
      </c>
      <c r="B66" t="s">
        <v>7</v>
      </c>
      <c r="C66">
        <v>2</v>
      </c>
      <c r="D66" t="s">
        <v>85</v>
      </c>
      <c r="E66">
        <v>0</v>
      </c>
      <c r="F66">
        <v>13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</row>
    <row r="67" spans="1:15" x14ac:dyDescent="0.25">
      <c r="A67">
        <v>27</v>
      </c>
      <c r="B67" t="s">
        <v>7</v>
      </c>
      <c r="C67">
        <v>3</v>
      </c>
      <c r="D67" t="s">
        <v>86</v>
      </c>
      <c r="E67">
        <v>19</v>
      </c>
      <c r="F67">
        <v>3</v>
      </c>
      <c r="G67">
        <v>3</v>
      </c>
      <c r="H67">
        <v>16</v>
      </c>
      <c r="I67">
        <v>8</v>
      </c>
      <c r="J67">
        <v>1</v>
      </c>
      <c r="K67">
        <v>5</v>
      </c>
      <c r="L67">
        <v>7</v>
      </c>
      <c r="M67">
        <v>0</v>
      </c>
      <c r="N67">
        <v>1</v>
      </c>
    </row>
    <row r="68" spans="1:15" x14ac:dyDescent="0.25">
      <c r="A68">
        <v>27</v>
      </c>
      <c r="B68" t="s">
        <v>7</v>
      </c>
      <c r="C68">
        <v>4</v>
      </c>
      <c r="D68" t="s">
        <v>87</v>
      </c>
      <c r="E68">
        <v>54</v>
      </c>
      <c r="F68">
        <v>5</v>
      </c>
      <c r="G68">
        <v>33</v>
      </c>
      <c r="H68">
        <v>0</v>
      </c>
      <c r="I68">
        <v>1</v>
      </c>
      <c r="J68">
        <v>0</v>
      </c>
      <c r="K68">
        <v>1</v>
      </c>
      <c r="L68">
        <v>5</v>
      </c>
      <c r="M68">
        <v>0</v>
      </c>
      <c r="N68">
        <v>2</v>
      </c>
    </row>
    <row r="69" spans="1:15" x14ac:dyDescent="0.25">
      <c r="A69">
        <v>27</v>
      </c>
      <c r="B69" t="s">
        <v>7</v>
      </c>
      <c r="C69">
        <v>6</v>
      </c>
      <c r="D69" t="s">
        <v>88</v>
      </c>
      <c r="E69">
        <v>54</v>
      </c>
      <c r="F69">
        <v>0</v>
      </c>
      <c r="G69">
        <v>54</v>
      </c>
      <c r="H69">
        <v>0</v>
      </c>
      <c r="I69">
        <v>1</v>
      </c>
      <c r="J69">
        <v>0</v>
      </c>
      <c r="K69">
        <v>1</v>
      </c>
      <c r="L69">
        <v>0</v>
      </c>
      <c r="M69">
        <v>2</v>
      </c>
      <c r="N69">
        <v>7</v>
      </c>
    </row>
    <row r="70" spans="1:15" x14ac:dyDescent="0.25">
      <c r="A70">
        <v>27</v>
      </c>
      <c r="B70" t="s">
        <v>7</v>
      </c>
      <c r="C70">
        <v>7</v>
      </c>
      <c r="D70" t="s">
        <v>91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</row>
    <row r="71" spans="1:15" x14ac:dyDescent="0.25">
      <c r="A71">
        <v>27</v>
      </c>
      <c r="B71" t="s">
        <v>7</v>
      </c>
      <c r="C71">
        <v>8</v>
      </c>
      <c r="D71" t="s">
        <v>89</v>
      </c>
      <c r="E71">
        <v>12</v>
      </c>
      <c r="F71">
        <v>1</v>
      </c>
      <c r="G71">
        <v>0</v>
      </c>
      <c r="H71">
        <v>7</v>
      </c>
      <c r="I71">
        <v>15</v>
      </c>
      <c r="J71">
        <v>2</v>
      </c>
      <c r="K71">
        <v>2</v>
      </c>
      <c r="L71">
        <v>3</v>
      </c>
      <c r="M71">
        <v>0</v>
      </c>
      <c r="N71">
        <v>0</v>
      </c>
    </row>
    <row r="72" spans="1:15" x14ac:dyDescent="0.25">
      <c r="E72">
        <f>SUM(E66:E71)</f>
        <v>139</v>
      </c>
      <c r="F72">
        <f t="shared" ref="F72:N72" si="0">SUM(F66:F71)</f>
        <v>23</v>
      </c>
      <c r="G72">
        <f t="shared" si="0"/>
        <v>90</v>
      </c>
      <c r="H72">
        <f t="shared" si="0"/>
        <v>23</v>
      </c>
      <c r="I72">
        <f t="shared" si="0"/>
        <v>25</v>
      </c>
      <c r="J72">
        <f t="shared" si="0"/>
        <v>5</v>
      </c>
      <c r="K72">
        <f t="shared" si="0"/>
        <v>9</v>
      </c>
      <c r="L72">
        <f t="shared" si="0"/>
        <v>17</v>
      </c>
      <c r="M72">
        <f t="shared" si="0"/>
        <v>2</v>
      </c>
      <c r="N72">
        <f t="shared" si="0"/>
        <v>10</v>
      </c>
      <c r="O72">
        <f>SUM(E72:N72)</f>
        <v>343</v>
      </c>
    </row>
    <row r="73" spans="1:15" x14ac:dyDescent="0.25">
      <c r="A73" t="s">
        <v>104</v>
      </c>
    </row>
    <row r="74" spans="1:15" x14ac:dyDescent="0.25">
      <c r="A74" t="s">
        <v>93</v>
      </c>
      <c r="B74" t="s">
        <v>94</v>
      </c>
      <c r="C74" t="s">
        <v>96</v>
      </c>
      <c r="D74" t="s">
        <v>95</v>
      </c>
      <c r="E74" t="s">
        <v>1</v>
      </c>
      <c r="F74" t="s">
        <v>3</v>
      </c>
      <c r="G74" t="s">
        <v>2</v>
      </c>
      <c r="H74" t="s">
        <v>84</v>
      </c>
      <c r="I74" t="s">
        <v>6</v>
      </c>
      <c r="J74" t="s">
        <v>5</v>
      </c>
      <c r="K74" t="s">
        <v>9</v>
      </c>
      <c r="L74" t="s">
        <v>4</v>
      </c>
      <c r="M74" t="s">
        <v>11</v>
      </c>
      <c r="N74" t="s">
        <v>92</v>
      </c>
    </row>
    <row r="75" spans="1:15" x14ac:dyDescent="0.25">
      <c r="A75">
        <v>27</v>
      </c>
      <c r="B75" t="s">
        <v>7</v>
      </c>
      <c r="C75">
        <v>2</v>
      </c>
      <c r="D75" t="s">
        <v>85</v>
      </c>
      <c r="E75">
        <v>5</v>
      </c>
      <c r="F75">
        <v>101</v>
      </c>
      <c r="G75">
        <v>0</v>
      </c>
      <c r="H75">
        <v>3</v>
      </c>
      <c r="I75">
        <v>1</v>
      </c>
      <c r="J75">
        <v>18</v>
      </c>
      <c r="K75">
        <v>4</v>
      </c>
      <c r="L75">
        <v>4</v>
      </c>
      <c r="M75">
        <v>0</v>
      </c>
      <c r="N75">
        <v>0</v>
      </c>
    </row>
    <row r="76" spans="1:15" x14ac:dyDescent="0.25">
      <c r="A76">
        <v>27</v>
      </c>
      <c r="B76" t="s">
        <v>7</v>
      </c>
      <c r="C76">
        <v>3</v>
      </c>
      <c r="D76" t="s">
        <v>86</v>
      </c>
      <c r="E76">
        <v>188</v>
      </c>
      <c r="F76">
        <v>63</v>
      </c>
      <c r="G76">
        <v>26</v>
      </c>
      <c r="H76">
        <v>32</v>
      </c>
      <c r="I76">
        <v>55</v>
      </c>
      <c r="J76">
        <v>10</v>
      </c>
      <c r="K76">
        <v>44</v>
      </c>
      <c r="L76">
        <v>49</v>
      </c>
      <c r="M76">
        <v>3</v>
      </c>
      <c r="N76">
        <v>0</v>
      </c>
    </row>
    <row r="77" spans="1:15" x14ac:dyDescent="0.25">
      <c r="A77">
        <v>27</v>
      </c>
      <c r="B77" t="s">
        <v>7</v>
      </c>
      <c r="C77">
        <v>4</v>
      </c>
      <c r="D77" t="s">
        <v>87</v>
      </c>
      <c r="E77">
        <v>371</v>
      </c>
      <c r="F77">
        <v>43</v>
      </c>
      <c r="G77">
        <v>254</v>
      </c>
      <c r="H77">
        <v>4</v>
      </c>
      <c r="I77">
        <v>11</v>
      </c>
      <c r="J77">
        <v>10</v>
      </c>
      <c r="K77">
        <v>9</v>
      </c>
      <c r="L77">
        <v>32</v>
      </c>
      <c r="M77">
        <v>0</v>
      </c>
      <c r="N77">
        <v>28</v>
      </c>
    </row>
    <row r="78" spans="1:15" x14ac:dyDescent="0.25">
      <c r="A78">
        <v>27</v>
      </c>
      <c r="B78" t="s">
        <v>7</v>
      </c>
      <c r="C78">
        <v>5</v>
      </c>
      <c r="D78" t="s">
        <v>90</v>
      </c>
      <c r="E78">
        <v>7</v>
      </c>
      <c r="F78">
        <v>0</v>
      </c>
      <c r="G78">
        <v>0</v>
      </c>
      <c r="H78">
        <v>2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5" x14ac:dyDescent="0.25">
      <c r="A79">
        <v>27</v>
      </c>
      <c r="B79" t="s">
        <v>7</v>
      </c>
      <c r="C79">
        <v>6</v>
      </c>
      <c r="D79" t="s">
        <v>88</v>
      </c>
      <c r="E79">
        <v>383</v>
      </c>
      <c r="F79">
        <v>0</v>
      </c>
      <c r="G79">
        <v>405</v>
      </c>
      <c r="H79">
        <v>1</v>
      </c>
      <c r="I79">
        <v>5</v>
      </c>
      <c r="J79">
        <v>0</v>
      </c>
      <c r="K79">
        <v>8</v>
      </c>
      <c r="L79">
        <v>0</v>
      </c>
      <c r="M79">
        <v>10</v>
      </c>
      <c r="N79">
        <v>29</v>
      </c>
    </row>
    <row r="80" spans="1:15" x14ac:dyDescent="0.25">
      <c r="A80">
        <v>27</v>
      </c>
      <c r="B80" t="s">
        <v>7</v>
      </c>
      <c r="C80">
        <v>7</v>
      </c>
      <c r="D80" t="s">
        <v>91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44</v>
      </c>
      <c r="M80">
        <v>0</v>
      </c>
      <c r="N80">
        <v>0</v>
      </c>
    </row>
    <row r="81" spans="1:15" x14ac:dyDescent="0.25">
      <c r="A81">
        <v>27</v>
      </c>
      <c r="B81" t="s">
        <v>7</v>
      </c>
      <c r="C81">
        <v>8</v>
      </c>
      <c r="D81" t="s">
        <v>89</v>
      </c>
      <c r="E81">
        <v>95</v>
      </c>
      <c r="F81">
        <v>13</v>
      </c>
      <c r="G81">
        <v>1</v>
      </c>
      <c r="H81">
        <v>26</v>
      </c>
      <c r="I81">
        <v>90</v>
      </c>
      <c r="J81">
        <v>3</v>
      </c>
      <c r="K81">
        <v>19</v>
      </c>
      <c r="L81">
        <v>21</v>
      </c>
      <c r="M81">
        <v>2</v>
      </c>
      <c r="N81">
        <v>0</v>
      </c>
    </row>
    <row r="82" spans="1:15" x14ac:dyDescent="0.25">
      <c r="E82">
        <f>SUM(E75:E81)</f>
        <v>1049</v>
      </c>
      <c r="F82">
        <f t="shared" ref="F82:N82" si="1">SUM(F75:F81)</f>
        <v>220</v>
      </c>
      <c r="G82">
        <f t="shared" si="1"/>
        <v>686</v>
      </c>
      <c r="H82">
        <f t="shared" si="1"/>
        <v>68</v>
      </c>
      <c r="I82">
        <f t="shared" si="1"/>
        <v>164</v>
      </c>
      <c r="J82">
        <f t="shared" si="1"/>
        <v>41</v>
      </c>
      <c r="K82">
        <f t="shared" si="1"/>
        <v>84</v>
      </c>
      <c r="L82">
        <f t="shared" si="1"/>
        <v>150</v>
      </c>
      <c r="M82">
        <f t="shared" si="1"/>
        <v>15</v>
      </c>
      <c r="N82">
        <f t="shared" si="1"/>
        <v>57</v>
      </c>
      <c r="O82">
        <f>SUM(E82:N82)</f>
        <v>2534</v>
      </c>
    </row>
    <row r="83" spans="1:15" x14ac:dyDescent="0.25">
      <c r="A83" t="s">
        <v>105</v>
      </c>
    </row>
    <row r="84" spans="1:15" x14ac:dyDescent="0.25">
      <c r="A84" t="s">
        <v>93</v>
      </c>
      <c r="B84" t="s">
        <v>94</v>
      </c>
      <c r="C84" t="s">
        <v>96</v>
      </c>
      <c r="D84" t="s">
        <v>95</v>
      </c>
      <c r="E84" t="s">
        <v>1</v>
      </c>
      <c r="F84" t="s">
        <v>3</v>
      </c>
      <c r="G84" t="s">
        <v>2</v>
      </c>
      <c r="H84" t="s">
        <v>84</v>
      </c>
      <c r="I84" t="s">
        <v>6</v>
      </c>
      <c r="J84" t="s">
        <v>5</v>
      </c>
      <c r="K84" t="s">
        <v>9</v>
      </c>
      <c r="L84" t="s">
        <v>4</v>
      </c>
      <c r="M84" t="s">
        <v>11</v>
      </c>
      <c r="N84" t="s">
        <v>92</v>
      </c>
    </row>
    <row r="85" spans="1:15" x14ac:dyDescent="0.25">
      <c r="A85">
        <v>27</v>
      </c>
      <c r="B85" t="s">
        <v>7</v>
      </c>
      <c r="C85">
        <v>2</v>
      </c>
      <c r="D85" t="s">
        <v>85</v>
      </c>
      <c r="E85">
        <v>0</v>
      </c>
      <c r="F85">
        <v>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5" x14ac:dyDescent="0.25">
      <c r="A86">
        <v>27</v>
      </c>
      <c r="B86" t="s">
        <v>7</v>
      </c>
      <c r="C86">
        <v>3</v>
      </c>
      <c r="D86" t="s">
        <v>86</v>
      </c>
      <c r="E86">
        <v>35</v>
      </c>
      <c r="F86">
        <v>14</v>
      </c>
      <c r="G86">
        <v>4</v>
      </c>
      <c r="H86">
        <v>9</v>
      </c>
      <c r="I86">
        <v>4</v>
      </c>
      <c r="J86">
        <v>4</v>
      </c>
      <c r="K86">
        <v>7</v>
      </c>
      <c r="L86">
        <v>3</v>
      </c>
      <c r="M86">
        <v>1</v>
      </c>
      <c r="N86">
        <v>0</v>
      </c>
    </row>
    <row r="87" spans="1:15" x14ac:dyDescent="0.25">
      <c r="A87">
        <v>27</v>
      </c>
      <c r="B87" t="s">
        <v>7</v>
      </c>
      <c r="C87">
        <v>4</v>
      </c>
      <c r="D87" t="s">
        <v>87</v>
      </c>
      <c r="E87">
        <v>72</v>
      </c>
      <c r="F87">
        <v>8</v>
      </c>
      <c r="G87">
        <v>54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6</v>
      </c>
    </row>
    <row r="88" spans="1:15" x14ac:dyDescent="0.25">
      <c r="A88">
        <v>27</v>
      </c>
      <c r="B88" t="s">
        <v>7</v>
      </c>
      <c r="C88">
        <v>5</v>
      </c>
      <c r="D88" t="s">
        <v>90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5" x14ac:dyDescent="0.25">
      <c r="A89">
        <v>27</v>
      </c>
      <c r="B89" t="s">
        <v>7</v>
      </c>
      <c r="C89">
        <v>6</v>
      </c>
      <c r="D89" t="s">
        <v>88</v>
      </c>
      <c r="E89">
        <v>100</v>
      </c>
      <c r="F89">
        <v>0</v>
      </c>
      <c r="G89">
        <v>101</v>
      </c>
      <c r="H89">
        <v>2</v>
      </c>
      <c r="I89">
        <v>2</v>
      </c>
      <c r="J89">
        <v>0</v>
      </c>
      <c r="K89">
        <v>2</v>
      </c>
      <c r="L89">
        <v>0</v>
      </c>
      <c r="M89">
        <v>1</v>
      </c>
      <c r="N89">
        <v>13</v>
      </c>
    </row>
    <row r="90" spans="1:15" x14ac:dyDescent="0.25">
      <c r="A90">
        <v>27</v>
      </c>
      <c r="B90" t="s">
        <v>7</v>
      </c>
      <c r="C90">
        <v>7</v>
      </c>
      <c r="D90" t="s">
        <v>91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</row>
    <row r="91" spans="1:15" x14ac:dyDescent="0.25">
      <c r="A91">
        <v>27</v>
      </c>
      <c r="B91" t="s">
        <v>7</v>
      </c>
      <c r="C91">
        <v>8</v>
      </c>
      <c r="D91" t="s">
        <v>89</v>
      </c>
      <c r="E91">
        <v>15</v>
      </c>
      <c r="F91">
        <v>1</v>
      </c>
      <c r="G91">
        <v>0</v>
      </c>
      <c r="H91">
        <v>2</v>
      </c>
      <c r="I91">
        <v>23</v>
      </c>
      <c r="J91">
        <v>0</v>
      </c>
      <c r="K91">
        <v>6</v>
      </c>
      <c r="L91">
        <v>1</v>
      </c>
      <c r="M91">
        <v>0</v>
      </c>
      <c r="N91">
        <v>0</v>
      </c>
    </row>
    <row r="92" spans="1:15" x14ac:dyDescent="0.25">
      <c r="E92">
        <f t="shared" ref="E92:N92" si="2">SUM(E85:E91)</f>
        <v>223</v>
      </c>
      <c r="F92">
        <f t="shared" si="2"/>
        <v>30</v>
      </c>
      <c r="G92">
        <f t="shared" si="2"/>
        <v>159</v>
      </c>
      <c r="H92">
        <f t="shared" si="2"/>
        <v>13</v>
      </c>
      <c r="I92">
        <f t="shared" si="2"/>
        <v>29</v>
      </c>
      <c r="J92">
        <f t="shared" si="2"/>
        <v>4</v>
      </c>
      <c r="K92">
        <f t="shared" si="2"/>
        <v>15</v>
      </c>
      <c r="L92">
        <f t="shared" si="2"/>
        <v>13</v>
      </c>
      <c r="M92">
        <f t="shared" si="2"/>
        <v>2</v>
      </c>
      <c r="N92">
        <f t="shared" si="2"/>
        <v>19</v>
      </c>
      <c r="O92">
        <f>SUM(E92:N92)</f>
        <v>507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selection activeCell="D6" sqref="D6"/>
    </sheetView>
  </sheetViews>
  <sheetFormatPr defaultRowHeight="15" x14ac:dyDescent="0.25"/>
  <cols>
    <col min="2" max="2" width="15.140625" bestFit="1" customWidth="1"/>
    <col min="18" max="18" width="10.140625" bestFit="1" customWidth="1"/>
  </cols>
  <sheetData>
    <row r="1" spans="1:20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122</v>
      </c>
      <c r="P1" t="s">
        <v>107</v>
      </c>
      <c r="Q1" t="s">
        <v>123</v>
      </c>
      <c r="R1" t="s">
        <v>106</v>
      </c>
    </row>
    <row r="2" spans="1:20" x14ac:dyDescent="0.25">
      <c r="A2">
        <v>30</v>
      </c>
      <c r="B2" t="s">
        <v>50</v>
      </c>
      <c r="C2">
        <v>3</v>
      </c>
      <c r="D2" t="s">
        <v>86</v>
      </c>
      <c r="E2">
        <v>8</v>
      </c>
      <c r="F2">
        <v>4</v>
      </c>
      <c r="G2">
        <v>25</v>
      </c>
      <c r="H2">
        <v>3</v>
      </c>
      <c r="I2">
        <v>62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>
        <v>9</v>
      </c>
      <c r="Q2">
        <v>0</v>
      </c>
      <c r="R2">
        <v>0</v>
      </c>
      <c r="S2">
        <f>SUM(E2:R2)</f>
        <v>114</v>
      </c>
    </row>
    <row r="3" spans="1:20" x14ac:dyDescent="0.25">
      <c r="A3">
        <v>30</v>
      </c>
      <c r="B3" t="s">
        <v>50</v>
      </c>
      <c r="C3">
        <v>4</v>
      </c>
      <c r="D3" t="s">
        <v>87</v>
      </c>
      <c r="E3">
        <v>0</v>
      </c>
      <c r="F3">
        <v>0</v>
      </c>
      <c r="G3">
        <v>4</v>
      </c>
      <c r="H3">
        <v>0</v>
      </c>
      <c r="I3">
        <v>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f>SUM(E3:R3)</f>
        <v>12</v>
      </c>
    </row>
    <row r="4" spans="1:20" x14ac:dyDescent="0.25">
      <c r="A4">
        <v>30</v>
      </c>
      <c r="B4" t="s">
        <v>50</v>
      </c>
      <c r="C4">
        <v>6</v>
      </c>
      <c r="D4" t="s">
        <v>88</v>
      </c>
      <c r="E4">
        <v>3</v>
      </c>
      <c r="F4">
        <v>4</v>
      </c>
      <c r="G4">
        <v>6</v>
      </c>
      <c r="H4">
        <v>3</v>
      </c>
      <c r="I4">
        <v>20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0</v>
      </c>
      <c r="S4">
        <f>SUM(E4:R4)</f>
        <v>40</v>
      </c>
    </row>
    <row r="5" spans="1:20" x14ac:dyDescent="0.25">
      <c r="A5">
        <v>30</v>
      </c>
      <c r="B5" t="s">
        <v>50</v>
      </c>
      <c r="C5">
        <v>7</v>
      </c>
      <c r="D5" t="s">
        <v>91</v>
      </c>
      <c r="E5">
        <v>14</v>
      </c>
      <c r="F5">
        <v>0</v>
      </c>
      <c r="G5">
        <v>96</v>
      </c>
      <c r="H5">
        <v>1</v>
      </c>
      <c r="I5">
        <v>18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f>SUM(E5:R5)</f>
        <v>132</v>
      </c>
    </row>
    <row r="6" spans="1:20" x14ac:dyDescent="0.25">
      <c r="A6">
        <v>30</v>
      </c>
      <c r="B6" t="s">
        <v>50</v>
      </c>
      <c r="C6">
        <v>8</v>
      </c>
      <c r="D6" t="s">
        <v>89</v>
      </c>
      <c r="E6">
        <v>0</v>
      </c>
      <c r="F6">
        <v>0</v>
      </c>
      <c r="G6">
        <v>37</v>
      </c>
      <c r="H6">
        <v>0</v>
      </c>
      <c r="I6">
        <v>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f>SUM(E6:R6)</f>
        <v>114</v>
      </c>
    </row>
    <row r="7" spans="1:20" x14ac:dyDescent="0.25">
      <c r="A7" t="s">
        <v>100</v>
      </c>
      <c r="B7" t="s">
        <v>101</v>
      </c>
      <c r="C7" t="s">
        <v>96</v>
      </c>
      <c r="D7" t="s">
        <v>102</v>
      </c>
      <c r="E7" t="s">
        <v>117</v>
      </c>
      <c r="F7" t="s">
        <v>116</v>
      </c>
      <c r="G7" t="s">
        <v>133</v>
      </c>
      <c r="H7" t="s">
        <v>114</v>
      </c>
      <c r="I7" t="s">
        <v>113</v>
      </c>
      <c r="J7" t="s">
        <v>112</v>
      </c>
      <c r="K7" t="s">
        <v>111</v>
      </c>
      <c r="L7" t="s">
        <v>110</v>
      </c>
      <c r="M7" t="s">
        <v>109</v>
      </c>
      <c r="N7" t="s">
        <v>108</v>
      </c>
      <c r="O7" t="s">
        <v>122</v>
      </c>
      <c r="P7" t="s">
        <v>107</v>
      </c>
      <c r="Q7" t="s">
        <v>123</v>
      </c>
      <c r="R7" t="s">
        <v>106</v>
      </c>
      <c r="S7">
        <f>SUM(S2:S6)</f>
        <v>412</v>
      </c>
      <c r="T7" t="b">
        <f>S7=Prose!C374</f>
        <v>1</v>
      </c>
    </row>
    <row r="8" spans="1:20" x14ac:dyDescent="0.25">
      <c r="A8">
        <v>31</v>
      </c>
      <c r="B8" t="s">
        <v>51</v>
      </c>
      <c r="C8">
        <v>3</v>
      </c>
      <c r="D8" t="s">
        <v>86</v>
      </c>
      <c r="E8">
        <v>14</v>
      </c>
      <c r="F8">
        <v>12</v>
      </c>
      <c r="G8">
        <v>20</v>
      </c>
      <c r="H8">
        <v>2</v>
      </c>
      <c r="I8">
        <v>35</v>
      </c>
      <c r="J8">
        <v>2</v>
      </c>
      <c r="K8">
        <v>8</v>
      </c>
      <c r="L8">
        <v>0</v>
      </c>
      <c r="M8">
        <v>1</v>
      </c>
      <c r="N8">
        <v>0</v>
      </c>
      <c r="O8">
        <v>3</v>
      </c>
      <c r="P8">
        <v>18</v>
      </c>
      <c r="Q8">
        <v>1</v>
      </c>
      <c r="R8">
        <v>0</v>
      </c>
      <c r="S8">
        <f>SUM(E8:R8)</f>
        <v>116</v>
      </c>
    </row>
    <row r="9" spans="1:20" x14ac:dyDescent="0.25">
      <c r="A9">
        <v>31</v>
      </c>
      <c r="B9" t="s">
        <v>51</v>
      </c>
      <c r="C9">
        <v>4</v>
      </c>
      <c r="D9" t="s">
        <v>87</v>
      </c>
      <c r="E9">
        <v>0</v>
      </c>
      <c r="F9">
        <v>0</v>
      </c>
      <c r="G9">
        <v>5</v>
      </c>
      <c r="H9">
        <v>0</v>
      </c>
      <c r="I9">
        <v>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f>SUM(E9:R9)</f>
        <v>17</v>
      </c>
    </row>
    <row r="10" spans="1:20" x14ac:dyDescent="0.25">
      <c r="A10">
        <v>31</v>
      </c>
      <c r="B10" t="s">
        <v>51</v>
      </c>
      <c r="C10">
        <v>6</v>
      </c>
      <c r="D10" t="s">
        <v>88</v>
      </c>
      <c r="E10">
        <v>10</v>
      </c>
      <c r="F10">
        <v>4</v>
      </c>
      <c r="G10">
        <v>4</v>
      </c>
      <c r="H10">
        <v>2</v>
      </c>
      <c r="I10">
        <v>13</v>
      </c>
      <c r="J10">
        <v>2</v>
      </c>
      <c r="K10">
        <v>3</v>
      </c>
      <c r="L10">
        <v>0</v>
      </c>
      <c r="M10">
        <v>0</v>
      </c>
      <c r="N10">
        <v>0</v>
      </c>
      <c r="O10">
        <v>2</v>
      </c>
      <c r="P10">
        <v>9</v>
      </c>
      <c r="Q10">
        <v>0</v>
      </c>
      <c r="R10">
        <v>0</v>
      </c>
      <c r="S10">
        <f>SUM(E10:R10)</f>
        <v>49</v>
      </c>
    </row>
    <row r="11" spans="1:20" x14ac:dyDescent="0.25">
      <c r="A11">
        <v>31</v>
      </c>
      <c r="B11" t="s">
        <v>51</v>
      </c>
      <c r="C11">
        <v>7</v>
      </c>
      <c r="D11" t="s">
        <v>91</v>
      </c>
      <c r="E11">
        <v>23</v>
      </c>
      <c r="F11">
        <v>3</v>
      </c>
      <c r="G11">
        <v>78</v>
      </c>
      <c r="H11">
        <v>3</v>
      </c>
      <c r="I11">
        <v>11</v>
      </c>
      <c r="J11">
        <v>2</v>
      </c>
      <c r="K11">
        <v>2</v>
      </c>
      <c r="L11">
        <v>0</v>
      </c>
      <c r="M11">
        <v>1</v>
      </c>
      <c r="N11">
        <v>2</v>
      </c>
      <c r="O11">
        <v>0</v>
      </c>
      <c r="P11">
        <v>6</v>
      </c>
      <c r="Q11">
        <v>0</v>
      </c>
      <c r="R11">
        <v>0</v>
      </c>
      <c r="S11">
        <f>SUM(E11:R11)</f>
        <v>131</v>
      </c>
    </row>
    <row r="12" spans="1:20" x14ac:dyDescent="0.25">
      <c r="A12">
        <v>31</v>
      </c>
      <c r="B12" t="s">
        <v>51</v>
      </c>
      <c r="C12">
        <v>8</v>
      </c>
      <c r="D12" t="s">
        <v>89</v>
      </c>
      <c r="E12">
        <v>1</v>
      </c>
      <c r="F12">
        <v>0</v>
      </c>
      <c r="G12">
        <v>31</v>
      </c>
      <c r="H12">
        <v>1</v>
      </c>
      <c r="I12">
        <v>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f>SUM(E12:R12)</f>
        <v>107</v>
      </c>
    </row>
    <row r="13" spans="1:20" x14ac:dyDescent="0.25">
      <c r="A13" t="s">
        <v>100</v>
      </c>
      <c r="B13" t="s">
        <v>101</v>
      </c>
      <c r="C13" t="s">
        <v>96</v>
      </c>
      <c r="D13" t="s">
        <v>102</v>
      </c>
      <c r="E13" t="s">
        <v>117</v>
      </c>
      <c r="F13" t="s">
        <v>116</v>
      </c>
      <c r="G13" t="s">
        <v>133</v>
      </c>
      <c r="H13" t="s">
        <v>114</v>
      </c>
      <c r="I13" t="s">
        <v>113</v>
      </c>
      <c r="J13" t="s">
        <v>112</v>
      </c>
      <c r="K13" t="s">
        <v>111</v>
      </c>
      <c r="L13" t="s">
        <v>110</v>
      </c>
      <c r="M13" t="s">
        <v>109</v>
      </c>
      <c r="N13" t="s">
        <v>108</v>
      </c>
      <c r="O13" t="s">
        <v>122</v>
      </c>
      <c r="P13" t="s">
        <v>107</v>
      </c>
      <c r="Q13" t="s">
        <v>123</v>
      </c>
      <c r="R13" t="s">
        <v>106</v>
      </c>
      <c r="S13">
        <f>SUM(S8:S12)</f>
        <v>420</v>
      </c>
      <c r="T13" t="b">
        <f>S13=Prose!C387</f>
        <v>1</v>
      </c>
    </row>
    <row r="14" spans="1:20" x14ac:dyDescent="0.25">
      <c r="A14">
        <v>32</v>
      </c>
      <c r="B14" t="s">
        <v>52</v>
      </c>
      <c r="C14">
        <v>3</v>
      </c>
      <c r="D14" t="s">
        <v>86</v>
      </c>
      <c r="E14">
        <v>10</v>
      </c>
      <c r="F14">
        <v>7</v>
      </c>
      <c r="G14">
        <v>31</v>
      </c>
      <c r="H14">
        <v>0</v>
      </c>
      <c r="I14">
        <v>59</v>
      </c>
      <c r="J14">
        <v>0</v>
      </c>
      <c r="K14">
        <v>3</v>
      </c>
      <c r="L14">
        <v>0</v>
      </c>
      <c r="M14">
        <v>0</v>
      </c>
      <c r="N14">
        <v>0</v>
      </c>
      <c r="O14">
        <v>2</v>
      </c>
      <c r="P14">
        <v>25</v>
      </c>
      <c r="Q14">
        <v>0</v>
      </c>
      <c r="R14">
        <v>0</v>
      </c>
      <c r="S14">
        <f>SUM(E14:R14)</f>
        <v>137</v>
      </c>
    </row>
    <row r="15" spans="1:20" x14ac:dyDescent="0.25">
      <c r="A15">
        <v>32</v>
      </c>
      <c r="B15" t="s">
        <v>52</v>
      </c>
      <c r="C15">
        <v>4</v>
      </c>
      <c r="D15" t="s">
        <v>87</v>
      </c>
      <c r="E15">
        <v>0</v>
      </c>
      <c r="F15">
        <v>0</v>
      </c>
      <c r="G15">
        <v>2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f>SUM(E15:R15)</f>
        <v>5</v>
      </c>
    </row>
    <row r="16" spans="1:20" x14ac:dyDescent="0.25">
      <c r="A16">
        <v>32</v>
      </c>
      <c r="B16" t="s">
        <v>52</v>
      </c>
      <c r="C16">
        <v>6</v>
      </c>
      <c r="D16" t="s">
        <v>88</v>
      </c>
      <c r="E16">
        <v>0</v>
      </c>
      <c r="F16">
        <v>0</v>
      </c>
      <c r="G16">
        <v>4</v>
      </c>
      <c r="H16">
        <v>0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f>SUM(E16:R16)</f>
        <v>22</v>
      </c>
    </row>
    <row r="17" spans="1:20" x14ac:dyDescent="0.25">
      <c r="A17">
        <v>32</v>
      </c>
      <c r="B17" t="s">
        <v>52</v>
      </c>
      <c r="C17">
        <v>7</v>
      </c>
      <c r="D17" t="s">
        <v>91</v>
      </c>
      <c r="E17">
        <v>16</v>
      </c>
      <c r="F17">
        <v>0</v>
      </c>
      <c r="G17">
        <v>102</v>
      </c>
      <c r="H17">
        <v>1</v>
      </c>
      <c r="I17">
        <v>14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f>SUM(E17:R17)</f>
        <v>138</v>
      </c>
    </row>
    <row r="18" spans="1:20" x14ac:dyDescent="0.25">
      <c r="A18">
        <v>32</v>
      </c>
      <c r="B18" t="s">
        <v>52</v>
      </c>
      <c r="C18">
        <v>8</v>
      </c>
      <c r="D18" t="s">
        <v>89</v>
      </c>
      <c r="E18">
        <v>0</v>
      </c>
      <c r="F18">
        <v>1</v>
      </c>
      <c r="G18">
        <v>60</v>
      </c>
      <c r="H18">
        <v>0</v>
      </c>
      <c r="I18">
        <v>126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f>SUM(E18:R18)</f>
        <v>188</v>
      </c>
    </row>
    <row r="19" spans="1:20" x14ac:dyDescent="0.25">
      <c r="A19" t="s">
        <v>100</v>
      </c>
      <c r="B19" t="s">
        <v>101</v>
      </c>
      <c r="C19" t="s">
        <v>96</v>
      </c>
      <c r="D19" t="s">
        <v>102</v>
      </c>
      <c r="E19" t="s">
        <v>117</v>
      </c>
      <c r="F19" t="s">
        <v>116</v>
      </c>
      <c r="G19" t="s">
        <v>133</v>
      </c>
      <c r="H19" t="s">
        <v>114</v>
      </c>
      <c r="I19" t="s">
        <v>113</v>
      </c>
      <c r="J19" t="s">
        <v>112</v>
      </c>
      <c r="K19" t="s">
        <v>111</v>
      </c>
      <c r="L19" t="s">
        <v>110</v>
      </c>
      <c r="M19" t="s">
        <v>109</v>
      </c>
      <c r="N19" t="s">
        <v>108</v>
      </c>
      <c r="O19" t="s">
        <v>122</v>
      </c>
      <c r="P19" t="s">
        <v>107</v>
      </c>
      <c r="Q19" t="s">
        <v>123</v>
      </c>
      <c r="R19" t="s">
        <v>106</v>
      </c>
      <c r="S19">
        <f>SUM(S14:S18)</f>
        <v>490</v>
      </c>
      <c r="T19" t="b">
        <f>S19=Prose!C399</f>
        <v>1</v>
      </c>
    </row>
    <row r="20" spans="1:20" x14ac:dyDescent="0.25">
      <c r="A20">
        <v>33</v>
      </c>
      <c r="B20" t="s">
        <v>53</v>
      </c>
      <c r="C20">
        <v>3</v>
      </c>
      <c r="D20" t="s">
        <v>86</v>
      </c>
      <c r="E20">
        <v>20</v>
      </c>
      <c r="F20">
        <v>16</v>
      </c>
      <c r="G20">
        <v>43</v>
      </c>
      <c r="H20">
        <v>6</v>
      </c>
      <c r="I20">
        <v>73</v>
      </c>
      <c r="J20">
        <v>7</v>
      </c>
      <c r="K20">
        <v>6</v>
      </c>
      <c r="L20">
        <v>0</v>
      </c>
      <c r="M20">
        <v>2</v>
      </c>
      <c r="N20">
        <v>0</v>
      </c>
      <c r="O20">
        <v>3</v>
      </c>
      <c r="P20">
        <v>29</v>
      </c>
      <c r="Q20">
        <v>3</v>
      </c>
      <c r="R20">
        <v>0</v>
      </c>
      <c r="S20">
        <f>SUM(E20:R20)</f>
        <v>208</v>
      </c>
    </row>
    <row r="21" spans="1:20" x14ac:dyDescent="0.25">
      <c r="A21">
        <v>33</v>
      </c>
      <c r="B21" t="s">
        <v>53</v>
      </c>
      <c r="C21">
        <v>4</v>
      </c>
      <c r="D21" t="s">
        <v>87</v>
      </c>
      <c r="E21">
        <v>0</v>
      </c>
      <c r="F21">
        <v>0</v>
      </c>
      <c r="G21">
        <v>4</v>
      </c>
      <c r="H21">
        <v>0</v>
      </c>
      <c r="I21">
        <v>16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f>SUM(E21:R21)</f>
        <v>22</v>
      </c>
    </row>
    <row r="22" spans="1:20" x14ac:dyDescent="0.25">
      <c r="A22">
        <v>33</v>
      </c>
      <c r="B22" t="s">
        <v>53</v>
      </c>
      <c r="C22">
        <v>6</v>
      </c>
      <c r="D22" t="s">
        <v>88</v>
      </c>
      <c r="E22">
        <v>6</v>
      </c>
      <c r="F22">
        <v>3</v>
      </c>
      <c r="G22">
        <v>5</v>
      </c>
      <c r="H22">
        <v>8</v>
      </c>
      <c r="I22">
        <v>21</v>
      </c>
      <c r="J22">
        <v>0</v>
      </c>
      <c r="K22">
        <v>3</v>
      </c>
      <c r="L22">
        <v>0</v>
      </c>
      <c r="M22">
        <v>0</v>
      </c>
      <c r="N22">
        <v>0</v>
      </c>
      <c r="O22">
        <v>8</v>
      </c>
      <c r="P22">
        <v>11</v>
      </c>
      <c r="Q22">
        <v>1</v>
      </c>
      <c r="R22">
        <v>0</v>
      </c>
      <c r="S22">
        <f>SUM(E22:R22)</f>
        <v>66</v>
      </c>
    </row>
    <row r="23" spans="1:20" x14ac:dyDescent="0.25">
      <c r="A23">
        <v>33</v>
      </c>
      <c r="B23" t="s">
        <v>53</v>
      </c>
      <c r="C23">
        <v>7</v>
      </c>
      <c r="D23" t="s">
        <v>91</v>
      </c>
      <c r="E23">
        <v>36</v>
      </c>
      <c r="F23">
        <v>8</v>
      </c>
      <c r="G23">
        <v>185</v>
      </c>
      <c r="H23">
        <v>3</v>
      </c>
      <c r="I23">
        <v>13</v>
      </c>
      <c r="J23">
        <v>2</v>
      </c>
      <c r="K23">
        <v>7</v>
      </c>
      <c r="L23">
        <v>0</v>
      </c>
      <c r="M23">
        <v>0</v>
      </c>
      <c r="N23">
        <v>2</v>
      </c>
      <c r="O23">
        <v>3</v>
      </c>
      <c r="P23">
        <v>15</v>
      </c>
      <c r="Q23">
        <v>2</v>
      </c>
      <c r="R23">
        <v>0</v>
      </c>
      <c r="S23">
        <f>SUM(E23:R23)</f>
        <v>276</v>
      </c>
    </row>
    <row r="24" spans="1:20" x14ac:dyDescent="0.25">
      <c r="A24">
        <v>33</v>
      </c>
      <c r="B24" t="s">
        <v>53</v>
      </c>
      <c r="C24">
        <v>8</v>
      </c>
      <c r="D24" t="s">
        <v>89</v>
      </c>
      <c r="E24">
        <v>1</v>
      </c>
      <c r="F24">
        <v>0</v>
      </c>
      <c r="G24">
        <v>32</v>
      </c>
      <c r="H24">
        <v>1</v>
      </c>
      <c r="I24">
        <v>120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f>SUM(E24:R24)</f>
        <v>155</v>
      </c>
    </row>
    <row r="25" spans="1:20" x14ac:dyDescent="0.25">
      <c r="A25" t="s">
        <v>100</v>
      </c>
      <c r="B25" t="s">
        <v>101</v>
      </c>
      <c r="C25" t="s">
        <v>96</v>
      </c>
      <c r="D25" t="s">
        <v>102</v>
      </c>
      <c r="E25" t="s">
        <v>117</v>
      </c>
      <c r="F25" t="s">
        <v>116</v>
      </c>
      <c r="G25" t="s">
        <v>133</v>
      </c>
      <c r="H25" t="s">
        <v>114</v>
      </c>
      <c r="I25" t="s">
        <v>113</v>
      </c>
      <c r="J25" t="s">
        <v>112</v>
      </c>
      <c r="K25" t="s">
        <v>111</v>
      </c>
      <c r="L25" t="s">
        <v>110</v>
      </c>
      <c r="M25" t="s">
        <v>109</v>
      </c>
      <c r="N25" t="s">
        <v>108</v>
      </c>
      <c r="O25" t="s">
        <v>122</v>
      </c>
      <c r="P25" t="s">
        <v>107</v>
      </c>
      <c r="Q25" t="s">
        <v>123</v>
      </c>
      <c r="R25" t="s">
        <v>106</v>
      </c>
      <c r="S25">
        <f>SUM(S20:S24)</f>
        <v>727</v>
      </c>
      <c r="T25" t="b">
        <f>S25=Prose!C412</f>
        <v>1</v>
      </c>
    </row>
    <row r="26" spans="1:20" x14ac:dyDescent="0.25">
      <c r="A26">
        <v>34</v>
      </c>
      <c r="B26" t="s">
        <v>54</v>
      </c>
      <c r="C26">
        <v>2</v>
      </c>
      <c r="D26" t="s">
        <v>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f t="shared" ref="S26:S31" si="0">SUM(E26:R26)</f>
        <v>1</v>
      </c>
    </row>
    <row r="27" spans="1:20" x14ac:dyDescent="0.25">
      <c r="A27">
        <v>34</v>
      </c>
      <c r="B27" t="s">
        <v>54</v>
      </c>
      <c r="C27">
        <v>3</v>
      </c>
      <c r="D27" t="s">
        <v>86</v>
      </c>
      <c r="E27">
        <v>21</v>
      </c>
      <c r="F27">
        <v>40</v>
      </c>
      <c r="G27">
        <v>24</v>
      </c>
      <c r="H27">
        <v>4</v>
      </c>
      <c r="I27">
        <v>41</v>
      </c>
      <c r="J27">
        <v>12</v>
      </c>
      <c r="K27">
        <v>17</v>
      </c>
      <c r="L27">
        <v>0</v>
      </c>
      <c r="M27">
        <v>5</v>
      </c>
      <c r="N27">
        <v>3</v>
      </c>
      <c r="O27">
        <v>13</v>
      </c>
      <c r="P27">
        <v>53</v>
      </c>
      <c r="Q27">
        <v>4</v>
      </c>
      <c r="R27">
        <v>0</v>
      </c>
      <c r="S27">
        <f t="shared" si="0"/>
        <v>237</v>
      </c>
    </row>
    <row r="28" spans="1:20" x14ac:dyDescent="0.25">
      <c r="A28">
        <v>34</v>
      </c>
      <c r="B28" t="s">
        <v>54</v>
      </c>
      <c r="C28">
        <v>4</v>
      </c>
      <c r="D28" t="s">
        <v>87</v>
      </c>
      <c r="E28">
        <v>0</v>
      </c>
      <c r="F28">
        <v>0</v>
      </c>
      <c r="G28">
        <v>3</v>
      </c>
      <c r="H28">
        <v>0</v>
      </c>
      <c r="I28">
        <v>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f t="shared" si="0"/>
        <v>9</v>
      </c>
    </row>
    <row r="29" spans="1:20" x14ac:dyDescent="0.25">
      <c r="A29">
        <v>34</v>
      </c>
      <c r="B29" t="s">
        <v>54</v>
      </c>
      <c r="C29">
        <v>6</v>
      </c>
      <c r="D29" t="s">
        <v>88</v>
      </c>
      <c r="E29">
        <v>16</v>
      </c>
      <c r="F29">
        <v>11</v>
      </c>
      <c r="G29">
        <v>6</v>
      </c>
      <c r="H29">
        <v>5</v>
      </c>
      <c r="I29">
        <v>19</v>
      </c>
      <c r="J29">
        <v>3</v>
      </c>
      <c r="K29">
        <v>6</v>
      </c>
      <c r="L29">
        <v>0</v>
      </c>
      <c r="M29">
        <v>0</v>
      </c>
      <c r="N29">
        <v>0</v>
      </c>
      <c r="O29">
        <v>8</v>
      </c>
      <c r="P29">
        <v>26</v>
      </c>
      <c r="Q29">
        <v>1</v>
      </c>
      <c r="R29">
        <v>0</v>
      </c>
      <c r="S29">
        <f t="shared" si="0"/>
        <v>101</v>
      </c>
    </row>
    <row r="30" spans="1:20" x14ac:dyDescent="0.25">
      <c r="A30">
        <v>34</v>
      </c>
      <c r="B30" t="s">
        <v>54</v>
      </c>
      <c r="C30">
        <v>7</v>
      </c>
      <c r="D30" t="s">
        <v>91</v>
      </c>
      <c r="E30">
        <v>83</v>
      </c>
      <c r="F30">
        <v>16</v>
      </c>
      <c r="G30">
        <v>196</v>
      </c>
      <c r="H30">
        <v>5</v>
      </c>
      <c r="I30">
        <v>45</v>
      </c>
      <c r="J30">
        <v>10</v>
      </c>
      <c r="K30">
        <v>15</v>
      </c>
      <c r="L30">
        <v>0</v>
      </c>
      <c r="M30">
        <v>8</v>
      </c>
      <c r="N30">
        <v>10</v>
      </c>
      <c r="O30">
        <v>6</v>
      </c>
      <c r="P30">
        <v>31</v>
      </c>
      <c r="Q30">
        <v>12</v>
      </c>
      <c r="R30">
        <v>0</v>
      </c>
      <c r="S30">
        <f t="shared" si="0"/>
        <v>437</v>
      </c>
    </row>
    <row r="31" spans="1:20" x14ac:dyDescent="0.25">
      <c r="A31">
        <v>34</v>
      </c>
      <c r="B31" t="s">
        <v>54</v>
      </c>
      <c r="C31">
        <v>8</v>
      </c>
      <c r="D31" t="s">
        <v>89</v>
      </c>
      <c r="E31">
        <v>0</v>
      </c>
      <c r="F31">
        <v>0</v>
      </c>
      <c r="G31">
        <v>55</v>
      </c>
      <c r="H31">
        <v>2</v>
      </c>
      <c r="I31">
        <v>167</v>
      </c>
      <c r="J31">
        <v>3</v>
      </c>
      <c r="K31">
        <v>0</v>
      </c>
      <c r="L31">
        <v>0</v>
      </c>
      <c r="M31">
        <v>0</v>
      </c>
      <c r="N31">
        <v>0</v>
      </c>
      <c r="O31">
        <v>1</v>
      </c>
      <c r="P31">
        <v>2</v>
      </c>
      <c r="Q31">
        <v>0</v>
      </c>
      <c r="R31">
        <v>0</v>
      </c>
      <c r="S31">
        <f t="shared" si="0"/>
        <v>230</v>
      </c>
    </row>
    <row r="32" spans="1:20" x14ac:dyDescent="0.25">
      <c r="S32">
        <f>SUM(S26:S31)</f>
        <v>1015</v>
      </c>
      <c r="T32" t="b">
        <f>S32=Prose!C426</f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opLeftCell="B13" workbookViewId="0">
      <selection activeCell="I38" sqref="I38"/>
    </sheetView>
  </sheetViews>
  <sheetFormatPr defaultRowHeight="15" x14ac:dyDescent="0.25"/>
  <cols>
    <col min="2" max="2" width="14.85546875" bestFit="1" customWidth="1"/>
  </cols>
  <sheetData>
    <row r="1" spans="1:20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122</v>
      </c>
      <c r="P1" t="s">
        <v>107</v>
      </c>
      <c r="Q1" t="s">
        <v>123</v>
      </c>
      <c r="R1" t="s">
        <v>106</v>
      </c>
    </row>
    <row r="2" spans="1:20" x14ac:dyDescent="0.25">
      <c r="A2">
        <v>1</v>
      </c>
      <c r="B2" t="s">
        <v>21</v>
      </c>
      <c r="C2">
        <v>3</v>
      </c>
      <c r="D2" t="s">
        <v>86</v>
      </c>
      <c r="E2">
        <v>168</v>
      </c>
      <c r="F2">
        <v>155</v>
      </c>
      <c r="G2">
        <v>212</v>
      </c>
      <c r="H2">
        <v>62</v>
      </c>
      <c r="I2">
        <v>401</v>
      </c>
      <c r="J2">
        <v>29</v>
      </c>
      <c r="K2">
        <v>48</v>
      </c>
      <c r="L2">
        <v>0</v>
      </c>
      <c r="M2">
        <v>19</v>
      </c>
      <c r="N2">
        <v>11</v>
      </c>
      <c r="O2">
        <v>66</v>
      </c>
      <c r="P2">
        <v>254</v>
      </c>
      <c r="Q2">
        <v>15</v>
      </c>
      <c r="R2">
        <v>3</v>
      </c>
      <c r="S2">
        <f t="shared" ref="S2:S7" si="0">SUM(E2:R2)</f>
        <v>1443</v>
      </c>
    </row>
    <row r="3" spans="1:20" x14ac:dyDescent="0.25">
      <c r="A3">
        <v>1</v>
      </c>
      <c r="B3" t="s">
        <v>21</v>
      </c>
      <c r="C3">
        <v>4</v>
      </c>
      <c r="D3" t="s">
        <v>87</v>
      </c>
      <c r="E3">
        <v>2</v>
      </c>
      <c r="F3">
        <v>1</v>
      </c>
      <c r="G3">
        <v>12</v>
      </c>
      <c r="H3">
        <v>0</v>
      </c>
      <c r="I3">
        <v>35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f t="shared" si="0"/>
        <v>52</v>
      </c>
    </row>
    <row r="4" spans="1:20" x14ac:dyDescent="0.25">
      <c r="A4">
        <v>1</v>
      </c>
      <c r="B4" t="s">
        <v>21</v>
      </c>
      <c r="C4">
        <v>5</v>
      </c>
      <c r="D4" t="s">
        <v>90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f t="shared" si="0"/>
        <v>1</v>
      </c>
    </row>
    <row r="5" spans="1:20" x14ac:dyDescent="0.25">
      <c r="A5">
        <v>1</v>
      </c>
      <c r="B5" t="s">
        <v>21</v>
      </c>
      <c r="C5">
        <v>6</v>
      </c>
      <c r="D5" t="s">
        <v>88</v>
      </c>
      <c r="E5">
        <v>79</v>
      </c>
      <c r="F5">
        <v>46</v>
      </c>
      <c r="G5">
        <v>49</v>
      </c>
      <c r="H5">
        <v>58</v>
      </c>
      <c r="I5">
        <v>201</v>
      </c>
      <c r="J5">
        <v>8</v>
      </c>
      <c r="K5">
        <v>19</v>
      </c>
      <c r="L5">
        <v>0</v>
      </c>
      <c r="M5">
        <v>0</v>
      </c>
      <c r="N5">
        <v>0</v>
      </c>
      <c r="O5">
        <v>29</v>
      </c>
      <c r="P5">
        <v>102</v>
      </c>
      <c r="Q5">
        <v>5</v>
      </c>
      <c r="R5">
        <v>0</v>
      </c>
      <c r="S5">
        <f t="shared" si="0"/>
        <v>596</v>
      </c>
    </row>
    <row r="6" spans="1:20" x14ac:dyDescent="0.25">
      <c r="A6">
        <v>1</v>
      </c>
      <c r="B6" t="s">
        <v>21</v>
      </c>
      <c r="C6">
        <v>7</v>
      </c>
      <c r="D6" t="s">
        <v>91</v>
      </c>
      <c r="E6">
        <v>356</v>
      </c>
      <c r="F6">
        <v>41</v>
      </c>
      <c r="G6">
        <v>1224</v>
      </c>
      <c r="H6">
        <v>44</v>
      </c>
      <c r="I6">
        <v>186</v>
      </c>
      <c r="J6">
        <v>15</v>
      </c>
      <c r="K6">
        <v>24</v>
      </c>
      <c r="L6">
        <v>0</v>
      </c>
      <c r="M6">
        <v>53</v>
      </c>
      <c r="N6">
        <v>61</v>
      </c>
      <c r="O6">
        <v>18</v>
      </c>
      <c r="P6">
        <v>89</v>
      </c>
      <c r="Q6">
        <v>9</v>
      </c>
      <c r="R6">
        <v>0</v>
      </c>
      <c r="S6">
        <f t="shared" si="0"/>
        <v>2120</v>
      </c>
    </row>
    <row r="7" spans="1:20" x14ac:dyDescent="0.25">
      <c r="A7">
        <v>1</v>
      </c>
      <c r="B7" t="s">
        <v>21</v>
      </c>
      <c r="C7">
        <v>8</v>
      </c>
      <c r="D7" t="s">
        <v>89</v>
      </c>
      <c r="E7">
        <v>5</v>
      </c>
      <c r="F7">
        <v>1</v>
      </c>
      <c r="G7">
        <v>380</v>
      </c>
      <c r="H7">
        <v>11</v>
      </c>
      <c r="I7">
        <v>876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11</v>
      </c>
      <c r="Q7">
        <v>0</v>
      </c>
      <c r="R7">
        <v>0</v>
      </c>
      <c r="S7">
        <f t="shared" si="0"/>
        <v>1286</v>
      </c>
    </row>
    <row r="8" spans="1:20" x14ac:dyDescent="0.25">
      <c r="A8" t="s">
        <v>100</v>
      </c>
      <c r="B8" t="s">
        <v>101</v>
      </c>
      <c r="C8" t="s">
        <v>96</v>
      </c>
      <c r="D8" t="s">
        <v>102</v>
      </c>
      <c r="E8" t="s">
        <v>117</v>
      </c>
      <c r="F8" t="s">
        <v>116</v>
      </c>
      <c r="G8" t="s">
        <v>133</v>
      </c>
      <c r="H8" t="s">
        <v>114</v>
      </c>
      <c r="I8" t="s">
        <v>113</v>
      </c>
      <c r="J8" t="s">
        <v>112</v>
      </c>
      <c r="K8" t="s">
        <v>111</v>
      </c>
      <c r="L8" t="s">
        <v>110</v>
      </c>
      <c r="M8" t="s">
        <v>109</v>
      </c>
      <c r="N8" t="s">
        <v>108</v>
      </c>
      <c r="O8" t="s">
        <v>122</v>
      </c>
      <c r="P8" t="s">
        <v>107</v>
      </c>
      <c r="Q8" t="s">
        <v>123</v>
      </c>
      <c r="R8" t="s">
        <v>106</v>
      </c>
      <c r="S8">
        <f>SUM(S2:S7)</f>
        <v>5498</v>
      </c>
      <c r="T8" t="s">
        <v>124</v>
      </c>
    </row>
    <row r="9" spans="1:20" x14ac:dyDescent="0.25">
      <c r="A9">
        <v>2</v>
      </c>
      <c r="B9" t="s">
        <v>25</v>
      </c>
      <c r="C9">
        <v>2</v>
      </c>
      <c r="D9" t="s">
        <v>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f>SUM(E9:R9)</f>
        <v>2</v>
      </c>
    </row>
    <row r="10" spans="1:20" x14ac:dyDescent="0.25">
      <c r="A10">
        <v>2</v>
      </c>
      <c r="B10" t="s">
        <v>25</v>
      </c>
      <c r="C10">
        <v>3</v>
      </c>
      <c r="D10" t="s">
        <v>86</v>
      </c>
      <c r="E10">
        <v>140</v>
      </c>
      <c r="F10">
        <v>139</v>
      </c>
      <c r="G10">
        <v>195</v>
      </c>
      <c r="H10">
        <v>26</v>
      </c>
      <c r="I10">
        <v>301</v>
      </c>
      <c r="J10">
        <v>12</v>
      </c>
      <c r="K10">
        <v>45</v>
      </c>
      <c r="L10">
        <v>0</v>
      </c>
      <c r="M10">
        <v>20</v>
      </c>
      <c r="N10">
        <v>12</v>
      </c>
      <c r="O10">
        <v>67</v>
      </c>
      <c r="P10">
        <v>215</v>
      </c>
      <c r="Q10">
        <v>18</v>
      </c>
      <c r="R10">
        <v>0</v>
      </c>
      <c r="S10">
        <f t="shared" ref="S10:S36" si="1">SUM(E10:R10)</f>
        <v>1190</v>
      </c>
    </row>
    <row r="11" spans="1:20" x14ac:dyDescent="0.25">
      <c r="A11">
        <v>2</v>
      </c>
      <c r="B11" t="s">
        <v>25</v>
      </c>
      <c r="C11">
        <v>4</v>
      </c>
      <c r="D11" t="s">
        <v>87</v>
      </c>
      <c r="E11">
        <v>0</v>
      </c>
      <c r="F11">
        <v>0</v>
      </c>
      <c r="G11">
        <v>14</v>
      </c>
      <c r="H11">
        <v>0</v>
      </c>
      <c r="I11">
        <v>40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2</v>
      </c>
      <c r="Q11">
        <v>0</v>
      </c>
      <c r="R11">
        <v>0</v>
      </c>
      <c r="S11">
        <f t="shared" si="1"/>
        <v>59</v>
      </c>
    </row>
    <row r="12" spans="1:20" x14ac:dyDescent="0.25">
      <c r="A12">
        <v>2</v>
      </c>
      <c r="B12" t="s">
        <v>25</v>
      </c>
      <c r="C12">
        <v>5</v>
      </c>
      <c r="D12" t="s">
        <v>90</v>
      </c>
      <c r="E12">
        <v>0</v>
      </c>
      <c r="F12">
        <v>2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f t="shared" si="1"/>
        <v>8</v>
      </c>
    </row>
    <row r="13" spans="1:20" x14ac:dyDescent="0.25">
      <c r="A13">
        <v>2</v>
      </c>
      <c r="B13" t="s">
        <v>25</v>
      </c>
      <c r="C13">
        <v>6</v>
      </c>
      <c r="D13" t="s">
        <v>88</v>
      </c>
      <c r="E13">
        <v>56</v>
      </c>
      <c r="F13">
        <v>49</v>
      </c>
      <c r="G13">
        <v>49</v>
      </c>
      <c r="H13">
        <v>42</v>
      </c>
      <c r="I13">
        <v>128</v>
      </c>
      <c r="J13">
        <v>10</v>
      </c>
      <c r="K13">
        <v>17</v>
      </c>
      <c r="L13">
        <v>0</v>
      </c>
      <c r="M13">
        <v>0</v>
      </c>
      <c r="N13">
        <v>1</v>
      </c>
      <c r="O13">
        <v>12</v>
      </c>
      <c r="P13">
        <v>101</v>
      </c>
      <c r="Q13">
        <v>5</v>
      </c>
      <c r="R13">
        <v>0</v>
      </c>
      <c r="S13">
        <f t="shared" si="1"/>
        <v>470</v>
      </c>
    </row>
    <row r="14" spans="1:20" x14ac:dyDescent="0.25">
      <c r="A14">
        <v>2</v>
      </c>
      <c r="B14" t="s">
        <v>25</v>
      </c>
      <c r="C14">
        <v>7</v>
      </c>
      <c r="D14" t="s">
        <v>91</v>
      </c>
      <c r="E14">
        <v>310</v>
      </c>
      <c r="F14">
        <v>35</v>
      </c>
      <c r="G14">
        <v>920</v>
      </c>
      <c r="H14">
        <v>23</v>
      </c>
      <c r="I14">
        <v>159</v>
      </c>
      <c r="J14">
        <v>22</v>
      </c>
      <c r="K14">
        <v>24</v>
      </c>
      <c r="L14">
        <v>0</v>
      </c>
      <c r="M14">
        <v>59</v>
      </c>
      <c r="N14">
        <v>68</v>
      </c>
      <c r="O14">
        <v>18</v>
      </c>
      <c r="P14">
        <v>80</v>
      </c>
      <c r="Q14">
        <v>5</v>
      </c>
      <c r="R14">
        <v>0</v>
      </c>
      <c r="S14">
        <f t="shared" si="1"/>
        <v>1723</v>
      </c>
    </row>
    <row r="15" spans="1:20" x14ac:dyDescent="0.25">
      <c r="A15">
        <v>2</v>
      </c>
      <c r="B15" t="s">
        <v>25</v>
      </c>
      <c r="C15">
        <v>8</v>
      </c>
      <c r="D15" t="s">
        <v>89</v>
      </c>
      <c r="E15">
        <v>1</v>
      </c>
      <c r="F15">
        <v>4</v>
      </c>
      <c r="G15">
        <v>299</v>
      </c>
      <c r="H15">
        <v>8</v>
      </c>
      <c r="I15">
        <v>707</v>
      </c>
      <c r="J15">
        <v>0</v>
      </c>
      <c r="K15">
        <v>1</v>
      </c>
      <c r="L15">
        <v>0</v>
      </c>
      <c r="M15">
        <v>0</v>
      </c>
      <c r="N15">
        <v>0</v>
      </c>
      <c r="O15">
        <v>3</v>
      </c>
      <c r="P15">
        <v>11</v>
      </c>
      <c r="Q15">
        <v>1</v>
      </c>
      <c r="R15">
        <v>0</v>
      </c>
      <c r="S15">
        <f t="shared" si="1"/>
        <v>1035</v>
      </c>
    </row>
    <row r="16" spans="1:20" x14ac:dyDescent="0.25">
      <c r="A16" t="s">
        <v>100</v>
      </c>
      <c r="B16" t="s">
        <v>101</v>
      </c>
      <c r="C16" t="s">
        <v>96</v>
      </c>
      <c r="D16" t="s">
        <v>102</v>
      </c>
      <c r="E16" t="s">
        <v>117</v>
      </c>
      <c r="F16" t="s">
        <v>116</v>
      </c>
      <c r="G16" t="s">
        <v>133</v>
      </c>
      <c r="H16" t="s">
        <v>114</v>
      </c>
      <c r="I16" t="s">
        <v>113</v>
      </c>
      <c r="J16" t="s">
        <v>112</v>
      </c>
      <c r="K16" t="s">
        <v>111</v>
      </c>
      <c r="L16" t="s">
        <v>110</v>
      </c>
      <c r="M16" t="s">
        <v>109</v>
      </c>
      <c r="N16" t="s">
        <v>108</v>
      </c>
      <c r="O16" t="s">
        <v>122</v>
      </c>
      <c r="P16" t="s">
        <v>107</v>
      </c>
      <c r="Q16" t="s">
        <v>123</v>
      </c>
      <c r="R16" t="s">
        <v>106</v>
      </c>
      <c r="S16">
        <f>SUM(S9:S15)</f>
        <v>4487</v>
      </c>
    </row>
    <row r="17" spans="1:20" x14ac:dyDescent="0.25">
      <c r="A17">
        <v>3</v>
      </c>
      <c r="B17" t="s">
        <v>26</v>
      </c>
      <c r="C17">
        <v>3</v>
      </c>
      <c r="D17" t="s">
        <v>86</v>
      </c>
      <c r="E17">
        <v>96</v>
      </c>
      <c r="F17">
        <v>110</v>
      </c>
      <c r="G17">
        <v>131</v>
      </c>
      <c r="H17">
        <v>20</v>
      </c>
      <c r="I17">
        <v>225</v>
      </c>
      <c r="J17">
        <v>24</v>
      </c>
      <c r="K17">
        <v>39</v>
      </c>
      <c r="L17">
        <v>0</v>
      </c>
      <c r="M17">
        <v>16</v>
      </c>
      <c r="N17">
        <v>7</v>
      </c>
      <c r="O17">
        <v>48</v>
      </c>
      <c r="P17">
        <v>182</v>
      </c>
      <c r="Q17">
        <v>12</v>
      </c>
      <c r="R17">
        <v>1</v>
      </c>
      <c r="S17">
        <f t="shared" si="1"/>
        <v>911</v>
      </c>
    </row>
    <row r="18" spans="1:20" x14ac:dyDescent="0.25">
      <c r="A18">
        <v>3</v>
      </c>
      <c r="B18" t="s">
        <v>26</v>
      </c>
      <c r="C18">
        <v>4</v>
      </c>
      <c r="D18" t="s">
        <v>87</v>
      </c>
      <c r="E18">
        <v>0</v>
      </c>
      <c r="F18">
        <v>0</v>
      </c>
      <c r="G18">
        <v>12</v>
      </c>
      <c r="H18">
        <v>1</v>
      </c>
      <c r="I18">
        <v>32</v>
      </c>
      <c r="J18">
        <v>0</v>
      </c>
      <c r="K18">
        <v>0</v>
      </c>
      <c r="L18">
        <v>0</v>
      </c>
      <c r="M18">
        <v>2</v>
      </c>
      <c r="N18">
        <v>1</v>
      </c>
      <c r="O18">
        <v>0</v>
      </c>
      <c r="P18">
        <v>0</v>
      </c>
      <c r="Q18">
        <v>0</v>
      </c>
      <c r="R18">
        <v>0</v>
      </c>
      <c r="S18">
        <f t="shared" si="1"/>
        <v>48</v>
      </c>
    </row>
    <row r="19" spans="1:20" x14ac:dyDescent="0.25">
      <c r="A19">
        <v>3</v>
      </c>
      <c r="B19" t="s">
        <v>26</v>
      </c>
      <c r="C19">
        <v>6</v>
      </c>
      <c r="D19" t="s">
        <v>88</v>
      </c>
      <c r="E19">
        <v>20</v>
      </c>
      <c r="F19">
        <v>28</v>
      </c>
      <c r="G19">
        <v>30</v>
      </c>
      <c r="H19">
        <v>14</v>
      </c>
      <c r="I19">
        <v>70</v>
      </c>
      <c r="J19">
        <v>12</v>
      </c>
      <c r="K19">
        <v>10</v>
      </c>
      <c r="L19">
        <v>0</v>
      </c>
      <c r="M19">
        <v>0</v>
      </c>
      <c r="N19">
        <v>0</v>
      </c>
      <c r="O19">
        <v>11</v>
      </c>
      <c r="P19">
        <v>70</v>
      </c>
      <c r="Q19">
        <v>8</v>
      </c>
      <c r="R19">
        <v>0</v>
      </c>
      <c r="S19">
        <f t="shared" si="1"/>
        <v>273</v>
      </c>
    </row>
    <row r="20" spans="1:20" x14ac:dyDescent="0.25">
      <c r="A20">
        <v>3</v>
      </c>
      <c r="B20" t="s">
        <v>26</v>
      </c>
      <c r="C20">
        <v>7</v>
      </c>
      <c r="D20" t="s">
        <v>91</v>
      </c>
      <c r="E20">
        <v>197</v>
      </c>
      <c r="F20">
        <v>35</v>
      </c>
      <c r="G20">
        <v>612</v>
      </c>
      <c r="H20">
        <v>15</v>
      </c>
      <c r="I20">
        <v>105</v>
      </c>
      <c r="J20">
        <v>19</v>
      </c>
      <c r="K20">
        <v>22</v>
      </c>
      <c r="L20">
        <v>0</v>
      </c>
      <c r="M20">
        <v>38</v>
      </c>
      <c r="N20">
        <v>47</v>
      </c>
      <c r="O20">
        <v>15</v>
      </c>
      <c r="P20">
        <v>76</v>
      </c>
      <c r="Q20">
        <v>7</v>
      </c>
      <c r="R20">
        <v>0</v>
      </c>
      <c r="S20">
        <f t="shared" si="1"/>
        <v>1188</v>
      </c>
    </row>
    <row r="21" spans="1:20" x14ac:dyDescent="0.25">
      <c r="A21">
        <v>3</v>
      </c>
      <c r="B21" t="s">
        <v>26</v>
      </c>
      <c r="C21">
        <v>8</v>
      </c>
      <c r="D21" t="s">
        <v>89</v>
      </c>
      <c r="E21">
        <v>0</v>
      </c>
      <c r="F21">
        <v>2</v>
      </c>
      <c r="G21">
        <v>202</v>
      </c>
      <c r="H21">
        <v>5</v>
      </c>
      <c r="I21">
        <v>468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>
        <v>6</v>
      </c>
      <c r="Q21">
        <v>0</v>
      </c>
      <c r="R21">
        <v>0</v>
      </c>
      <c r="S21">
        <f t="shared" si="1"/>
        <v>687</v>
      </c>
    </row>
    <row r="22" spans="1:20" x14ac:dyDescent="0.25">
      <c r="A22" t="s">
        <v>100</v>
      </c>
      <c r="B22" t="s">
        <v>101</v>
      </c>
      <c r="C22" t="s">
        <v>96</v>
      </c>
      <c r="D22" t="s">
        <v>102</v>
      </c>
      <c r="E22" t="s">
        <v>117</v>
      </c>
      <c r="F22" t="s">
        <v>116</v>
      </c>
      <c r="G22" t="s">
        <v>133</v>
      </c>
      <c r="H22" t="s">
        <v>114</v>
      </c>
      <c r="I22" t="s">
        <v>113</v>
      </c>
      <c r="J22" t="s">
        <v>112</v>
      </c>
      <c r="K22" t="s">
        <v>111</v>
      </c>
      <c r="L22" t="s">
        <v>110</v>
      </c>
      <c r="M22" t="s">
        <v>109</v>
      </c>
      <c r="N22" t="s">
        <v>108</v>
      </c>
      <c r="O22" t="s">
        <v>122</v>
      </c>
      <c r="P22" t="s">
        <v>107</v>
      </c>
      <c r="Q22" t="s">
        <v>123</v>
      </c>
      <c r="R22" t="s">
        <v>106</v>
      </c>
      <c r="S22">
        <f>SUM(S17:S21)</f>
        <v>3107</v>
      </c>
      <c r="T22" t="b">
        <f>S22=Prose!C51</f>
        <v>1</v>
      </c>
    </row>
    <row r="23" spans="1:20" x14ac:dyDescent="0.25">
      <c r="A23">
        <v>4</v>
      </c>
      <c r="B23" t="s">
        <v>27</v>
      </c>
      <c r="C23">
        <v>2</v>
      </c>
      <c r="D23" t="s">
        <v>85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f t="shared" si="1"/>
        <v>4</v>
      </c>
    </row>
    <row r="24" spans="1:20" x14ac:dyDescent="0.25">
      <c r="A24">
        <v>4</v>
      </c>
      <c r="B24" t="s">
        <v>27</v>
      </c>
      <c r="C24">
        <v>3</v>
      </c>
      <c r="D24" t="s">
        <v>86</v>
      </c>
      <c r="E24">
        <v>134</v>
      </c>
      <c r="F24">
        <v>146</v>
      </c>
      <c r="G24">
        <v>206</v>
      </c>
      <c r="H24">
        <v>46</v>
      </c>
      <c r="I24">
        <v>304</v>
      </c>
      <c r="J24">
        <v>14</v>
      </c>
      <c r="K24">
        <v>43</v>
      </c>
      <c r="L24">
        <v>0</v>
      </c>
      <c r="M24">
        <v>19</v>
      </c>
      <c r="N24">
        <v>11</v>
      </c>
      <c r="O24">
        <v>66</v>
      </c>
      <c r="P24">
        <v>236</v>
      </c>
      <c r="Q24">
        <v>14</v>
      </c>
      <c r="R24">
        <v>0</v>
      </c>
      <c r="S24">
        <f t="shared" si="1"/>
        <v>1239</v>
      </c>
    </row>
    <row r="25" spans="1:20" x14ac:dyDescent="0.25">
      <c r="A25">
        <v>4</v>
      </c>
      <c r="B25" t="s">
        <v>27</v>
      </c>
      <c r="C25">
        <v>4</v>
      </c>
      <c r="D25" t="s">
        <v>87</v>
      </c>
      <c r="E25">
        <v>0</v>
      </c>
      <c r="F25">
        <v>0</v>
      </c>
      <c r="G25">
        <v>21</v>
      </c>
      <c r="H25">
        <v>1</v>
      </c>
      <c r="I25">
        <v>51</v>
      </c>
      <c r="J25">
        <v>0</v>
      </c>
      <c r="K25">
        <v>0</v>
      </c>
      <c r="L25">
        <v>0</v>
      </c>
      <c r="M25">
        <v>5</v>
      </c>
      <c r="N25">
        <v>1</v>
      </c>
      <c r="O25">
        <v>0</v>
      </c>
      <c r="P25">
        <v>1</v>
      </c>
      <c r="Q25">
        <v>0</v>
      </c>
      <c r="R25">
        <v>0</v>
      </c>
      <c r="S25">
        <f t="shared" si="1"/>
        <v>80</v>
      </c>
    </row>
    <row r="26" spans="1:20" x14ac:dyDescent="0.25">
      <c r="A26">
        <v>4</v>
      </c>
      <c r="B26" t="s">
        <v>27</v>
      </c>
      <c r="C26">
        <v>6</v>
      </c>
      <c r="D26" t="s">
        <v>88</v>
      </c>
      <c r="E26">
        <v>58</v>
      </c>
      <c r="F26">
        <v>36</v>
      </c>
      <c r="G26">
        <v>44</v>
      </c>
      <c r="H26">
        <v>46</v>
      </c>
      <c r="I26">
        <v>131</v>
      </c>
      <c r="J26">
        <v>15</v>
      </c>
      <c r="K26">
        <v>15</v>
      </c>
      <c r="L26">
        <v>0</v>
      </c>
      <c r="M26">
        <v>0</v>
      </c>
      <c r="N26">
        <v>0</v>
      </c>
      <c r="O26">
        <v>14</v>
      </c>
      <c r="P26">
        <v>96</v>
      </c>
      <c r="Q26">
        <v>1</v>
      </c>
      <c r="R26">
        <v>0</v>
      </c>
      <c r="S26">
        <f t="shared" si="1"/>
        <v>456</v>
      </c>
    </row>
    <row r="27" spans="1:20" x14ac:dyDescent="0.25">
      <c r="A27">
        <v>4</v>
      </c>
      <c r="B27" t="s">
        <v>27</v>
      </c>
      <c r="C27">
        <v>7</v>
      </c>
      <c r="D27" t="s">
        <v>91</v>
      </c>
      <c r="E27">
        <v>302</v>
      </c>
      <c r="F27">
        <v>40</v>
      </c>
      <c r="G27">
        <v>807</v>
      </c>
      <c r="H27">
        <v>29</v>
      </c>
      <c r="I27">
        <v>134</v>
      </c>
      <c r="J27">
        <v>21</v>
      </c>
      <c r="K27">
        <v>29</v>
      </c>
      <c r="L27">
        <v>0</v>
      </c>
      <c r="M27">
        <v>72</v>
      </c>
      <c r="N27">
        <v>84</v>
      </c>
      <c r="O27">
        <v>32</v>
      </c>
      <c r="P27">
        <v>95</v>
      </c>
      <c r="Q27">
        <v>21</v>
      </c>
      <c r="R27">
        <v>0</v>
      </c>
      <c r="S27">
        <f t="shared" si="1"/>
        <v>1666</v>
      </c>
    </row>
    <row r="28" spans="1:20" x14ac:dyDescent="0.25">
      <c r="A28">
        <v>4</v>
      </c>
      <c r="B28" t="s">
        <v>27</v>
      </c>
      <c r="C28">
        <v>8</v>
      </c>
      <c r="D28" t="s">
        <v>89</v>
      </c>
      <c r="E28">
        <v>3</v>
      </c>
      <c r="F28">
        <v>0</v>
      </c>
      <c r="G28">
        <v>280</v>
      </c>
      <c r="H28">
        <v>4</v>
      </c>
      <c r="I28">
        <v>598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6</v>
      </c>
      <c r="Q28">
        <v>0</v>
      </c>
      <c r="R28">
        <v>0</v>
      </c>
      <c r="S28">
        <f t="shared" si="1"/>
        <v>893</v>
      </c>
    </row>
    <row r="29" spans="1:20" x14ac:dyDescent="0.25">
      <c r="A29" t="s">
        <v>100</v>
      </c>
      <c r="B29" t="s">
        <v>101</v>
      </c>
      <c r="C29" t="s">
        <v>96</v>
      </c>
      <c r="D29" t="s">
        <v>102</v>
      </c>
      <c r="E29" t="s">
        <v>117</v>
      </c>
      <c r="F29" t="s">
        <v>116</v>
      </c>
      <c r="G29" t="s">
        <v>133</v>
      </c>
      <c r="H29" t="s">
        <v>114</v>
      </c>
      <c r="I29" t="s">
        <v>113</v>
      </c>
      <c r="J29" t="s">
        <v>112</v>
      </c>
      <c r="K29" t="s">
        <v>111</v>
      </c>
      <c r="L29" t="s">
        <v>110</v>
      </c>
      <c r="M29" t="s">
        <v>109</v>
      </c>
      <c r="N29" t="s">
        <v>108</v>
      </c>
      <c r="O29" t="s">
        <v>122</v>
      </c>
      <c r="P29" t="s">
        <v>107</v>
      </c>
      <c r="Q29" t="s">
        <v>123</v>
      </c>
      <c r="R29" t="s">
        <v>106</v>
      </c>
      <c r="S29">
        <f>SUM(S23:S28)</f>
        <v>4338</v>
      </c>
      <c r="T29" t="b">
        <f>S29=Prose!C65</f>
        <v>1</v>
      </c>
    </row>
    <row r="30" spans="1:20" x14ac:dyDescent="0.25">
      <c r="A30">
        <v>5</v>
      </c>
      <c r="B30" t="s">
        <v>28</v>
      </c>
      <c r="C30">
        <v>2</v>
      </c>
      <c r="D30" t="s">
        <v>85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f t="shared" si="1"/>
        <v>2</v>
      </c>
    </row>
    <row r="31" spans="1:20" x14ac:dyDescent="0.25">
      <c r="A31">
        <v>5</v>
      </c>
      <c r="B31" t="s">
        <v>28</v>
      </c>
      <c r="C31">
        <v>3</v>
      </c>
      <c r="D31" t="s">
        <v>86</v>
      </c>
      <c r="E31">
        <v>144</v>
      </c>
      <c r="F31">
        <v>141</v>
      </c>
      <c r="G31">
        <v>176</v>
      </c>
      <c r="H31">
        <v>23</v>
      </c>
      <c r="I31">
        <v>263</v>
      </c>
      <c r="J31">
        <v>26</v>
      </c>
      <c r="K31">
        <v>57</v>
      </c>
      <c r="L31">
        <v>0</v>
      </c>
      <c r="M31">
        <v>19</v>
      </c>
      <c r="N31">
        <v>10</v>
      </c>
      <c r="O31">
        <v>63</v>
      </c>
      <c r="P31">
        <v>219</v>
      </c>
      <c r="Q31">
        <v>15</v>
      </c>
      <c r="R31">
        <v>0</v>
      </c>
      <c r="S31">
        <f t="shared" si="1"/>
        <v>1156</v>
      </c>
    </row>
    <row r="32" spans="1:20" x14ac:dyDescent="0.25">
      <c r="A32">
        <v>5</v>
      </c>
      <c r="B32" t="s">
        <v>28</v>
      </c>
      <c r="C32">
        <v>4</v>
      </c>
      <c r="D32" t="s">
        <v>87</v>
      </c>
      <c r="E32">
        <v>0</v>
      </c>
      <c r="F32">
        <v>0</v>
      </c>
      <c r="G32">
        <v>12</v>
      </c>
      <c r="H32">
        <v>0</v>
      </c>
      <c r="I32">
        <v>45</v>
      </c>
      <c r="J32">
        <v>0</v>
      </c>
      <c r="K32">
        <v>2</v>
      </c>
      <c r="L32">
        <v>0</v>
      </c>
      <c r="M32">
        <v>5</v>
      </c>
      <c r="N32">
        <v>3</v>
      </c>
      <c r="O32">
        <v>0</v>
      </c>
      <c r="P32">
        <v>1</v>
      </c>
      <c r="Q32">
        <v>0</v>
      </c>
      <c r="R32">
        <v>0</v>
      </c>
      <c r="S32">
        <f t="shared" si="1"/>
        <v>68</v>
      </c>
    </row>
    <row r="33" spans="1:20" x14ac:dyDescent="0.25">
      <c r="A33">
        <v>5</v>
      </c>
      <c r="B33" t="s">
        <v>28</v>
      </c>
      <c r="C33">
        <v>5</v>
      </c>
      <c r="D33" t="s">
        <v>90</v>
      </c>
      <c r="E33">
        <v>0</v>
      </c>
      <c r="F33">
        <v>1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2</v>
      </c>
      <c r="Q33">
        <v>0</v>
      </c>
      <c r="R33">
        <v>0</v>
      </c>
      <c r="S33">
        <f t="shared" si="1"/>
        <v>7</v>
      </c>
    </row>
    <row r="34" spans="1:20" x14ac:dyDescent="0.25">
      <c r="A34">
        <v>5</v>
      </c>
      <c r="B34" t="s">
        <v>28</v>
      </c>
      <c r="C34">
        <v>6</v>
      </c>
      <c r="D34" t="s">
        <v>88</v>
      </c>
      <c r="E34">
        <v>51</v>
      </c>
      <c r="F34">
        <v>40</v>
      </c>
      <c r="G34">
        <v>33</v>
      </c>
      <c r="H34">
        <v>18</v>
      </c>
      <c r="I34">
        <v>144</v>
      </c>
      <c r="J34">
        <v>7</v>
      </c>
      <c r="K34">
        <v>17</v>
      </c>
      <c r="L34">
        <v>0</v>
      </c>
      <c r="M34">
        <v>0</v>
      </c>
      <c r="N34">
        <v>1</v>
      </c>
      <c r="O34">
        <v>28</v>
      </c>
      <c r="P34">
        <v>83</v>
      </c>
      <c r="Q34">
        <v>3</v>
      </c>
      <c r="R34">
        <v>0</v>
      </c>
      <c r="S34">
        <f t="shared" si="1"/>
        <v>425</v>
      </c>
    </row>
    <row r="35" spans="1:20" x14ac:dyDescent="0.25">
      <c r="A35">
        <v>5</v>
      </c>
      <c r="B35" t="s">
        <v>28</v>
      </c>
      <c r="C35">
        <v>7</v>
      </c>
      <c r="D35" t="s">
        <v>91</v>
      </c>
      <c r="E35">
        <v>309</v>
      </c>
      <c r="F35">
        <v>61</v>
      </c>
      <c r="G35">
        <v>826</v>
      </c>
      <c r="H35">
        <v>23</v>
      </c>
      <c r="I35">
        <v>135</v>
      </c>
      <c r="J35">
        <v>33</v>
      </c>
      <c r="K35">
        <v>40</v>
      </c>
      <c r="L35">
        <v>0</v>
      </c>
      <c r="M35">
        <v>42</v>
      </c>
      <c r="N35">
        <v>55</v>
      </c>
      <c r="O35">
        <v>16</v>
      </c>
      <c r="P35">
        <v>130</v>
      </c>
      <c r="Q35">
        <v>15</v>
      </c>
      <c r="R35">
        <v>0</v>
      </c>
      <c r="S35">
        <f t="shared" si="1"/>
        <v>1685</v>
      </c>
    </row>
    <row r="36" spans="1:20" x14ac:dyDescent="0.25">
      <c r="A36">
        <v>5</v>
      </c>
      <c r="B36" t="s">
        <v>28</v>
      </c>
      <c r="C36">
        <v>8</v>
      </c>
      <c r="D36" t="s">
        <v>89</v>
      </c>
      <c r="E36">
        <v>5</v>
      </c>
      <c r="F36">
        <v>1</v>
      </c>
      <c r="G36">
        <v>241</v>
      </c>
      <c r="H36">
        <v>6</v>
      </c>
      <c r="I36">
        <v>627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5</v>
      </c>
      <c r="Q36">
        <v>0</v>
      </c>
      <c r="R36">
        <v>0</v>
      </c>
      <c r="S36">
        <f t="shared" si="1"/>
        <v>887</v>
      </c>
    </row>
    <row r="37" spans="1:20" x14ac:dyDescent="0.25">
      <c r="S37">
        <f>SUM(S30:S36)</f>
        <v>4230</v>
      </c>
      <c r="T37" t="s">
        <v>125</v>
      </c>
    </row>
    <row r="38" spans="1:20" x14ac:dyDescent="0.25">
      <c r="G38" t="s">
        <v>133</v>
      </c>
      <c r="I38" t="s">
        <v>113</v>
      </c>
    </row>
    <row r="39" spans="1:20" x14ac:dyDescent="0.25">
      <c r="B39" t="str">
        <f>B6</f>
        <v>GENESIS</v>
      </c>
      <c r="C39">
        <f t="shared" ref="C39:R40" si="2">C6</f>
        <v>7</v>
      </c>
      <c r="D39" t="str">
        <f t="shared" si="2"/>
        <v>B4</v>
      </c>
      <c r="E39">
        <f t="shared" si="2"/>
        <v>356</v>
      </c>
      <c r="F39">
        <f t="shared" si="2"/>
        <v>41</v>
      </c>
      <c r="G39" s="2">
        <f t="shared" si="2"/>
        <v>1224</v>
      </c>
      <c r="H39">
        <f t="shared" si="2"/>
        <v>44</v>
      </c>
      <c r="I39">
        <f t="shared" si="2"/>
        <v>186</v>
      </c>
      <c r="J39">
        <f t="shared" si="2"/>
        <v>15</v>
      </c>
      <c r="K39">
        <f t="shared" si="2"/>
        <v>24</v>
      </c>
      <c r="L39">
        <f t="shared" si="2"/>
        <v>0</v>
      </c>
      <c r="M39">
        <f t="shared" si="2"/>
        <v>53</v>
      </c>
      <c r="N39">
        <f t="shared" si="2"/>
        <v>61</v>
      </c>
      <c r="O39">
        <f t="shared" si="2"/>
        <v>18</v>
      </c>
      <c r="P39">
        <f t="shared" si="2"/>
        <v>89</v>
      </c>
      <c r="Q39">
        <f t="shared" si="2"/>
        <v>9</v>
      </c>
      <c r="R39">
        <f t="shared" si="2"/>
        <v>0</v>
      </c>
    </row>
    <row r="40" spans="1:20" x14ac:dyDescent="0.25">
      <c r="B40" t="str">
        <f>B7</f>
        <v>GENESIS</v>
      </c>
      <c r="C40">
        <f t="shared" si="2"/>
        <v>8</v>
      </c>
      <c r="D40" t="str">
        <f t="shared" si="2"/>
        <v>C5</v>
      </c>
      <c r="E40">
        <f t="shared" si="2"/>
        <v>5</v>
      </c>
      <c r="F40">
        <f t="shared" si="2"/>
        <v>1</v>
      </c>
      <c r="G40">
        <f t="shared" si="2"/>
        <v>380</v>
      </c>
      <c r="H40">
        <f t="shared" si="2"/>
        <v>11</v>
      </c>
      <c r="I40" s="2">
        <f t="shared" si="2"/>
        <v>876</v>
      </c>
      <c r="J40">
        <f t="shared" si="2"/>
        <v>0</v>
      </c>
      <c r="K40">
        <f t="shared" si="2"/>
        <v>2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11</v>
      </c>
      <c r="Q40">
        <f t="shared" si="2"/>
        <v>0</v>
      </c>
      <c r="R40">
        <f t="shared" si="2"/>
        <v>0</v>
      </c>
    </row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x14ac:dyDescent="0.25">
      <c r="B47" t="str">
        <f>B14</f>
        <v>EXODUS</v>
      </c>
      <c r="C47">
        <f t="shared" ref="C47:R48" si="3">C14</f>
        <v>7</v>
      </c>
      <c r="D47" t="str">
        <f t="shared" si="3"/>
        <v>B4</v>
      </c>
      <c r="E47">
        <f t="shared" si="3"/>
        <v>310</v>
      </c>
      <c r="F47">
        <f t="shared" si="3"/>
        <v>35</v>
      </c>
      <c r="G47" s="2">
        <f t="shared" si="3"/>
        <v>920</v>
      </c>
      <c r="H47">
        <f t="shared" si="3"/>
        <v>23</v>
      </c>
      <c r="I47">
        <f t="shared" si="3"/>
        <v>159</v>
      </c>
      <c r="J47">
        <f t="shared" si="3"/>
        <v>22</v>
      </c>
      <c r="K47">
        <f t="shared" si="3"/>
        <v>24</v>
      </c>
      <c r="L47">
        <f t="shared" si="3"/>
        <v>0</v>
      </c>
      <c r="M47">
        <f t="shared" si="3"/>
        <v>59</v>
      </c>
      <c r="N47">
        <f t="shared" si="3"/>
        <v>68</v>
      </c>
      <c r="O47">
        <f t="shared" si="3"/>
        <v>18</v>
      </c>
      <c r="P47">
        <f t="shared" si="3"/>
        <v>80</v>
      </c>
      <c r="Q47">
        <f t="shared" si="3"/>
        <v>5</v>
      </c>
      <c r="R47">
        <f t="shared" si="3"/>
        <v>0</v>
      </c>
    </row>
    <row r="48" spans="1:20" x14ac:dyDescent="0.25">
      <c r="B48" t="str">
        <f>B15</f>
        <v>EXODUS</v>
      </c>
      <c r="C48">
        <f t="shared" si="3"/>
        <v>8</v>
      </c>
      <c r="D48" t="str">
        <f t="shared" si="3"/>
        <v>C5</v>
      </c>
      <c r="E48">
        <f t="shared" si="3"/>
        <v>1</v>
      </c>
      <c r="F48">
        <f t="shared" si="3"/>
        <v>4</v>
      </c>
      <c r="G48">
        <f t="shared" si="3"/>
        <v>299</v>
      </c>
      <c r="H48">
        <f t="shared" si="3"/>
        <v>8</v>
      </c>
      <c r="I48" s="2">
        <f t="shared" si="3"/>
        <v>707</v>
      </c>
      <c r="J48">
        <f t="shared" si="3"/>
        <v>0</v>
      </c>
      <c r="K48">
        <f t="shared" si="3"/>
        <v>1</v>
      </c>
      <c r="L48">
        <f t="shared" si="3"/>
        <v>0</v>
      </c>
      <c r="M48">
        <f t="shared" si="3"/>
        <v>0</v>
      </c>
      <c r="N48">
        <f t="shared" si="3"/>
        <v>0</v>
      </c>
      <c r="O48">
        <f t="shared" si="3"/>
        <v>3</v>
      </c>
      <c r="P48">
        <f t="shared" si="3"/>
        <v>11</v>
      </c>
      <c r="Q48">
        <f t="shared" si="3"/>
        <v>1</v>
      </c>
      <c r="R48">
        <f t="shared" si="3"/>
        <v>0</v>
      </c>
    </row>
    <row r="49" spans="2:18" hidden="1" x14ac:dyDescent="0.25"/>
    <row r="50" spans="2:18" hidden="1" x14ac:dyDescent="0.25"/>
    <row r="51" spans="2:18" hidden="1" x14ac:dyDescent="0.25"/>
    <row r="52" spans="2:18" hidden="1" x14ac:dyDescent="0.25"/>
    <row r="53" spans="2:18" x14ac:dyDescent="0.25">
      <c r="B53" t="str">
        <f>B20</f>
        <v>LEVITICUS</v>
      </c>
      <c r="C53">
        <f t="shared" ref="C53:R54" si="4">C20</f>
        <v>7</v>
      </c>
      <c r="D53" t="str">
        <f t="shared" si="4"/>
        <v>B4</v>
      </c>
      <c r="E53">
        <f t="shared" si="4"/>
        <v>197</v>
      </c>
      <c r="F53">
        <f t="shared" si="4"/>
        <v>35</v>
      </c>
      <c r="G53" s="2">
        <f t="shared" si="4"/>
        <v>612</v>
      </c>
      <c r="H53">
        <f t="shared" si="4"/>
        <v>15</v>
      </c>
      <c r="I53">
        <f t="shared" si="4"/>
        <v>105</v>
      </c>
      <c r="J53">
        <f t="shared" si="4"/>
        <v>19</v>
      </c>
      <c r="K53">
        <f t="shared" si="4"/>
        <v>22</v>
      </c>
      <c r="L53">
        <f t="shared" si="4"/>
        <v>0</v>
      </c>
      <c r="M53">
        <f t="shared" si="4"/>
        <v>38</v>
      </c>
      <c r="N53">
        <f t="shared" si="4"/>
        <v>47</v>
      </c>
      <c r="O53">
        <f t="shared" si="4"/>
        <v>15</v>
      </c>
      <c r="P53">
        <f t="shared" si="4"/>
        <v>76</v>
      </c>
      <c r="Q53">
        <f t="shared" si="4"/>
        <v>7</v>
      </c>
      <c r="R53">
        <f t="shared" si="4"/>
        <v>0</v>
      </c>
    </row>
    <row r="54" spans="2:18" x14ac:dyDescent="0.25">
      <c r="B54" t="str">
        <f>B21</f>
        <v>LEVITICUS</v>
      </c>
      <c r="C54">
        <f t="shared" si="4"/>
        <v>8</v>
      </c>
      <c r="D54" t="str">
        <f t="shared" si="4"/>
        <v>C5</v>
      </c>
      <c r="E54">
        <f t="shared" si="4"/>
        <v>0</v>
      </c>
      <c r="F54">
        <f t="shared" si="4"/>
        <v>2</v>
      </c>
      <c r="G54">
        <f t="shared" si="4"/>
        <v>202</v>
      </c>
      <c r="H54">
        <f t="shared" si="4"/>
        <v>5</v>
      </c>
      <c r="I54" s="2">
        <f t="shared" si="4"/>
        <v>468</v>
      </c>
      <c r="J54">
        <f t="shared" si="4"/>
        <v>2</v>
      </c>
      <c r="K54">
        <f t="shared" si="4"/>
        <v>0</v>
      </c>
      <c r="L54">
        <f t="shared" si="4"/>
        <v>0</v>
      </c>
      <c r="M54">
        <f t="shared" si="4"/>
        <v>0</v>
      </c>
      <c r="N54">
        <f t="shared" si="4"/>
        <v>0</v>
      </c>
      <c r="O54">
        <f t="shared" si="4"/>
        <v>2</v>
      </c>
      <c r="P54">
        <f t="shared" si="4"/>
        <v>6</v>
      </c>
      <c r="Q54">
        <f t="shared" si="4"/>
        <v>0</v>
      </c>
      <c r="R54">
        <f t="shared" si="4"/>
        <v>0</v>
      </c>
    </row>
    <row r="55" spans="2:18" hidden="1" x14ac:dyDescent="0.25"/>
    <row r="56" spans="2:18" hidden="1" x14ac:dyDescent="0.25"/>
    <row r="57" spans="2:18" hidden="1" x14ac:dyDescent="0.25"/>
    <row r="58" spans="2:18" hidden="1" x14ac:dyDescent="0.25"/>
    <row r="59" spans="2:18" hidden="1" x14ac:dyDescent="0.25"/>
    <row r="60" spans="2:18" x14ac:dyDescent="0.25">
      <c r="B60" t="str">
        <f>B27</f>
        <v>NUMBERS</v>
      </c>
      <c r="C60">
        <f t="shared" ref="C60:R61" si="5">C27</f>
        <v>7</v>
      </c>
      <c r="D60" t="str">
        <f t="shared" si="5"/>
        <v>B4</v>
      </c>
      <c r="E60">
        <f t="shared" si="5"/>
        <v>302</v>
      </c>
      <c r="F60">
        <f t="shared" si="5"/>
        <v>40</v>
      </c>
      <c r="G60" s="2">
        <f t="shared" si="5"/>
        <v>807</v>
      </c>
      <c r="H60">
        <f t="shared" si="5"/>
        <v>29</v>
      </c>
      <c r="I60">
        <f t="shared" si="5"/>
        <v>134</v>
      </c>
      <c r="J60">
        <f t="shared" si="5"/>
        <v>21</v>
      </c>
      <c r="K60">
        <f t="shared" si="5"/>
        <v>29</v>
      </c>
      <c r="L60">
        <f t="shared" si="5"/>
        <v>0</v>
      </c>
      <c r="M60">
        <f t="shared" si="5"/>
        <v>72</v>
      </c>
      <c r="N60">
        <f t="shared" si="5"/>
        <v>84</v>
      </c>
      <c r="O60">
        <f t="shared" si="5"/>
        <v>32</v>
      </c>
      <c r="P60">
        <f t="shared" si="5"/>
        <v>95</v>
      </c>
      <c r="Q60">
        <f t="shared" si="5"/>
        <v>21</v>
      </c>
      <c r="R60">
        <f t="shared" si="5"/>
        <v>0</v>
      </c>
    </row>
    <row r="61" spans="2:18" x14ac:dyDescent="0.25">
      <c r="B61" t="str">
        <f>B28</f>
        <v>NUMBERS</v>
      </c>
      <c r="C61">
        <f t="shared" si="5"/>
        <v>8</v>
      </c>
      <c r="D61" t="str">
        <f t="shared" si="5"/>
        <v>C5</v>
      </c>
      <c r="E61">
        <f t="shared" si="5"/>
        <v>3</v>
      </c>
      <c r="F61">
        <f t="shared" si="5"/>
        <v>0</v>
      </c>
      <c r="G61">
        <f t="shared" si="5"/>
        <v>280</v>
      </c>
      <c r="H61">
        <f t="shared" si="5"/>
        <v>4</v>
      </c>
      <c r="I61" s="2">
        <f t="shared" si="5"/>
        <v>598</v>
      </c>
      <c r="J61">
        <f t="shared" si="5"/>
        <v>0</v>
      </c>
      <c r="K61">
        <f t="shared" si="5"/>
        <v>0</v>
      </c>
      <c r="L61">
        <f t="shared" si="5"/>
        <v>0</v>
      </c>
      <c r="M61">
        <f t="shared" si="5"/>
        <v>0</v>
      </c>
      <c r="N61">
        <f t="shared" si="5"/>
        <v>0</v>
      </c>
      <c r="O61">
        <f t="shared" si="5"/>
        <v>2</v>
      </c>
      <c r="P61">
        <f t="shared" si="5"/>
        <v>6</v>
      </c>
      <c r="Q61">
        <f t="shared" si="5"/>
        <v>0</v>
      </c>
      <c r="R61">
        <f t="shared" si="5"/>
        <v>0</v>
      </c>
    </row>
    <row r="62" spans="2:18" hidden="1" x14ac:dyDescent="0.25"/>
    <row r="63" spans="2:18" hidden="1" x14ac:dyDescent="0.25"/>
    <row r="64" spans="2:18" hidden="1" x14ac:dyDescent="0.25"/>
    <row r="65" spans="2:18" hidden="1" x14ac:dyDescent="0.25"/>
    <row r="66" spans="2:18" hidden="1" x14ac:dyDescent="0.25"/>
    <row r="67" spans="2:18" hidden="1" x14ac:dyDescent="0.25"/>
    <row r="68" spans="2:18" x14ac:dyDescent="0.25">
      <c r="B68" t="str">
        <f>B35</f>
        <v>DEUTERONOMY</v>
      </c>
      <c r="C68">
        <f t="shared" ref="C68:R69" si="6">C35</f>
        <v>7</v>
      </c>
      <c r="D68" t="str">
        <f t="shared" si="6"/>
        <v>B4</v>
      </c>
      <c r="E68">
        <f t="shared" si="6"/>
        <v>309</v>
      </c>
      <c r="F68">
        <f t="shared" si="6"/>
        <v>61</v>
      </c>
      <c r="G68" s="2">
        <f t="shared" si="6"/>
        <v>826</v>
      </c>
      <c r="H68">
        <f t="shared" si="6"/>
        <v>23</v>
      </c>
      <c r="I68">
        <f t="shared" si="6"/>
        <v>135</v>
      </c>
      <c r="J68">
        <f t="shared" si="6"/>
        <v>33</v>
      </c>
      <c r="K68">
        <f t="shared" si="6"/>
        <v>40</v>
      </c>
      <c r="L68">
        <f t="shared" si="6"/>
        <v>0</v>
      </c>
      <c r="M68">
        <f t="shared" si="6"/>
        <v>42</v>
      </c>
      <c r="N68">
        <f t="shared" si="6"/>
        <v>55</v>
      </c>
      <c r="O68">
        <f t="shared" si="6"/>
        <v>16</v>
      </c>
      <c r="P68">
        <f t="shared" si="6"/>
        <v>130</v>
      </c>
      <c r="Q68">
        <f t="shared" si="6"/>
        <v>15</v>
      </c>
      <c r="R68">
        <f t="shared" si="6"/>
        <v>0</v>
      </c>
    </row>
    <row r="69" spans="2:18" x14ac:dyDescent="0.25">
      <c r="B69" t="str">
        <f>B36</f>
        <v>DEUTERONOMY</v>
      </c>
      <c r="C69">
        <f t="shared" si="6"/>
        <v>8</v>
      </c>
      <c r="D69" t="str">
        <f t="shared" si="6"/>
        <v>C5</v>
      </c>
      <c r="E69">
        <f t="shared" si="6"/>
        <v>5</v>
      </c>
      <c r="F69">
        <f t="shared" si="6"/>
        <v>1</v>
      </c>
      <c r="G69">
        <f t="shared" si="6"/>
        <v>241</v>
      </c>
      <c r="H69">
        <f t="shared" si="6"/>
        <v>6</v>
      </c>
      <c r="I69" s="2">
        <f t="shared" si="6"/>
        <v>627</v>
      </c>
      <c r="J69">
        <f t="shared" si="6"/>
        <v>1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1</v>
      </c>
      <c r="P69">
        <f t="shared" si="6"/>
        <v>5</v>
      </c>
      <c r="Q69">
        <f t="shared" si="6"/>
        <v>0</v>
      </c>
      <c r="R69">
        <f t="shared" si="6"/>
        <v>0</v>
      </c>
    </row>
    <row r="72" spans="2:18" x14ac:dyDescent="0.25">
      <c r="E72" s="3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D8" sqref="D8:P13"/>
    </sheetView>
  </sheetViews>
  <sheetFormatPr defaultRowHeight="15" x14ac:dyDescent="0.25"/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115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6</v>
      </c>
      <c r="B2" t="s">
        <v>29</v>
      </c>
      <c r="C2">
        <v>2</v>
      </c>
      <c r="D2" t="s">
        <v>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6</v>
      </c>
      <c r="B3" t="s">
        <v>29</v>
      </c>
      <c r="C3">
        <v>3</v>
      </c>
      <c r="D3" t="s">
        <v>86</v>
      </c>
      <c r="E3">
        <v>100</v>
      </c>
      <c r="F3">
        <v>127</v>
      </c>
      <c r="G3">
        <v>103</v>
      </c>
      <c r="H3">
        <v>13</v>
      </c>
      <c r="I3">
        <v>195</v>
      </c>
      <c r="J3">
        <v>33</v>
      </c>
      <c r="K3">
        <v>46</v>
      </c>
      <c r="L3">
        <v>0</v>
      </c>
      <c r="M3">
        <v>4</v>
      </c>
      <c r="N3">
        <v>3</v>
      </c>
      <c r="O3">
        <v>181</v>
      </c>
      <c r="P3">
        <v>0</v>
      </c>
    </row>
    <row r="4" spans="1:16" x14ac:dyDescent="0.25">
      <c r="A4">
        <v>6</v>
      </c>
      <c r="B4" t="s">
        <v>29</v>
      </c>
      <c r="C4">
        <v>4</v>
      </c>
      <c r="D4" t="s">
        <v>87</v>
      </c>
      <c r="E4">
        <v>1</v>
      </c>
      <c r="F4">
        <v>1</v>
      </c>
      <c r="G4">
        <v>10</v>
      </c>
      <c r="H4">
        <v>0</v>
      </c>
      <c r="I4">
        <v>31</v>
      </c>
      <c r="J4">
        <v>0</v>
      </c>
      <c r="K4">
        <v>0</v>
      </c>
      <c r="L4">
        <v>0</v>
      </c>
      <c r="M4">
        <v>6</v>
      </c>
      <c r="N4">
        <v>3</v>
      </c>
      <c r="O4">
        <v>1</v>
      </c>
      <c r="P4">
        <v>0</v>
      </c>
    </row>
    <row r="5" spans="1:16" x14ac:dyDescent="0.25">
      <c r="A5">
        <v>6</v>
      </c>
      <c r="B5" t="s">
        <v>29</v>
      </c>
      <c r="C5">
        <v>6</v>
      </c>
      <c r="D5" t="s">
        <v>88</v>
      </c>
      <c r="E5">
        <v>43</v>
      </c>
      <c r="F5">
        <v>47</v>
      </c>
      <c r="G5">
        <v>15</v>
      </c>
      <c r="H5">
        <v>12</v>
      </c>
      <c r="I5">
        <v>61</v>
      </c>
      <c r="J5">
        <v>13</v>
      </c>
      <c r="K5">
        <v>21</v>
      </c>
      <c r="L5">
        <v>0</v>
      </c>
      <c r="M5">
        <v>0</v>
      </c>
      <c r="N5">
        <v>0</v>
      </c>
      <c r="O5">
        <v>87</v>
      </c>
      <c r="P5">
        <v>0</v>
      </c>
    </row>
    <row r="6" spans="1:16" x14ac:dyDescent="0.25">
      <c r="A6">
        <v>6</v>
      </c>
      <c r="B6" t="s">
        <v>29</v>
      </c>
      <c r="C6">
        <v>7</v>
      </c>
      <c r="D6" t="s">
        <v>91</v>
      </c>
      <c r="E6">
        <v>216</v>
      </c>
      <c r="F6">
        <v>50</v>
      </c>
      <c r="G6">
        <v>530</v>
      </c>
      <c r="H6">
        <v>20</v>
      </c>
      <c r="I6">
        <v>109</v>
      </c>
      <c r="J6">
        <v>28</v>
      </c>
      <c r="K6">
        <v>40</v>
      </c>
      <c r="L6">
        <v>0</v>
      </c>
      <c r="M6">
        <v>27</v>
      </c>
      <c r="N6">
        <v>30</v>
      </c>
      <c r="O6">
        <v>96</v>
      </c>
      <c r="P6">
        <v>0</v>
      </c>
    </row>
    <row r="7" spans="1:16" x14ac:dyDescent="0.25">
      <c r="A7">
        <v>6</v>
      </c>
      <c r="B7" t="s">
        <v>29</v>
      </c>
      <c r="C7">
        <v>8</v>
      </c>
      <c r="D7" t="s">
        <v>89</v>
      </c>
      <c r="E7">
        <v>3</v>
      </c>
      <c r="F7">
        <v>2</v>
      </c>
      <c r="G7">
        <v>214</v>
      </c>
      <c r="H7">
        <v>4</v>
      </c>
      <c r="I7">
        <v>484</v>
      </c>
      <c r="J7">
        <v>1</v>
      </c>
      <c r="K7">
        <v>1</v>
      </c>
      <c r="L7">
        <v>0</v>
      </c>
      <c r="M7">
        <v>0</v>
      </c>
      <c r="N7">
        <v>0</v>
      </c>
      <c r="O7">
        <v>6</v>
      </c>
      <c r="P7">
        <v>0</v>
      </c>
    </row>
    <row r="8" spans="1:16" x14ac:dyDescent="0.25">
      <c r="A8" t="s">
        <v>100</v>
      </c>
      <c r="B8" t="s">
        <v>101</v>
      </c>
      <c r="C8" t="s">
        <v>96</v>
      </c>
      <c r="D8" t="s">
        <v>102</v>
      </c>
      <c r="E8" t="s">
        <v>117</v>
      </c>
      <c r="F8" t="s">
        <v>116</v>
      </c>
      <c r="G8" t="s">
        <v>133</v>
      </c>
      <c r="H8" t="s">
        <v>114</v>
      </c>
      <c r="I8" t="s">
        <v>113</v>
      </c>
      <c r="J8" t="s">
        <v>112</v>
      </c>
      <c r="K8" t="s">
        <v>111</v>
      </c>
      <c r="L8" t="s">
        <v>110</v>
      </c>
      <c r="M8" t="s">
        <v>109</v>
      </c>
      <c r="N8" t="s">
        <v>108</v>
      </c>
      <c r="O8" t="s">
        <v>107</v>
      </c>
      <c r="P8" t="s">
        <v>106</v>
      </c>
    </row>
    <row r="9" spans="1:16" x14ac:dyDescent="0.25">
      <c r="A9">
        <v>7</v>
      </c>
      <c r="B9" t="s">
        <v>30</v>
      </c>
      <c r="C9">
        <v>3</v>
      </c>
      <c r="D9" t="s">
        <v>86</v>
      </c>
      <c r="E9">
        <v>82</v>
      </c>
      <c r="F9">
        <v>97</v>
      </c>
      <c r="G9">
        <v>117</v>
      </c>
      <c r="H9">
        <v>12</v>
      </c>
      <c r="I9">
        <v>249</v>
      </c>
      <c r="J9">
        <v>13</v>
      </c>
      <c r="K9">
        <v>36</v>
      </c>
      <c r="L9">
        <v>0</v>
      </c>
      <c r="M9">
        <v>16</v>
      </c>
      <c r="N9">
        <v>4</v>
      </c>
      <c r="O9">
        <v>128</v>
      </c>
      <c r="P9">
        <v>0</v>
      </c>
    </row>
    <row r="10" spans="1:16" x14ac:dyDescent="0.25">
      <c r="A10">
        <v>7</v>
      </c>
      <c r="B10" t="s">
        <v>30</v>
      </c>
      <c r="C10">
        <v>4</v>
      </c>
      <c r="D10" t="s">
        <v>87</v>
      </c>
      <c r="E10">
        <v>0</v>
      </c>
      <c r="F10">
        <v>0</v>
      </c>
      <c r="G10">
        <v>11</v>
      </c>
      <c r="H10">
        <v>1</v>
      </c>
      <c r="I10">
        <v>27</v>
      </c>
      <c r="J10">
        <v>0</v>
      </c>
      <c r="K10">
        <v>0</v>
      </c>
      <c r="L10">
        <v>0</v>
      </c>
      <c r="M10">
        <v>3</v>
      </c>
      <c r="N10">
        <v>1</v>
      </c>
      <c r="O10">
        <v>0</v>
      </c>
      <c r="P10">
        <v>0</v>
      </c>
    </row>
    <row r="11" spans="1:16" x14ac:dyDescent="0.25">
      <c r="A11">
        <v>7</v>
      </c>
      <c r="B11" t="s">
        <v>30</v>
      </c>
      <c r="C11">
        <v>6</v>
      </c>
      <c r="D11" t="s">
        <v>88</v>
      </c>
      <c r="E11">
        <v>46</v>
      </c>
      <c r="F11">
        <v>40</v>
      </c>
      <c r="G11">
        <v>23</v>
      </c>
      <c r="H11">
        <v>16</v>
      </c>
      <c r="I11">
        <v>78</v>
      </c>
      <c r="J11">
        <v>10</v>
      </c>
      <c r="K11">
        <v>15</v>
      </c>
      <c r="L11">
        <v>0</v>
      </c>
      <c r="M11">
        <v>0</v>
      </c>
      <c r="N11">
        <v>0</v>
      </c>
      <c r="O11">
        <v>65</v>
      </c>
      <c r="P11">
        <v>0</v>
      </c>
    </row>
    <row r="12" spans="1:16" x14ac:dyDescent="0.25">
      <c r="A12">
        <v>7</v>
      </c>
      <c r="B12" t="s">
        <v>30</v>
      </c>
      <c r="C12">
        <v>7</v>
      </c>
      <c r="D12" t="s">
        <v>91</v>
      </c>
      <c r="E12">
        <v>210</v>
      </c>
      <c r="F12">
        <v>48</v>
      </c>
      <c r="G12">
        <v>644</v>
      </c>
      <c r="H12">
        <v>27</v>
      </c>
      <c r="I12">
        <v>108</v>
      </c>
      <c r="J12">
        <v>9</v>
      </c>
      <c r="K12">
        <v>37</v>
      </c>
      <c r="L12">
        <v>0</v>
      </c>
      <c r="M12">
        <v>25</v>
      </c>
      <c r="N12">
        <v>38</v>
      </c>
      <c r="O12">
        <v>80</v>
      </c>
      <c r="P12">
        <v>0</v>
      </c>
    </row>
    <row r="13" spans="1:16" x14ac:dyDescent="0.25">
      <c r="A13">
        <v>7</v>
      </c>
      <c r="B13" t="s">
        <v>30</v>
      </c>
      <c r="C13">
        <v>8</v>
      </c>
      <c r="D13" t="s">
        <v>89</v>
      </c>
      <c r="E13">
        <v>6</v>
      </c>
      <c r="F13">
        <v>0</v>
      </c>
      <c r="G13">
        <v>186</v>
      </c>
      <c r="H13">
        <v>6</v>
      </c>
      <c r="I13">
        <v>467</v>
      </c>
      <c r="J13">
        <v>0</v>
      </c>
      <c r="K13">
        <v>2</v>
      </c>
      <c r="L13">
        <v>0</v>
      </c>
      <c r="M13">
        <v>0</v>
      </c>
      <c r="N13">
        <v>0</v>
      </c>
      <c r="O13">
        <v>6</v>
      </c>
      <c r="P13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opLeftCell="C1" workbookViewId="0">
      <selection activeCell="E41" sqref="E41"/>
    </sheetView>
  </sheetViews>
  <sheetFormatPr defaultRowHeight="15" x14ac:dyDescent="0.25"/>
  <sheetData>
    <row r="1" spans="1:19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9" x14ac:dyDescent="0.25">
      <c r="A2">
        <v>8</v>
      </c>
      <c r="B2" t="s">
        <v>31</v>
      </c>
      <c r="C2">
        <v>3</v>
      </c>
      <c r="D2" t="s">
        <v>86</v>
      </c>
      <c r="E2">
        <v>132</v>
      </c>
      <c r="F2">
        <v>157</v>
      </c>
      <c r="G2">
        <v>147</v>
      </c>
      <c r="H2">
        <v>19</v>
      </c>
      <c r="I2">
        <v>290</v>
      </c>
      <c r="J2">
        <v>15</v>
      </c>
      <c r="K2">
        <v>49</v>
      </c>
      <c r="L2">
        <v>0</v>
      </c>
      <c r="M2">
        <v>7</v>
      </c>
      <c r="N2">
        <v>6</v>
      </c>
      <c r="O2">
        <v>214</v>
      </c>
      <c r="P2">
        <v>0</v>
      </c>
      <c r="Q2">
        <f>SUM(E2:P2)</f>
        <v>1036</v>
      </c>
    </row>
    <row r="3" spans="1:19" x14ac:dyDescent="0.25">
      <c r="A3">
        <v>8</v>
      </c>
      <c r="B3" t="s">
        <v>31</v>
      </c>
      <c r="C3">
        <v>4</v>
      </c>
      <c r="D3" t="s">
        <v>87</v>
      </c>
      <c r="E3">
        <v>0</v>
      </c>
      <c r="F3">
        <v>0</v>
      </c>
      <c r="G3">
        <v>12</v>
      </c>
      <c r="H3">
        <v>1</v>
      </c>
      <c r="I3">
        <v>37</v>
      </c>
      <c r="J3">
        <v>0</v>
      </c>
      <c r="K3">
        <v>0</v>
      </c>
      <c r="L3">
        <v>0</v>
      </c>
      <c r="M3">
        <v>2</v>
      </c>
      <c r="N3">
        <v>2</v>
      </c>
      <c r="O3">
        <v>0</v>
      </c>
      <c r="P3">
        <v>0</v>
      </c>
      <c r="Q3">
        <f>SUM(E3:P3)</f>
        <v>54</v>
      </c>
    </row>
    <row r="4" spans="1:19" x14ac:dyDescent="0.25">
      <c r="A4">
        <v>8</v>
      </c>
      <c r="B4" t="s">
        <v>31</v>
      </c>
      <c r="C4">
        <v>6</v>
      </c>
      <c r="D4" t="s">
        <v>88</v>
      </c>
      <c r="E4">
        <v>53</v>
      </c>
      <c r="F4">
        <v>37</v>
      </c>
      <c r="G4">
        <v>22</v>
      </c>
      <c r="H4">
        <v>26</v>
      </c>
      <c r="I4">
        <v>92</v>
      </c>
      <c r="J4">
        <v>7</v>
      </c>
      <c r="K4">
        <v>21</v>
      </c>
      <c r="L4">
        <v>0</v>
      </c>
      <c r="M4">
        <v>0</v>
      </c>
      <c r="N4">
        <v>0</v>
      </c>
      <c r="O4">
        <v>73</v>
      </c>
      <c r="P4">
        <v>0</v>
      </c>
      <c r="Q4">
        <f>SUM(E4:P4)</f>
        <v>331</v>
      </c>
    </row>
    <row r="5" spans="1:19" x14ac:dyDescent="0.25">
      <c r="A5">
        <v>8</v>
      </c>
      <c r="B5" t="s">
        <v>31</v>
      </c>
      <c r="C5">
        <v>7</v>
      </c>
      <c r="D5" t="s">
        <v>91</v>
      </c>
      <c r="E5">
        <v>289</v>
      </c>
      <c r="F5">
        <v>52</v>
      </c>
      <c r="G5">
        <v>819</v>
      </c>
      <c r="H5">
        <v>23</v>
      </c>
      <c r="I5">
        <v>130</v>
      </c>
      <c r="J5">
        <v>26</v>
      </c>
      <c r="K5">
        <v>38</v>
      </c>
      <c r="L5">
        <v>0</v>
      </c>
      <c r="M5">
        <v>33</v>
      </c>
      <c r="N5">
        <v>32</v>
      </c>
      <c r="O5">
        <v>97</v>
      </c>
      <c r="P5">
        <v>0</v>
      </c>
      <c r="Q5">
        <f>SUM(E5:P5)</f>
        <v>1539</v>
      </c>
    </row>
    <row r="6" spans="1:19" x14ac:dyDescent="0.25">
      <c r="A6">
        <v>8</v>
      </c>
      <c r="B6" t="s">
        <v>31</v>
      </c>
      <c r="C6">
        <v>8</v>
      </c>
      <c r="D6" t="s">
        <v>89</v>
      </c>
      <c r="E6">
        <v>7</v>
      </c>
      <c r="F6">
        <v>5</v>
      </c>
      <c r="G6">
        <v>325</v>
      </c>
      <c r="H6">
        <v>5</v>
      </c>
      <c r="I6">
        <v>698</v>
      </c>
      <c r="J6">
        <v>1</v>
      </c>
      <c r="K6">
        <v>3</v>
      </c>
      <c r="L6">
        <v>0</v>
      </c>
      <c r="M6">
        <v>0</v>
      </c>
      <c r="N6">
        <v>0</v>
      </c>
      <c r="O6">
        <v>19</v>
      </c>
      <c r="P6">
        <v>0</v>
      </c>
      <c r="Q6">
        <f>SUM(E6:P6)</f>
        <v>1063</v>
      </c>
    </row>
    <row r="7" spans="1:19" x14ac:dyDescent="0.25">
      <c r="A7" t="s">
        <v>100</v>
      </c>
      <c r="B7" t="s">
        <v>101</v>
      </c>
      <c r="C7" t="s">
        <v>96</v>
      </c>
      <c r="D7" t="s">
        <v>102</v>
      </c>
      <c r="E7" t="s">
        <v>117</v>
      </c>
      <c r="F7" t="s">
        <v>116</v>
      </c>
      <c r="G7" t="s">
        <v>133</v>
      </c>
      <c r="H7" t="s">
        <v>114</v>
      </c>
      <c r="I7" t="s">
        <v>113</v>
      </c>
      <c r="J7" t="s">
        <v>112</v>
      </c>
      <c r="K7" t="s">
        <v>111</v>
      </c>
      <c r="L7" t="s">
        <v>110</v>
      </c>
      <c r="M7" t="s">
        <v>109</v>
      </c>
      <c r="N7" t="s">
        <v>108</v>
      </c>
      <c r="O7" t="s">
        <v>107</v>
      </c>
      <c r="P7" t="s">
        <v>106</v>
      </c>
      <c r="Q7">
        <f>SUM(Q2:Q6)</f>
        <v>4023</v>
      </c>
      <c r="R7">
        <v>31316</v>
      </c>
      <c r="S7" s="6">
        <f>Q7/R7</f>
        <v>0.12846468259036914</v>
      </c>
    </row>
    <row r="8" spans="1:19" x14ac:dyDescent="0.25">
      <c r="A8">
        <v>9</v>
      </c>
      <c r="B8" t="s">
        <v>32</v>
      </c>
      <c r="C8">
        <v>2</v>
      </c>
      <c r="D8" t="s">
        <v>85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f t="shared" ref="Q8:Q13" si="0">SUM(E8:P8)</f>
        <v>4</v>
      </c>
    </row>
    <row r="9" spans="1:19" x14ac:dyDescent="0.25">
      <c r="A9">
        <v>9</v>
      </c>
      <c r="B9" t="s">
        <v>32</v>
      </c>
      <c r="C9">
        <v>3</v>
      </c>
      <c r="D9" t="s">
        <v>86</v>
      </c>
      <c r="E9">
        <v>71</v>
      </c>
      <c r="F9">
        <v>95</v>
      </c>
      <c r="G9">
        <v>119</v>
      </c>
      <c r="H9">
        <v>23</v>
      </c>
      <c r="I9">
        <v>230</v>
      </c>
      <c r="J9">
        <v>15</v>
      </c>
      <c r="K9">
        <v>41</v>
      </c>
      <c r="L9">
        <v>0</v>
      </c>
      <c r="M9">
        <v>4</v>
      </c>
      <c r="N9">
        <v>3</v>
      </c>
      <c r="O9">
        <v>131</v>
      </c>
      <c r="P9">
        <v>0</v>
      </c>
      <c r="Q9">
        <f t="shared" si="0"/>
        <v>732</v>
      </c>
    </row>
    <row r="10" spans="1:19" x14ac:dyDescent="0.25">
      <c r="A10">
        <v>9</v>
      </c>
      <c r="B10" t="s">
        <v>32</v>
      </c>
      <c r="C10">
        <v>4</v>
      </c>
      <c r="D10" t="s">
        <v>87</v>
      </c>
      <c r="E10">
        <v>1</v>
      </c>
      <c r="F10">
        <v>0</v>
      </c>
      <c r="G10">
        <v>18</v>
      </c>
      <c r="H10">
        <v>1</v>
      </c>
      <c r="I10">
        <v>40</v>
      </c>
      <c r="J10">
        <v>0</v>
      </c>
      <c r="K10">
        <v>0</v>
      </c>
      <c r="L10">
        <v>0</v>
      </c>
      <c r="M10">
        <v>4</v>
      </c>
      <c r="N10">
        <v>3</v>
      </c>
      <c r="O10">
        <v>1</v>
      </c>
      <c r="P10">
        <v>0</v>
      </c>
      <c r="Q10">
        <f t="shared" si="0"/>
        <v>68</v>
      </c>
    </row>
    <row r="11" spans="1:19" x14ac:dyDescent="0.25">
      <c r="A11">
        <v>9</v>
      </c>
      <c r="B11" t="s">
        <v>32</v>
      </c>
      <c r="C11">
        <v>6</v>
      </c>
      <c r="D11" t="s">
        <v>88</v>
      </c>
      <c r="E11">
        <v>54</v>
      </c>
      <c r="F11">
        <v>44</v>
      </c>
      <c r="G11">
        <v>24</v>
      </c>
      <c r="H11">
        <v>22</v>
      </c>
      <c r="I11">
        <v>96</v>
      </c>
      <c r="J11">
        <v>4</v>
      </c>
      <c r="K11">
        <v>15</v>
      </c>
      <c r="L11">
        <v>0</v>
      </c>
      <c r="M11">
        <v>0</v>
      </c>
      <c r="N11">
        <v>0</v>
      </c>
      <c r="O11">
        <v>73</v>
      </c>
      <c r="P11">
        <v>0</v>
      </c>
      <c r="Q11">
        <f t="shared" si="0"/>
        <v>332</v>
      </c>
    </row>
    <row r="12" spans="1:19" x14ac:dyDescent="0.25">
      <c r="A12">
        <v>9</v>
      </c>
      <c r="B12" t="s">
        <v>32</v>
      </c>
      <c r="C12">
        <v>7</v>
      </c>
      <c r="D12" t="s">
        <v>91</v>
      </c>
      <c r="E12">
        <v>277</v>
      </c>
      <c r="F12">
        <v>43</v>
      </c>
      <c r="G12">
        <v>614</v>
      </c>
      <c r="H12">
        <v>26</v>
      </c>
      <c r="I12">
        <v>110</v>
      </c>
      <c r="J12">
        <v>25</v>
      </c>
      <c r="K12">
        <v>44</v>
      </c>
      <c r="L12">
        <v>0</v>
      </c>
      <c r="M12">
        <v>17</v>
      </c>
      <c r="N12">
        <v>18</v>
      </c>
      <c r="O12">
        <v>94</v>
      </c>
      <c r="P12">
        <v>0</v>
      </c>
      <c r="Q12">
        <f t="shared" si="0"/>
        <v>1268</v>
      </c>
    </row>
    <row r="13" spans="1:19" x14ac:dyDescent="0.25">
      <c r="A13">
        <v>9</v>
      </c>
      <c r="B13" t="s">
        <v>32</v>
      </c>
      <c r="C13">
        <v>8</v>
      </c>
      <c r="D13" t="s">
        <v>89</v>
      </c>
      <c r="E13">
        <v>9</v>
      </c>
      <c r="F13">
        <v>3</v>
      </c>
      <c r="G13">
        <v>239</v>
      </c>
      <c r="H13">
        <v>6</v>
      </c>
      <c r="I13">
        <v>575</v>
      </c>
      <c r="J13">
        <v>3</v>
      </c>
      <c r="K13">
        <v>1</v>
      </c>
      <c r="L13">
        <v>0</v>
      </c>
      <c r="M13">
        <v>0</v>
      </c>
      <c r="N13">
        <v>0</v>
      </c>
      <c r="O13">
        <v>8</v>
      </c>
      <c r="P13">
        <v>0</v>
      </c>
      <c r="Q13">
        <f t="shared" si="0"/>
        <v>844</v>
      </c>
    </row>
    <row r="14" spans="1:19" x14ac:dyDescent="0.25">
      <c r="Q14">
        <f>SUM(Q8:Q13)</f>
        <v>3248</v>
      </c>
      <c r="R14">
        <v>25868</v>
      </c>
      <c r="S14" s="6">
        <f>Q14/R14</f>
        <v>0.12556053811659193</v>
      </c>
    </row>
    <row r="39" spans="4:8" x14ac:dyDescent="0.25">
      <c r="E39" s="4" t="s">
        <v>134</v>
      </c>
      <c r="F39" t="str">
        <f t="shared" ref="F39:F44" si="1">I1</f>
        <v>Pashta</v>
      </c>
      <c r="G39" s="4" t="s">
        <v>135</v>
      </c>
      <c r="H39" t="s">
        <v>113</v>
      </c>
    </row>
    <row r="40" spans="4:8" x14ac:dyDescent="0.25">
      <c r="D40" t="str">
        <f>D9</f>
        <v>E4</v>
      </c>
      <c r="E40">
        <f>G2</f>
        <v>147</v>
      </c>
      <c r="F40">
        <f t="shared" si="1"/>
        <v>290</v>
      </c>
      <c r="G40">
        <f>G9</f>
        <v>119</v>
      </c>
      <c r="H40">
        <f>I9</f>
        <v>230</v>
      </c>
    </row>
    <row r="41" spans="4:8" x14ac:dyDescent="0.25">
      <c r="D41" t="str">
        <f>D10</f>
        <v>F4</v>
      </c>
      <c r="E41">
        <f>G3</f>
        <v>12</v>
      </c>
      <c r="F41">
        <f t="shared" si="1"/>
        <v>37</v>
      </c>
      <c r="G41">
        <f>G10</f>
        <v>18</v>
      </c>
      <c r="H41">
        <f>I10</f>
        <v>40</v>
      </c>
    </row>
    <row r="42" spans="4:8" x14ac:dyDescent="0.25">
      <c r="D42" t="str">
        <f>D11</f>
        <v>A4</v>
      </c>
      <c r="E42">
        <f>G4</f>
        <v>22</v>
      </c>
      <c r="F42">
        <f t="shared" si="1"/>
        <v>92</v>
      </c>
      <c r="G42">
        <f>G11</f>
        <v>24</v>
      </c>
      <c r="H42">
        <f>I11</f>
        <v>96</v>
      </c>
    </row>
    <row r="43" spans="4:8" x14ac:dyDescent="0.25">
      <c r="D43" t="str">
        <f>D12</f>
        <v>B4</v>
      </c>
      <c r="E43">
        <f>G5</f>
        <v>819</v>
      </c>
      <c r="F43">
        <f t="shared" si="1"/>
        <v>130</v>
      </c>
      <c r="G43">
        <f>G12</f>
        <v>614</v>
      </c>
      <c r="H43">
        <f>I12</f>
        <v>110</v>
      </c>
    </row>
    <row r="44" spans="4:8" x14ac:dyDescent="0.25">
      <c r="D44" t="str">
        <f>D13</f>
        <v>C5</v>
      </c>
      <c r="E44">
        <f>G6</f>
        <v>325</v>
      </c>
      <c r="F44">
        <f t="shared" si="1"/>
        <v>698</v>
      </c>
      <c r="G44">
        <f>G13</f>
        <v>239</v>
      </c>
      <c r="H44">
        <f>I13</f>
        <v>575</v>
      </c>
    </row>
    <row r="45" spans="4:8" x14ac:dyDescent="0.25">
      <c r="E45">
        <f>SUM(E40:E44)</f>
        <v>1325</v>
      </c>
      <c r="F45">
        <f>SUM(F40:F44)</f>
        <v>1247</v>
      </c>
      <c r="G45">
        <f>SUM(G40:G44)</f>
        <v>1014</v>
      </c>
      <c r="H45">
        <f>SUM(H40:H44)</f>
        <v>1051</v>
      </c>
    </row>
    <row r="46" spans="4:8" x14ac:dyDescent="0.25">
      <c r="E46" s="6">
        <f>E45/$R$7</f>
        <v>4.2310639928471068E-2</v>
      </c>
      <c r="F46" s="6">
        <f>F45/$R$7</f>
        <v>3.9819900370417681E-2</v>
      </c>
      <c r="G46" s="6">
        <f>G45/$R$14</f>
        <v>3.9199010360290706E-2</v>
      </c>
      <c r="H46" s="6">
        <f>H45/$R$14</f>
        <v>4.0629349002628733E-2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W16" sqref="W16"/>
    </sheetView>
  </sheetViews>
  <sheetFormatPr defaultRowHeight="15" x14ac:dyDescent="0.25"/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10</v>
      </c>
      <c r="B2" t="s">
        <v>33</v>
      </c>
      <c r="C2">
        <v>3</v>
      </c>
      <c r="D2" t="s">
        <v>86</v>
      </c>
      <c r="E2">
        <v>111</v>
      </c>
      <c r="F2">
        <v>129</v>
      </c>
      <c r="G2">
        <v>129</v>
      </c>
      <c r="H2">
        <v>26</v>
      </c>
      <c r="I2">
        <v>286</v>
      </c>
      <c r="J2">
        <v>28</v>
      </c>
      <c r="K2">
        <v>61</v>
      </c>
      <c r="L2">
        <v>0</v>
      </c>
      <c r="M2">
        <v>16</v>
      </c>
      <c r="N2">
        <v>9</v>
      </c>
      <c r="O2">
        <v>214</v>
      </c>
      <c r="P2">
        <v>0</v>
      </c>
    </row>
    <row r="3" spans="1:16" x14ac:dyDescent="0.25">
      <c r="A3">
        <v>10</v>
      </c>
      <c r="B3" t="s">
        <v>33</v>
      </c>
      <c r="C3">
        <v>4</v>
      </c>
      <c r="D3" t="s">
        <v>87</v>
      </c>
      <c r="E3">
        <v>0</v>
      </c>
      <c r="F3">
        <v>0</v>
      </c>
      <c r="G3">
        <v>11</v>
      </c>
      <c r="H3">
        <v>0</v>
      </c>
      <c r="I3">
        <v>23</v>
      </c>
      <c r="J3">
        <v>0</v>
      </c>
      <c r="K3">
        <v>0</v>
      </c>
      <c r="L3">
        <v>0</v>
      </c>
      <c r="M3">
        <v>2</v>
      </c>
      <c r="N3">
        <v>2</v>
      </c>
      <c r="O3">
        <v>1</v>
      </c>
      <c r="P3">
        <v>0</v>
      </c>
    </row>
    <row r="4" spans="1:16" x14ac:dyDescent="0.25">
      <c r="A4">
        <v>10</v>
      </c>
      <c r="B4" t="s">
        <v>33</v>
      </c>
      <c r="C4">
        <v>6</v>
      </c>
      <c r="D4" t="s">
        <v>88</v>
      </c>
      <c r="E4">
        <v>51</v>
      </c>
      <c r="F4">
        <v>42</v>
      </c>
      <c r="G4">
        <v>25</v>
      </c>
      <c r="H4">
        <v>18</v>
      </c>
      <c r="I4">
        <v>112</v>
      </c>
      <c r="J4">
        <v>18</v>
      </c>
      <c r="K4">
        <v>15</v>
      </c>
      <c r="L4">
        <v>0</v>
      </c>
      <c r="M4">
        <v>0</v>
      </c>
      <c r="N4">
        <v>0</v>
      </c>
      <c r="O4">
        <v>75</v>
      </c>
      <c r="P4">
        <v>0</v>
      </c>
    </row>
    <row r="5" spans="1:16" x14ac:dyDescent="0.25">
      <c r="A5">
        <v>10</v>
      </c>
      <c r="B5" t="s">
        <v>33</v>
      </c>
      <c r="C5">
        <v>7</v>
      </c>
      <c r="D5" t="s">
        <v>91</v>
      </c>
      <c r="E5">
        <v>326</v>
      </c>
      <c r="F5">
        <v>56</v>
      </c>
      <c r="G5">
        <v>843</v>
      </c>
      <c r="H5">
        <v>32</v>
      </c>
      <c r="I5">
        <v>167</v>
      </c>
      <c r="J5">
        <v>29</v>
      </c>
      <c r="K5">
        <v>40</v>
      </c>
      <c r="L5">
        <v>0</v>
      </c>
      <c r="M5">
        <v>25</v>
      </c>
      <c r="N5">
        <v>31</v>
      </c>
      <c r="O5">
        <v>107</v>
      </c>
      <c r="P5">
        <v>0</v>
      </c>
    </row>
    <row r="6" spans="1:16" x14ac:dyDescent="0.25">
      <c r="A6">
        <v>10</v>
      </c>
      <c r="B6" t="s">
        <v>33</v>
      </c>
      <c r="C6">
        <v>8</v>
      </c>
      <c r="D6" t="s">
        <v>89</v>
      </c>
      <c r="E6">
        <v>4</v>
      </c>
      <c r="F6">
        <v>0</v>
      </c>
      <c r="G6">
        <v>222</v>
      </c>
      <c r="H6">
        <v>12</v>
      </c>
      <c r="I6">
        <v>636</v>
      </c>
      <c r="J6">
        <v>1</v>
      </c>
      <c r="K6">
        <v>2</v>
      </c>
      <c r="L6">
        <v>0</v>
      </c>
      <c r="M6">
        <v>0</v>
      </c>
      <c r="N6">
        <v>0</v>
      </c>
      <c r="O6">
        <v>12</v>
      </c>
      <c r="P6">
        <v>0</v>
      </c>
    </row>
    <row r="7" spans="1:16" x14ac:dyDescent="0.25">
      <c r="A7" t="s">
        <v>100</v>
      </c>
      <c r="B7" t="s">
        <v>101</v>
      </c>
      <c r="C7" t="s">
        <v>96</v>
      </c>
      <c r="D7" t="s">
        <v>102</v>
      </c>
      <c r="E7" t="s">
        <v>117</v>
      </c>
      <c r="F7" t="s">
        <v>116</v>
      </c>
      <c r="G7" t="s">
        <v>133</v>
      </c>
      <c r="H7" t="s">
        <v>114</v>
      </c>
      <c r="I7" t="s">
        <v>113</v>
      </c>
      <c r="J7" t="s">
        <v>112</v>
      </c>
      <c r="K7" t="s">
        <v>111</v>
      </c>
      <c r="L7" t="s">
        <v>110</v>
      </c>
      <c r="M7" t="s">
        <v>109</v>
      </c>
      <c r="N7" t="s">
        <v>108</v>
      </c>
      <c r="O7" t="s">
        <v>107</v>
      </c>
      <c r="P7" t="s">
        <v>106</v>
      </c>
    </row>
    <row r="8" spans="1:16" x14ac:dyDescent="0.25">
      <c r="A8">
        <v>11</v>
      </c>
      <c r="B8" t="s">
        <v>34</v>
      </c>
      <c r="C8">
        <v>2</v>
      </c>
      <c r="D8" t="s">
        <v>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</row>
    <row r="9" spans="1:16" x14ac:dyDescent="0.25">
      <c r="A9">
        <v>11</v>
      </c>
      <c r="B9" t="s">
        <v>34</v>
      </c>
      <c r="C9">
        <v>3</v>
      </c>
      <c r="D9" t="s">
        <v>86</v>
      </c>
      <c r="E9">
        <v>100</v>
      </c>
      <c r="F9">
        <v>117</v>
      </c>
      <c r="G9">
        <v>119</v>
      </c>
      <c r="H9">
        <v>27</v>
      </c>
      <c r="I9">
        <v>278</v>
      </c>
      <c r="J9">
        <v>25</v>
      </c>
      <c r="K9">
        <v>58</v>
      </c>
      <c r="L9">
        <v>0</v>
      </c>
      <c r="M9">
        <v>15</v>
      </c>
      <c r="N9">
        <v>5</v>
      </c>
      <c r="O9">
        <v>173</v>
      </c>
      <c r="P9">
        <v>0</v>
      </c>
    </row>
    <row r="10" spans="1:16" x14ac:dyDescent="0.25">
      <c r="A10">
        <v>11</v>
      </c>
      <c r="B10" t="s">
        <v>34</v>
      </c>
      <c r="C10">
        <v>4</v>
      </c>
      <c r="D10" t="s">
        <v>87</v>
      </c>
      <c r="E10">
        <v>0</v>
      </c>
      <c r="F10">
        <v>0</v>
      </c>
      <c r="G10">
        <v>7</v>
      </c>
      <c r="H10">
        <v>1</v>
      </c>
      <c r="I10">
        <v>26</v>
      </c>
      <c r="J10">
        <v>0</v>
      </c>
      <c r="K10">
        <v>0</v>
      </c>
      <c r="L10">
        <v>0</v>
      </c>
      <c r="M10">
        <v>2</v>
      </c>
      <c r="N10">
        <v>1</v>
      </c>
      <c r="O10">
        <v>0</v>
      </c>
      <c r="P10">
        <v>0</v>
      </c>
    </row>
    <row r="11" spans="1:16" x14ac:dyDescent="0.25">
      <c r="A11">
        <v>11</v>
      </c>
      <c r="B11" t="s">
        <v>34</v>
      </c>
      <c r="C11">
        <v>6</v>
      </c>
      <c r="D11" t="s">
        <v>88</v>
      </c>
      <c r="E11">
        <v>53</v>
      </c>
      <c r="F11">
        <v>47</v>
      </c>
      <c r="G11">
        <v>31</v>
      </c>
      <c r="H11">
        <v>16</v>
      </c>
      <c r="I11">
        <v>80</v>
      </c>
      <c r="J11">
        <v>18</v>
      </c>
      <c r="K11">
        <v>14</v>
      </c>
      <c r="L11">
        <v>0</v>
      </c>
      <c r="M11">
        <v>0</v>
      </c>
      <c r="N11">
        <v>0</v>
      </c>
      <c r="O11">
        <v>77</v>
      </c>
      <c r="P11">
        <v>0</v>
      </c>
    </row>
    <row r="12" spans="1:16" x14ac:dyDescent="0.25">
      <c r="A12">
        <v>11</v>
      </c>
      <c r="B12" t="s">
        <v>34</v>
      </c>
      <c r="C12">
        <v>7</v>
      </c>
      <c r="D12" t="s">
        <v>91</v>
      </c>
      <c r="E12">
        <v>318</v>
      </c>
      <c r="F12">
        <v>70</v>
      </c>
      <c r="G12">
        <v>743</v>
      </c>
      <c r="H12">
        <v>22</v>
      </c>
      <c r="I12">
        <v>133</v>
      </c>
      <c r="J12">
        <v>32</v>
      </c>
      <c r="K12">
        <v>41</v>
      </c>
      <c r="L12">
        <v>0</v>
      </c>
      <c r="M12">
        <v>37</v>
      </c>
      <c r="N12">
        <v>41</v>
      </c>
      <c r="O12">
        <v>111</v>
      </c>
      <c r="P12">
        <v>0</v>
      </c>
    </row>
    <row r="13" spans="1:16" x14ac:dyDescent="0.25">
      <c r="A13">
        <v>11</v>
      </c>
      <c r="B13" t="s">
        <v>34</v>
      </c>
      <c r="C13">
        <v>8</v>
      </c>
      <c r="D13" t="s">
        <v>89</v>
      </c>
      <c r="E13">
        <v>4</v>
      </c>
      <c r="F13">
        <v>2</v>
      </c>
      <c r="G13">
        <v>200</v>
      </c>
      <c r="H13">
        <v>7</v>
      </c>
      <c r="I13">
        <v>570</v>
      </c>
      <c r="J13">
        <v>1</v>
      </c>
      <c r="K13">
        <v>0</v>
      </c>
      <c r="L13">
        <v>0</v>
      </c>
      <c r="M13">
        <v>0</v>
      </c>
      <c r="N13">
        <v>0</v>
      </c>
      <c r="O13">
        <v>9</v>
      </c>
      <c r="P1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activeCell="C1" sqref="C1:P6"/>
    </sheetView>
  </sheetViews>
  <sheetFormatPr defaultRowHeight="15" x14ac:dyDescent="0.25"/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12</v>
      </c>
      <c r="B2" t="s">
        <v>35</v>
      </c>
      <c r="C2">
        <v>3</v>
      </c>
      <c r="D2" t="s">
        <v>86</v>
      </c>
      <c r="E2">
        <v>98</v>
      </c>
      <c r="F2">
        <v>76</v>
      </c>
      <c r="G2">
        <v>204</v>
      </c>
      <c r="H2">
        <v>22</v>
      </c>
      <c r="I2">
        <v>374</v>
      </c>
      <c r="J2">
        <v>15</v>
      </c>
      <c r="K2">
        <v>23</v>
      </c>
      <c r="L2">
        <v>0</v>
      </c>
      <c r="M2">
        <v>7</v>
      </c>
      <c r="N2">
        <v>3</v>
      </c>
      <c r="O2">
        <v>140</v>
      </c>
      <c r="P2">
        <v>1</v>
      </c>
    </row>
    <row r="3" spans="1:16" x14ac:dyDescent="0.25">
      <c r="A3">
        <v>12</v>
      </c>
      <c r="B3" t="s">
        <v>35</v>
      </c>
      <c r="C3">
        <v>4</v>
      </c>
      <c r="D3" t="s">
        <v>87</v>
      </c>
      <c r="E3">
        <v>0</v>
      </c>
      <c r="F3">
        <v>0</v>
      </c>
      <c r="G3">
        <v>27</v>
      </c>
      <c r="H3">
        <v>0</v>
      </c>
      <c r="I3">
        <v>54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12</v>
      </c>
      <c r="B4" t="s">
        <v>35</v>
      </c>
      <c r="C4">
        <v>6</v>
      </c>
      <c r="D4" t="s">
        <v>88</v>
      </c>
      <c r="E4">
        <v>42</v>
      </c>
      <c r="F4">
        <v>28</v>
      </c>
      <c r="G4">
        <v>42</v>
      </c>
      <c r="H4">
        <v>22</v>
      </c>
      <c r="I4">
        <v>214</v>
      </c>
      <c r="J4">
        <v>7</v>
      </c>
      <c r="K4">
        <v>10</v>
      </c>
      <c r="L4">
        <v>0</v>
      </c>
      <c r="M4">
        <v>0</v>
      </c>
      <c r="N4">
        <v>0</v>
      </c>
      <c r="O4">
        <v>62</v>
      </c>
      <c r="P4">
        <v>0</v>
      </c>
    </row>
    <row r="5" spans="1:16" x14ac:dyDescent="0.25">
      <c r="A5">
        <v>12</v>
      </c>
      <c r="B5" t="s">
        <v>35</v>
      </c>
      <c r="C5">
        <v>7</v>
      </c>
      <c r="D5" t="s">
        <v>91</v>
      </c>
      <c r="E5">
        <v>257</v>
      </c>
      <c r="F5">
        <v>34</v>
      </c>
      <c r="G5">
        <v>1058</v>
      </c>
      <c r="H5">
        <v>13</v>
      </c>
      <c r="I5">
        <v>140</v>
      </c>
      <c r="J5">
        <v>15</v>
      </c>
      <c r="K5">
        <v>22</v>
      </c>
      <c r="L5">
        <v>0</v>
      </c>
      <c r="M5">
        <v>22</v>
      </c>
      <c r="N5">
        <v>22</v>
      </c>
      <c r="O5">
        <v>67</v>
      </c>
      <c r="P5">
        <v>0</v>
      </c>
    </row>
    <row r="6" spans="1:16" x14ac:dyDescent="0.25">
      <c r="A6">
        <v>12</v>
      </c>
      <c r="B6" t="s">
        <v>35</v>
      </c>
      <c r="C6">
        <v>8</v>
      </c>
      <c r="D6" t="s">
        <v>89</v>
      </c>
      <c r="E6">
        <v>1</v>
      </c>
      <c r="F6">
        <v>0</v>
      </c>
      <c r="G6">
        <v>443</v>
      </c>
      <c r="H6">
        <v>5</v>
      </c>
      <c r="I6">
        <v>979</v>
      </c>
      <c r="J6">
        <v>0</v>
      </c>
      <c r="K6">
        <v>1</v>
      </c>
      <c r="L6">
        <v>0</v>
      </c>
      <c r="M6">
        <v>0</v>
      </c>
      <c r="N6">
        <v>0</v>
      </c>
      <c r="O6">
        <v>6</v>
      </c>
      <c r="P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A8" sqref="A8:P13"/>
    </sheetView>
  </sheetViews>
  <sheetFormatPr defaultRowHeight="15" x14ac:dyDescent="0.25"/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115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13</v>
      </c>
      <c r="B2" t="s">
        <v>36</v>
      </c>
      <c r="C2">
        <v>2</v>
      </c>
      <c r="D2" t="s">
        <v>85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1</v>
      </c>
      <c r="P2">
        <v>0</v>
      </c>
    </row>
    <row r="3" spans="1:16" x14ac:dyDescent="0.25">
      <c r="A3">
        <v>13</v>
      </c>
      <c r="B3" t="s">
        <v>36</v>
      </c>
      <c r="C3">
        <v>3</v>
      </c>
      <c r="D3" t="s">
        <v>86</v>
      </c>
      <c r="E3">
        <v>193</v>
      </c>
      <c r="F3">
        <v>190</v>
      </c>
      <c r="G3">
        <v>251</v>
      </c>
      <c r="H3">
        <v>33</v>
      </c>
      <c r="I3">
        <v>498</v>
      </c>
      <c r="J3">
        <v>38</v>
      </c>
      <c r="K3">
        <v>89</v>
      </c>
      <c r="L3">
        <v>0</v>
      </c>
      <c r="M3">
        <v>18</v>
      </c>
      <c r="N3">
        <v>8</v>
      </c>
      <c r="O3">
        <v>278</v>
      </c>
      <c r="P3">
        <v>0</v>
      </c>
    </row>
    <row r="4" spans="1:16" x14ac:dyDescent="0.25">
      <c r="A4">
        <v>13</v>
      </c>
      <c r="B4" t="s">
        <v>36</v>
      </c>
      <c r="C4">
        <v>4</v>
      </c>
      <c r="D4" t="s">
        <v>87</v>
      </c>
      <c r="E4">
        <v>2</v>
      </c>
      <c r="F4">
        <v>0</v>
      </c>
      <c r="G4">
        <v>28</v>
      </c>
      <c r="H4">
        <v>1</v>
      </c>
      <c r="I4">
        <v>57</v>
      </c>
      <c r="J4">
        <v>0</v>
      </c>
      <c r="K4">
        <v>0</v>
      </c>
      <c r="L4">
        <v>0</v>
      </c>
      <c r="M4">
        <v>3</v>
      </c>
      <c r="N4">
        <v>1</v>
      </c>
      <c r="O4">
        <v>0</v>
      </c>
      <c r="P4">
        <v>0</v>
      </c>
    </row>
    <row r="5" spans="1:16" x14ac:dyDescent="0.25">
      <c r="A5">
        <v>13</v>
      </c>
      <c r="B5" t="s">
        <v>36</v>
      </c>
      <c r="C5">
        <v>6</v>
      </c>
      <c r="D5" t="s">
        <v>88</v>
      </c>
      <c r="E5">
        <v>71</v>
      </c>
      <c r="F5">
        <v>68</v>
      </c>
      <c r="G5">
        <v>43</v>
      </c>
      <c r="H5">
        <v>30</v>
      </c>
      <c r="I5">
        <v>175</v>
      </c>
      <c r="J5">
        <v>10</v>
      </c>
      <c r="K5">
        <v>34</v>
      </c>
      <c r="L5">
        <v>0</v>
      </c>
      <c r="M5">
        <v>0</v>
      </c>
      <c r="N5">
        <v>0</v>
      </c>
      <c r="O5">
        <v>117</v>
      </c>
      <c r="P5">
        <v>0</v>
      </c>
    </row>
    <row r="6" spans="1:16" x14ac:dyDescent="0.25">
      <c r="A6">
        <v>13</v>
      </c>
      <c r="B6" t="s">
        <v>36</v>
      </c>
      <c r="C6">
        <v>7</v>
      </c>
      <c r="D6" t="s">
        <v>91</v>
      </c>
      <c r="E6">
        <v>465</v>
      </c>
      <c r="F6">
        <v>108</v>
      </c>
      <c r="G6">
        <v>1288</v>
      </c>
      <c r="H6">
        <v>33</v>
      </c>
      <c r="I6">
        <v>213</v>
      </c>
      <c r="J6">
        <v>46</v>
      </c>
      <c r="K6">
        <v>53</v>
      </c>
      <c r="L6">
        <v>0</v>
      </c>
      <c r="M6">
        <v>44</v>
      </c>
      <c r="N6">
        <v>54</v>
      </c>
      <c r="O6">
        <v>175</v>
      </c>
      <c r="P6">
        <v>0</v>
      </c>
    </row>
    <row r="7" spans="1:16" x14ac:dyDescent="0.25">
      <c r="A7">
        <v>13</v>
      </c>
      <c r="B7" t="s">
        <v>36</v>
      </c>
      <c r="C7">
        <v>8</v>
      </c>
      <c r="D7" t="s">
        <v>89</v>
      </c>
      <c r="E7">
        <v>7</v>
      </c>
      <c r="F7">
        <v>1</v>
      </c>
      <c r="G7">
        <v>441</v>
      </c>
      <c r="H7">
        <v>7</v>
      </c>
      <c r="I7">
        <v>1042</v>
      </c>
      <c r="J7">
        <v>3</v>
      </c>
      <c r="K7">
        <v>2</v>
      </c>
      <c r="L7">
        <v>0</v>
      </c>
      <c r="M7">
        <v>0</v>
      </c>
      <c r="N7">
        <v>0</v>
      </c>
      <c r="O7">
        <v>18</v>
      </c>
      <c r="P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workbookViewId="0">
      <selection activeCell="G8" sqref="G8"/>
    </sheetView>
  </sheetViews>
  <sheetFormatPr defaultRowHeight="15" x14ac:dyDescent="0.25"/>
  <cols>
    <col min="20" max="20" width="14" bestFit="1" customWidth="1"/>
  </cols>
  <sheetData>
    <row r="1" spans="1:22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122</v>
      </c>
      <c r="P1" t="s">
        <v>107</v>
      </c>
      <c r="Q1" t="s">
        <v>123</v>
      </c>
      <c r="R1" t="s">
        <v>106</v>
      </c>
      <c r="T1" t="s">
        <v>11</v>
      </c>
    </row>
    <row r="2" spans="1:22" x14ac:dyDescent="0.25">
      <c r="A2">
        <v>14</v>
      </c>
      <c r="B2" t="s">
        <v>37</v>
      </c>
      <c r="C2">
        <v>2</v>
      </c>
      <c r="D2" t="s">
        <v>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f t="shared" ref="S2:S7" si="0">SUM(E2:R2)</f>
        <v>1</v>
      </c>
      <c r="T2" t="s">
        <v>72</v>
      </c>
      <c r="U2">
        <v>1</v>
      </c>
      <c r="V2" t="b">
        <f>U2=L8</f>
        <v>1</v>
      </c>
    </row>
    <row r="3" spans="1:22" x14ac:dyDescent="0.25">
      <c r="A3">
        <v>14</v>
      </c>
      <c r="B3" t="s">
        <v>37</v>
      </c>
      <c r="C3">
        <v>3</v>
      </c>
      <c r="D3" t="s">
        <v>86</v>
      </c>
      <c r="E3">
        <v>188</v>
      </c>
      <c r="F3">
        <v>152</v>
      </c>
      <c r="G3">
        <v>183</v>
      </c>
      <c r="H3">
        <v>49</v>
      </c>
      <c r="I3">
        <v>407</v>
      </c>
      <c r="J3">
        <v>22</v>
      </c>
      <c r="K3">
        <v>55</v>
      </c>
      <c r="L3">
        <v>0</v>
      </c>
      <c r="M3">
        <v>25</v>
      </c>
      <c r="N3">
        <v>6</v>
      </c>
      <c r="O3">
        <v>65</v>
      </c>
      <c r="P3">
        <v>231</v>
      </c>
      <c r="Q3">
        <v>25</v>
      </c>
      <c r="R3">
        <v>0</v>
      </c>
      <c r="S3">
        <f t="shared" si="0"/>
        <v>1408</v>
      </c>
      <c r="T3" t="s">
        <v>5</v>
      </c>
      <c r="U3">
        <v>63</v>
      </c>
      <c r="V3" t="b">
        <f>U3=Q8</f>
        <v>1</v>
      </c>
    </row>
    <row r="4" spans="1:22" x14ac:dyDescent="0.25">
      <c r="A4">
        <v>14</v>
      </c>
      <c r="B4" t="s">
        <v>37</v>
      </c>
      <c r="C4">
        <v>4</v>
      </c>
      <c r="D4" t="s">
        <v>87</v>
      </c>
      <c r="E4">
        <v>1</v>
      </c>
      <c r="F4">
        <v>0</v>
      </c>
      <c r="G4">
        <v>16</v>
      </c>
      <c r="H4">
        <v>0</v>
      </c>
      <c r="I4">
        <v>46</v>
      </c>
      <c r="J4">
        <v>0</v>
      </c>
      <c r="K4">
        <v>0</v>
      </c>
      <c r="L4">
        <v>0</v>
      </c>
      <c r="M4">
        <v>2</v>
      </c>
      <c r="N4">
        <v>1</v>
      </c>
      <c r="O4">
        <v>0</v>
      </c>
      <c r="P4">
        <v>1</v>
      </c>
      <c r="Q4">
        <v>0</v>
      </c>
      <c r="R4">
        <v>0</v>
      </c>
      <c r="S4">
        <f t="shared" si="0"/>
        <v>67</v>
      </c>
      <c r="T4" t="s">
        <v>63</v>
      </c>
      <c r="U4">
        <v>68</v>
      </c>
      <c r="V4" t="b">
        <f>U4=J8</f>
        <v>1</v>
      </c>
    </row>
    <row r="5" spans="1:22" x14ac:dyDescent="0.25">
      <c r="A5">
        <v>14</v>
      </c>
      <c r="B5" t="s">
        <v>37</v>
      </c>
      <c r="C5">
        <v>6</v>
      </c>
      <c r="D5" t="s">
        <v>88</v>
      </c>
      <c r="E5">
        <v>61</v>
      </c>
      <c r="F5">
        <v>69</v>
      </c>
      <c r="G5">
        <v>42</v>
      </c>
      <c r="H5">
        <v>38</v>
      </c>
      <c r="I5">
        <v>154</v>
      </c>
      <c r="J5">
        <v>9</v>
      </c>
      <c r="K5">
        <v>25</v>
      </c>
      <c r="L5">
        <v>0</v>
      </c>
      <c r="M5">
        <v>0</v>
      </c>
      <c r="N5">
        <v>0</v>
      </c>
      <c r="O5">
        <v>20</v>
      </c>
      <c r="P5">
        <v>117</v>
      </c>
      <c r="Q5">
        <v>3</v>
      </c>
      <c r="R5">
        <v>0</v>
      </c>
      <c r="S5">
        <f t="shared" si="0"/>
        <v>538</v>
      </c>
      <c r="T5" t="s">
        <v>22</v>
      </c>
      <c r="U5">
        <v>70</v>
      </c>
    </row>
    <row r="6" spans="1:22" x14ac:dyDescent="0.25">
      <c r="A6">
        <v>14</v>
      </c>
      <c r="B6" t="s">
        <v>37</v>
      </c>
      <c r="C6">
        <v>7</v>
      </c>
      <c r="D6" t="s">
        <v>91</v>
      </c>
      <c r="E6">
        <v>411</v>
      </c>
      <c r="F6">
        <v>68</v>
      </c>
      <c r="G6">
        <v>1234</v>
      </c>
      <c r="H6">
        <v>41</v>
      </c>
      <c r="I6">
        <v>216</v>
      </c>
      <c r="J6">
        <v>37</v>
      </c>
      <c r="K6">
        <v>42</v>
      </c>
      <c r="L6">
        <v>0</v>
      </c>
      <c r="M6">
        <v>43</v>
      </c>
      <c r="N6">
        <v>63</v>
      </c>
      <c r="O6">
        <v>21</v>
      </c>
      <c r="P6">
        <v>125</v>
      </c>
      <c r="Q6">
        <v>35</v>
      </c>
      <c r="R6">
        <v>0</v>
      </c>
      <c r="S6">
        <f t="shared" si="0"/>
        <v>2336</v>
      </c>
      <c r="T6" t="s">
        <v>4</v>
      </c>
      <c r="U6">
        <v>70</v>
      </c>
    </row>
    <row r="7" spans="1:22" x14ac:dyDescent="0.25">
      <c r="A7">
        <v>14</v>
      </c>
      <c r="B7" t="s">
        <v>37</v>
      </c>
      <c r="C7">
        <v>8</v>
      </c>
      <c r="D7" t="s">
        <v>89</v>
      </c>
      <c r="E7">
        <v>5</v>
      </c>
      <c r="F7">
        <v>2</v>
      </c>
      <c r="G7">
        <v>384</v>
      </c>
      <c r="H7">
        <v>12</v>
      </c>
      <c r="I7">
        <v>1019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</v>
      </c>
      <c r="Q7">
        <v>0</v>
      </c>
      <c r="R7">
        <v>0</v>
      </c>
      <c r="S7">
        <f t="shared" si="0"/>
        <v>1429</v>
      </c>
      <c r="T7" t="s">
        <v>23</v>
      </c>
      <c r="U7">
        <v>106</v>
      </c>
      <c r="V7" t="s">
        <v>121</v>
      </c>
    </row>
    <row r="8" spans="1:22" x14ac:dyDescent="0.25">
      <c r="E8">
        <f>SUM(E2:E7)</f>
        <v>666</v>
      </c>
      <c r="F8">
        <f t="shared" ref="F8:Q8" si="1">SUM(F2:F7)</f>
        <v>291</v>
      </c>
      <c r="G8">
        <f t="shared" si="1"/>
        <v>1859</v>
      </c>
      <c r="H8">
        <f t="shared" si="1"/>
        <v>140</v>
      </c>
      <c r="I8">
        <f t="shared" si="1"/>
        <v>1842</v>
      </c>
      <c r="J8">
        <f t="shared" si="1"/>
        <v>68</v>
      </c>
      <c r="K8">
        <f t="shared" si="1"/>
        <v>122</v>
      </c>
      <c r="L8">
        <f t="shared" si="1"/>
        <v>1</v>
      </c>
      <c r="M8">
        <f t="shared" si="1"/>
        <v>70</v>
      </c>
      <c r="N8">
        <f t="shared" si="1"/>
        <v>70</v>
      </c>
      <c r="O8">
        <f t="shared" si="1"/>
        <v>106</v>
      </c>
      <c r="P8">
        <f t="shared" si="1"/>
        <v>481</v>
      </c>
      <c r="Q8">
        <f t="shared" si="1"/>
        <v>63</v>
      </c>
      <c r="R8">
        <f>SUM(R2:R7)</f>
        <v>0</v>
      </c>
      <c r="S8">
        <f>SUM(E8:R8)</f>
        <v>5779</v>
      </c>
      <c r="T8" t="s">
        <v>64</v>
      </c>
      <c r="U8">
        <v>122</v>
      </c>
    </row>
    <row r="9" spans="1:22" x14ac:dyDescent="0.25">
      <c r="T9" t="s">
        <v>65</v>
      </c>
      <c r="U9">
        <v>140</v>
      </c>
    </row>
    <row r="10" spans="1:22" x14ac:dyDescent="0.25">
      <c r="T10" t="s">
        <v>8</v>
      </c>
      <c r="U10">
        <v>291</v>
      </c>
    </row>
    <row r="11" spans="1:22" x14ac:dyDescent="0.25">
      <c r="T11" t="s">
        <v>6</v>
      </c>
      <c r="U11">
        <v>481</v>
      </c>
    </row>
    <row r="12" spans="1:22" x14ac:dyDescent="0.25">
      <c r="T12" t="s">
        <v>1</v>
      </c>
      <c r="U12">
        <v>666</v>
      </c>
    </row>
    <row r="13" spans="1:22" x14ac:dyDescent="0.25">
      <c r="T13" t="s">
        <v>24</v>
      </c>
      <c r="U13">
        <v>1842</v>
      </c>
    </row>
    <row r="14" spans="1:22" x14ac:dyDescent="0.25">
      <c r="T14" t="s">
        <v>66</v>
      </c>
      <c r="U14">
        <v>1859</v>
      </c>
    </row>
    <row r="15" spans="1:22" x14ac:dyDescent="0.25">
      <c r="U15">
        <f>SUM(U2:U14)</f>
        <v>5779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topLeftCell="B49" workbookViewId="0">
      <selection activeCell="K23" sqref="K23"/>
    </sheetView>
  </sheetViews>
  <sheetFormatPr defaultRowHeight="15" x14ac:dyDescent="0.25"/>
  <cols>
    <col min="2" max="2" width="11.28515625" bestFit="1" customWidth="1"/>
    <col min="7" max="7" width="11.7109375" bestFit="1" customWidth="1"/>
    <col min="8" max="8" width="11.5703125" bestFit="1" customWidth="1"/>
    <col min="10" max="10" width="14.140625" bestFit="1" customWidth="1"/>
    <col min="11" max="11" width="14.28515625" bestFit="1" customWidth="1"/>
    <col min="16" max="16" width="10.28515625" bestFit="1" customWidth="1"/>
  </cols>
  <sheetData>
    <row r="1" spans="1:17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7" x14ac:dyDescent="0.25">
      <c r="A2">
        <v>15</v>
      </c>
      <c r="B2" t="s">
        <v>38</v>
      </c>
      <c r="C2">
        <v>3</v>
      </c>
      <c r="D2" t="s">
        <v>86</v>
      </c>
      <c r="E2">
        <v>14</v>
      </c>
      <c r="F2">
        <v>9</v>
      </c>
      <c r="G2">
        <v>37</v>
      </c>
      <c r="H2">
        <v>10</v>
      </c>
      <c r="I2">
        <v>60</v>
      </c>
      <c r="J2">
        <v>3</v>
      </c>
      <c r="K2">
        <v>0</v>
      </c>
      <c r="L2">
        <v>0</v>
      </c>
      <c r="M2">
        <v>0</v>
      </c>
      <c r="N2">
        <v>0</v>
      </c>
      <c r="O2">
        <v>14</v>
      </c>
      <c r="P2">
        <v>0</v>
      </c>
      <c r="Q2">
        <f t="shared" ref="Q2:Q7" si="0">SUM(E2:P2)</f>
        <v>147</v>
      </c>
    </row>
    <row r="3" spans="1:17" x14ac:dyDescent="0.25">
      <c r="A3">
        <v>15</v>
      </c>
      <c r="B3" t="s">
        <v>38</v>
      </c>
      <c r="C3">
        <v>4</v>
      </c>
      <c r="D3" t="s">
        <v>87</v>
      </c>
      <c r="E3">
        <v>0</v>
      </c>
      <c r="F3">
        <v>0</v>
      </c>
      <c r="G3">
        <v>5</v>
      </c>
      <c r="H3">
        <v>0</v>
      </c>
      <c r="I3">
        <v>15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f t="shared" si="0"/>
        <v>21</v>
      </c>
    </row>
    <row r="4" spans="1:17" x14ac:dyDescent="0.25">
      <c r="A4">
        <v>15</v>
      </c>
      <c r="B4" t="s">
        <v>38</v>
      </c>
      <c r="C4">
        <v>6</v>
      </c>
      <c r="D4" t="s">
        <v>88</v>
      </c>
      <c r="E4">
        <v>8</v>
      </c>
      <c r="F4">
        <v>5</v>
      </c>
      <c r="G4">
        <v>4</v>
      </c>
      <c r="H4">
        <v>7</v>
      </c>
      <c r="I4">
        <v>28</v>
      </c>
      <c r="J4">
        <v>0</v>
      </c>
      <c r="K4">
        <v>1</v>
      </c>
      <c r="L4">
        <v>0</v>
      </c>
      <c r="M4">
        <v>0</v>
      </c>
      <c r="N4">
        <v>0</v>
      </c>
      <c r="O4">
        <v>7</v>
      </c>
      <c r="P4">
        <v>0</v>
      </c>
      <c r="Q4">
        <f t="shared" si="0"/>
        <v>60</v>
      </c>
    </row>
    <row r="5" spans="1:17" x14ac:dyDescent="0.25">
      <c r="A5">
        <v>15</v>
      </c>
      <c r="B5" t="s">
        <v>38</v>
      </c>
      <c r="C5">
        <v>7</v>
      </c>
      <c r="D5" t="s">
        <v>91</v>
      </c>
      <c r="E5">
        <v>38</v>
      </c>
      <c r="F5">
        <v>2</v>
      </c>
      <c r="G5">
        <v>158</v>
      </c>
      <c r="H5">
        <v>3</v>
      </c>
      <c r="I5">
        <v>23</v>
      </c>
      <c r="J5">
        <v>1</v>
      </c>
      <c r="K5">
        <v>2</v>
      </c>
      <c r="L5">
        <v>0</v>
      </c>
      <c r="M5">
        <v>1</v>
      </c>
      <c r="N5">
        <v>2</v>
      </c>
      <c r="O5">
        <v>7</v>
      </c>
      <c r="P5">
        <v>0</v>
      </c>
      <c r="Q5">
        <f t="shared" si="0"/>
        <v>237</v>
      </c>
    </row>
    <row r="6" spans="1:17" x14ac:dyDescent="0.25">
      <c r="A6">
        <v>15</v>
      </c>
      <c r="B6" t="s">
        <v>38</v>
      </c>
      <c r="C6">
        <v>8</v>
      </c>
      <c r="D6" t="s">
        <v>89</v>
      </c>
      <c r="E6">
        <v>0</v>
      </c>
      <c r="F6">
        <v>0</v>
      </c>
      <c r="G6">
        <v>60</v>
      </c>
      <c r="H6">
        <v>0</v>
      </c>
      <c r="I6">
        <v>112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0"/>
        <v>172</v>
      </c>
    </row>
    <row r="7" spans="1:17" x14ac:dyDescent="0.25">
      <c r="E7">
        <f t="shared" ref="E7:P7" si="1">SUM(E2:E6)</f>
        <v>60</v>
      </c>
      <c r="F7">
        <f t="shared" si="1"/>
        <v>16</v>
      </c>
      <c r="G7">
        <f t="shared" si="1"/>
        <v>264</v>
      </c>
      <c r="H7">
        <f t="shared" si="1"/>
        <v>20</v>
      </c>
      <c r="I7">
        <f t="shared" si="1"/>
        <v>238</v>
      </c>
      <c r="J7">
        <f t="shared" si="1"/>
        <v>4</v>
      </c>
      <c r="K7">
        <f t="shared" si="1"/>
        <v>3</v>
      </c>
      <c r="L7">
        <f t="shared" si="1"/>
        <v>0</v>
      </c>
      <c r="M7">
        <f t="shared" si="1"/>
        <v>2</v>
      </c>
      <c r="N7">
        <f t="shared" si="1"/>
        <v>2</v>
      </c>
      <c r="O7">
        <f t="shared" si="1"/>
        <v>28</v>
      </c>
      <c r="P7">
        <f t="shared" si="1"/>
        <v>0</v>
      </c>
      <c r="Q7">
        <f t="shared" si="0"/>
        <v>637</v>
      </c>
    </row>
    <row r="8" spans="1:17" x14ac:dyDescent="0.25">
      <c r="A8" t="s">
        <v>100</v>
      </c>
      <c r="B8" t="s">
        <v>101</v>
      </c>
      <c r="C8" t="s">
        <v>96</v>
      </c>
      <c r="D8" t="s">
        <v>102</v>
      </c>
      <c r="E8" t="s">
        <v>117</v>
      </c>
      <c r="F8" t="s">
        <v>116</v>
      </c>
      <c r="G8" t="s">
        <v>133</v>
      </c>
      <c r="H8" t="s">
        <v>114</v>
      </c>
      <c r="I8" t="s">
        <v>113</v>
      </c>
      <c r="J8" t="s">
        <v>112</v>
      </c>
      <c r="K8" t="s">
        <v>111</v>
      </c>
      <c r="L8" t="s">
        <v>110</v>
      </c>
      <c r="M8" t="s">
        <v>109</v>
      </c>
      <c r="N8" t="s">
        <v>108</v>
      </c>
      <c r="O8" t="s">
        <v>107</v>
      </c>
      <c r="P8" t="s">
        <v>106</v>
      </c>
    </row>
    <row r="9" spans="1:17" x14ac:dyDescent="0.25">
      <c r="A9">
        <v>16</v>
      </c>
      <c r="B9" t="s">
        <v>39</v>
      </c>
      <c r="C9">
        <v>3</v>
      </c>
      <c r="D9" t="s">
        <v>86</v>
      </c>
      <c r="E9">
        <v>8</v>
      </c>
      <c r="F9">
        <v>4</v>
      </c>
      <c r="G9">
        <v>19</v>
      </c>
      <c r="H9">
        <v>2</v>
      </c>
      <c r="I9">
        <v>34</v>
      </c>
      <c r="J9">
        <v>1</v>
      </c>
      <c r="K9">
        <v>1</v>
      </c>
      <c r="L9">
        <v>0</v>
      </c>
      <c r="M9">
        <v>0</v>
      </c>
      <c r="N9">
        <v>0</v>
      </c>
      <c r="O9">
        <v>4</v>
      </c>
      <c r="P9">
        <v>0</v>
      </c>
      <c r="Q9">
        <f t="shared" ref="Q9:Q14" si="2">SUM(E9:P9)</f>
        <v>73</v>
      </c>
    </row>
    <row r="10" spans="1:17" x14ac:dyDescent="0.25">
      <c r="A10">
        <v>16</v>
      </c>
      <c r="B10" t="s">
        <v>39</v>
      </c>
      <c r="C10">
        <v>4</v>
      </c>
      <c r="D10" t="s">
        <v>87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 t="shared" si="2"/>
        <v>1</v>
      </c>
    </row>
    <row r="11" spans="1:17" x14ac:dyDescent="0.25">
      <c r="A11">
        <v>16</v>
      </c>
      <c r="B11" t="s">
        <v>39</v>
      </c>
      <c r="C11">
        <v>6</v>
      </c>
      <c r="D11" t="s">
        <v>88</v>
      </c>
      <c r="E11">
        <v>5</v>
      </c>
      <c r="F11">
        <v>3</v>
      </c>
      <c r="G11">
        <v>3</v>
      </c>
      <c r="H11">
        <v>2</v>
      </c>
      <c r="I11">
        <v>8</v>
      </c>
      <c r="J11">
        <v>1</v>
      </c>
      <c r="K11">
        <v>0</v>
      </c>
      <c r="L11">
        <v>0</v>
      </c>
      <c r="M11">
        <v>0</v>
      </c>
      <c r="N11">
        <v>0</v>
      </c>
      <c r="O11">
        <v>5</v>
      </c>
      <c r="P11">
        <v>0</v>
      </c>
      <c r="Q11">
        <f t="shared" si="2"/>
        <v>27</v>
      </c>
    </row>
    <row r="12" spans="1:17" x14ac:dyDescent="0.25">
      <c r="A12">
        <v>16</v>
      </c>
      <c r="B12" t="s">
        <v>39</v>
      </c>
      <c r="C12">
        <v>7</v>
      </c>
      <c r="D12" t="s">
        <v>91</v>
      </c>
      <c r="E12">
        <v>22</v>
      </c>
      <c r="F12">
        <v>0</v>
      </c>
      <c r="G12">
        <v>72</v>
      </c>
      <c r="H12">
        <v>2</v>
      </c>
      <c r="I12">
        <v>15</v>
      </c>
      <c r="J12">
        <v>0</v>
      </c>
      <c r="K12">
        <v>0</v>
      </c>
      <c r="L12">
        <v>0</v>
      </c>
      <c r="M12">
        <v>1</v>
      </c>
      <c r="N12">
        <v>1</v>
      </c>
      <c r="O12">
        <v>4</v>
      </c>
      <c r="P12">
        <v>0</v>
      </c>
      <c r="Q12">
        <f t="shared" si="2"/>
        <v>117</v>
      </c>
    </row>
    <row r="13" spans="1:17" x14ac:dyDescent="0.25">
      <c r="A13">
        <v>16</v>
      </c>
      <c r="B13" t="s">
        <v>39</v>
      </c>
      <c r="C13">
        <v>8</v>
      </c>
      <c r="D13" t="s">
        <v>89</v>
      </c>
      <c r="E13">
        <v>1</v>
      </c>
      <c r="F13">
        <v>0</v>
      </c>
      <c r="G13">
        <v>21</v>
      </c>
      <c r="H13">
        <v>0</v>
      </c>
      <c r="I13">
        <v>46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2"/>
        <v>68</v>
      </c>
    </row>
    <row r="14" spans="1:17" x14ac:dyDescent="0.25">
      <c r="E14">
        <f t="shared" ref="E14:P14" si="3">SUM(E9:E13)</f>
        <v>36</v>
      </c>
      <c r="F14">
        <f t="shared" si="3"/>
        <v>7</v>
      </c>
      <c r="G14">
        <f t="shared" si="3"/>
        <v>115</v>
      </c>
      <c r="H14">
        <f t="shared" si="3"/>
        <v>6</v>
      </c>
      <c r="I14">
        <f t="shared" si="3"/>
        <v>104</v>
      </c>
      <c r="J14">
        <f t="shared" si="3"/>
        <v>2</v>
      </c>
      <c r="K14">
        <f t="shared" si="3"/>
        <v>1</v>
      </c>
      <c r="L14">
        <f t="shared" si="3"/>
        <v>0</v>
      </c>
      <c r="M14">
        <f t="shared" si="3"/>
        <v>1</v>
      </c>
      <c r="N14">
        <f t="shared" si="3"/>
        <v>1</v>
      </c>
      <c r="O14">
        <f t="shared" si="3"/>
        <v>13</v>
      </c>
      <c r="P14">
        <f t="shared" si="3"/>
        <v>0</v>
      </c>
      <c r="Q14">
        <f t="shared" si="2"/>
        <v>286</v>
      </c>
    </row>
    <row r="15" spans="1:17" x14ac:dyDescent="0.25">
      <c r="A15" t="s">
        <v>100</v>
      </c>
      <c r="B15" t="s">
        <v>101</v>
      </c>
      <c r="C15" t="s">
        <v>96</v>
      </c>
      <c r="D15" t="s">
        <v>102</v>
      </c>
      <c r="E15" t="s">
        <v>117</v>
      </c>
      <c r="F15" t="s">
        <v>116</v>
      </c>
      <c r="G15" t="s">
        <v>133</v>
      </c>
      <c r="H15" t="s">
        <v>114</v>
      </c>
      <c r="I15" t="s">
        <v>113</v>
      </c>
      <c r="J15" t="s">
        <v>112</v>
      </c>
      <c r="K15" t="s">
        <v>111</v>
      </c>
      <c r="L15" t="s">
        <v>110</v>
      </c>
      <c r="M15" t="s">
        <v>109</v>
      </c>
      <c r="N15" t="s">
        <v>108</v>
      </c>
      <c r="O15" t="s">
        <v>107</v>
      </c>
      <c r="P15" t="s">
        <v>106</v>
      </c>
    </row>
    <row r="16" spans="1:17" x14ac:dyDescent="0.25">
      <c r="A16">
        <v>17</v>
      </c>
      <c r="B16" t="s">
        <v>40</v>
      </c>
      <c r="C16">
        <v>3</v>
      </c>
      <c r="D16" t="s">
        <v>86</v>
      </c>
      <c r="E16">
        <v>18</v>
      </c>
      <c r="F16">
        <v>18</v>
      </c>
      <c r="G16">
        <v>19</v>
      </c>
      <c r="H16">
        <v>2</v>
      </c>
      <c r="I16">
        <v>35</v>
      </c>
      <c r="J16">
        <v>3</v>
      </c>
      <c r="K16">
        <v>6</v>
      </c>
      <c r="L16">
        <v>0</v>
      </c>
      <c r="M16">
        <v>2</v>
      </c>
      <c r="N16">
        <v>0</v>
      </c>
      <c r="O16">
        <v>21</v>
      </c>
      <c r="P16">
        <v>1</v>
      </c>
      <c r="Q16">
        <f t="shared" ref="Q16:Q21" si="4">SUM(E16:P16)</f>
        <v>125</v>
      </c>
    </row>
    <row r="17" spans="1:17" x14ac:dyDescent="0.25">
      <c r="A17">
        <v>17</v>
      </c>
      <c r="B17" t="s">
        <v>40</v>
      </c>
      <c r="C17">
        <v>4</v>
      </c>
      <c r="D17" t="s">
        <v>87</v>
      </c>
      <c r="E17">
        <v>0</v>
      </c>
      <c r="F17">
        <v>0</v>
      </c>
      <c r="G17">
        <v>1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f t="shared" si="4"/>
        <v>6</v>
      </c>
    </row>
    <row r="18" spans="1:17" x14ac:dyDescent="0.25">
      <c r="A18">
        <v>17</v>
      </c>
      <c r="B18" t="s">
        <v>40</v>
      </c>
      <c r="C18">
        <v>6</v>
      </c>
      <c r="D18" t="s">
        <v>88</v>
      </c>
      <c r="E18">
        <v>9</v>
      </c>
      <c r="F18">
        <v>6</v>
      </c>
      <c r="G18">
        <v>2</v>
      </c>
      <c r="H18">
        <v>1</v>
      </c>
      <c r="I18">
        <v>13</v>
      </c>
      <c r="J18">
        <v>1</v>
      </c>
      <c r="K18">
        <v>1</v>
      </c>
      <c r="L18">
        <v>0</v>
      </c>
      <c r="M18">
        <v>0</v>
      </c>
      <c r="N18">
        <v>0</v>
      </c>
      <c r="O18">
        <v>12</v>
      </c>
      <c r="P18">
        <v>0</v>
      </c>
      <c r="Q18">
        <f t="shared" si="4"/>
        <v>45</v>
      </c>
    </row>
    <row r="19" spans="1:17" x14ac:dyDescent="0.25">
      <c r="A19">
        <v>17</v>
      </c>
      <c r="B19" t="s">
        <v>40</v>
      </c>
      <c r="C19">
        <v>7</v>
      </c>
      <c r="D19" t="s">
        <v>91</v>
      </c>
      <c r="E19">
        <v>26</v>
      </c>
      <c r="F19">
        <v>3</v>
      </c>
      <c r="G19">
        <v>119</v>
      </c>
      <c r="H19">
        <v>1</v>
      </c>
      <c r="I19">
        <v>20</v>
      </c>
      <c r="J19">
        <v>0</v>
      </c>
      <c r="K19">
        <v>3</v>
      </c>
      <c r="L19">
        <v>0</v>
      </c>
      <c r="M19">
        <v>2</v>
      </c>
      <c r="N19">
        <v>4</v>
      </c>
      <c r="O19">
        <v>9</v>
      </c>
      <c r="P19">
        <v>0</v>
      </c>
      <c r="Q19">
        <f t="shared" si="4"/>
        <v>187</v>
      </c>
    </row>
    <row r="20" spans="1:17" x14ac:dyDescent="0.25">
      <c r="A20">
        <v>17</v>
      </c>
      <c r="B20" t="s">
        <v>40</v>
      </c>
      <c r="C20">
        <v>8</v>
      </c>
      <c r="D20" t="s">
        <v>89</v>
      </c>
      <c r="E20">
        <v>0</v>
      </c>
      <c r="F20">
        <v>0</v>
      </c>
      <c r="G20">
        <v>57</v>
      </c>
      <c r="H20">
        <v>1</v>
      </c>
      <c r="I20">
        <v>118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f t="shared" si="4"/>
        <v>178</v>
      </c>
    </row>
    <row r="21" spans="1:17" x14ac:dyDescent="0.25">
      <c r="E21">
        <f t="shared" ref="E21:P21" si="5">SUM(E16:E20)</f>
        <v>53</v>
      </c>
      <c r="F21">
        <f t="shared" si="5"/>
        <v>27</v>
      </c>
      <c r="G21">
        <f t="shared" si="5"/>
        <v>198</v>
      </c>
      <c r="H21">
        <f t="shared" si="5"/>
        <v>5</v>
      </c>
      <c r="I21">
        <f t="shared" si="5"/>
        <v>191</v>
      </c>
      <c r="J21">
        <f t="shared" si="5"/>
        <v>4</v>
      </c>
      <c r="K21">
        <f t="shared" si="5"/>
        <v>10</v>
      </c>
      <c r="L21">
        <f t="shared" si="5"/>
        <v>0</v>
      </c>
      <c r="M21">
        <f t="shared" si="5"/>
        <v>4</v>
      </c>
      <c r="N21">
        <f t="shared" si="5"/>
        <v>4</v>
      </c>
      <c r="O21">
        <f t="shared" si="5"/>
        <v>44</v>
      </c>
      <c r="P21">
        <f t="shared" si="5"/>
        <v>1</v>
      </c>
      <c r="Q21">
        <f t="shared" si="4"/>
        <v>541</v>
      </c>
    </row>
    <row r="22" spans="1:17" x14ac:dyDescent="0.25">
      <c r="A22" t="s">
        <v>100</v>
      </c>
      <c r="B22" t="s">
        <v>101</v>
      </c>
      <c r="C22" t="s">
        <v>96</v>
      </c>
      <c r="D22" t="s">
        <v>102</v>
      </c>
      <c r="E22" t="s">
        <v>117</v>
      </c>
      <c r="F22" t="s">
        <v>116</v>
      </c>
      <c r="G22" t="s">
        <v>133</v>
      </c>
      <c r="H22" t="s">
        <v>114</v>
      </c>
      <c r="I22" t="s">
        <v>113</v>
      </c>
      <c r="J22" t="s">
        <v>112</v>
      </c>
      <c r="K22" t="s">
        <v>111</v>
      </c>
      <c r="L22" t="s">
        <v>110</v>
      </c>
      <c r="M22" t="s">
        <v>109</v>
      </c>
      <c r="N22" t="s">
        <v>108</v>
      </c>
      <c r="O22" t="s">
        <v>107</v>
      </c>
      <c r="P22" t="s">
        <v>106</v>
      </c>
    </row>
    <row r="23" spans="1:17" x14ac:dyDescent="0.25">
      <c r="A23">
        <v>18</v>
      </c>
      <c r="B23" t="s">
        <v>41</v>
      </c>
      <c r="C23">
        <v>3</v>
      </c>
      <c r="D23" t="s">
        <v>86</v>
      </c>
      <c r="E23">
        <v>2</v>
      </c>
      <c r="F23">
        <v>4</v>
      </c>
      <c r="G23">
        <v>2</v>
      </c>
      <c r="H23">
        <v>0</v>
      </c>
      <c r="I23">
        <v>8</v>
      </c>
      <c r="J23">
        <v>1</v>
      </c>
      <c r="K23">
        <v>2</v>
      </c>
      <c r="L23">
        <v>0</v>
      </c>
      <c r="M23">
        <v>0</v>
      </c>
      <c r="N23">
        <v>0</v>
      </c>
      <c r="O23">
        <v>5</v>
      </c>
      <c r="P23">
        <v>0</v>
      </c>
      <c r="Q23">
        <f>SUM(E23:P23)</f>
        <v>24</v>
      </c>
    </row>
    <row r="24" spans="1:17" x14ac:dyDescent="0.25">
      <c r="A24">
        <v>18</v>
      </c>
      <c r="B24" t="s">
        <v>41</v>
      </c>
      <c r="C24">
        <v>6</v>
      </c>
      <c r="D24" t="s">
        <v>88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f>SUM(E24:P24)</f>
        <v>2</v>
      </c>
    </row>
    <row r="25" spans="1:17" x14ac:dyDescent="0.25">
      <c r="A25">
        <v>18</v>
      </c>
      <c r="B25" t="s">
        <v>41</v>
      </c>
      <c r="C25">
        <v>7</v>
      </c>
      <c r="D25" t="s">
        <v>91</v>
      </c>
      <c r="E25">
        <v>4</v>
      </c>
      <c r="F25">
        <v>0</v>
      </c>
      <c r="G25">
        <v>21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f>SUM(E25:P25)</f>
        <v>29</v>
      </c>
    </row>
    <row r="26" spans="1:17" x14ac:dyDescent="0.25">
      <c r="A26">
        <v>18</v>
      </c>
      <c r="B26" t="s">
        <v>41</v>
      </c>
      <c r="C26">
        <v>8</v>
      </c>
      <c r="D26" t="s">
        <v>89</v>
      </c>
      <c r="E26">
        <v>0</v>
      </c>
      <c r="F26">
        <v>0</v>
      </c>
      <c r="G26">
        <v>3</v>
      </c>
      <c r="H26">
        <v>0</v>
      </c>
      <c r="I26">
        <v>12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f>SUM(E26:P26)</f>
        <v>15</v>
      </c>
    </row>
    <row r="27" spans="1:17" x14ac:dyDescent="0.25">
      <c r="E27">
        <f>SUM(E23:E26)</f>
        <v>7</v>
      </c>
      <c r="F27">
        <f t="shared" ref="F27:P27" si="6">SUM(F23:F26)</f>
        <v>4</v>
      </c>
      <c r="G27">
        <f t="shared" si="6"/>
        <v>26</v>
      </c>
      <c r="H27">
        <f t="shared" si="6"/>
        <v>1</v>
      </c>
      <c r="I27">
        <f t="shared" si="6"/>
        <v>24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0</v>
      </c>
      <c r="O27">
        <f t="shared" si="6"/>
        <v>5</v>
      </c>
      <c r="P27">
        <f t="shared" si="6"/>
        <v>0</v>
      </c>
      <c r="Q27">
        <f>SUM(E27:P27)</f>
        <v>70</v>
      </c>
    </row>
    <row r="28" spans="1:17" x14ac:dyDescent="0.25">
      <c r="A28" t="s">
        <v>100</v>
      </c>
      <c r="B28" t="s">
        <v>101</v>
      </c>
      <c r="C28" t="s">
        <v>96</v>
      </c>
      <c r="D28" t="s">
        <v>102</v>
      </c>
      <c r="E28" t="s">
        <v>117</v>
      </c>
      <c r="F28" t="s">
        <v>116</v>
      </c>
      <c r="G28" t="s">
        <v>133</v>
      </c>
      <c r="H28" t="s">
        <v>114</v>
      </c>
      <c r="I28" t="s">
        <v>113</v>
      </c>
      <c r="J28" t="s">
        <v>112</v>
      </c>
      <c r="K28" t="s">
        <v>111</v>
      </c>
      <c r="L28" t="s">
        <v>110</v>
      </c>
      <c r="M28" t="s">
        <v>109</v>
      </c>
      <c r="N28" t="s">
        <v>108</v>
      </c>
      <c r="O28" t="s">
        <v>107</v>
      </c>
      <c r="P28" t="s">
        <v>106</v>
      </c>
    </row>
    <row r="29" spans="1:17" x14ac:dyDescent="0.25">
      <c r="A29">
        <v>19</v>
      </c>
      <c r="B29" t="s">
        <v>42</v>
      </c>
      <c r="C29">
        <v>3</v>
      </c>
      <c r="D29" t="s">
        <v>86</v>
      </c>
      <c r="E29">
        <v>8</v>
      </c>
      <c r="F29">
        <v>3</v>
      </c>
      <c r="G29">
        <v>14</v>
      </c>
      <c r="H29">
        <v>0</v>
      </c>
      <c r="I29">
        <v>16</v>
      </c>
      <c r="J29">
        <v>3</v>
      </c>
      <c r="K29">
        <v>0</v>
      </c>
      <c r="L29">
        <v>0</v>
      </c>
      <c r="M29">
        <v>1</v>
      </c>
      <c r="N29">
        <v>0</v>
      </c>
      <c r="O29">
        <v>4</v>
      </c>
      <c r="P29">
        <v>0</v>
      </c>
      <c r="Q29">
        <f t="shared" ref="Q29:Q34" si="7">SUM(E29:P29)</f>
        <v>49</v>
      </c>
    </row>
    <row r="30" spans="1:17" x14ac:dyDescent="0.25">
      <c r="A30">
        <v>19</v>
      </c>
      <c r="B30" t="s">
        <v>42</v>
      </c>
      <c r="C30">
        <v>4</v>
      </c>
      <c r="D30" t="s">
        <v>87</v>
      </c>
      <c r="E30">
        <v>0</v>
      </c>
      <c r="F30">
        <v>0</v>
      </c>
      <c r="G30">
        <v>1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 t="shared" si="7"/>
        <v>4</v>
      </c>
    </row>
    <row r="31" spans="1:17" x14ac:dyDescent="0.25">
      <c r="A31">
        <v>19</v>
      </c>
      <c r="B31" t="s">
        <v>42</v>
      </c>
      <c r="C31">
        <v>6</v>
      </c>
      <c r="D31" t="s">
        <v>88</v>
      </c>
      <c r="E31">
        <v>3</v>
      </c>
      <c r="F31">
        <v>3</v>
      </c>
      <c r="G31">
        <v>1</v>
      </c>
      <c r="H31">
        <v>1</v>
      </c>
      <c r="I31">
        <v>6</v>
      </c>
      <c r="J31">
        <v>0</v>
      </c>
      <c r="K31">
        <v>1</v>
      </c>
      <c r="L31">
        <v>0</v>
      </c>
      <c r="M31">
        <v>0</v>
      </c>
      <c r="N31">
        <v>0</v>
      </c>
      <c r="O31">
        <v>3</v>
      </c>
      <c r="P31">
        <v>0</v>
      </c>
      <c r="Q31">
        <f t="shared" si="7"/>
        <v>18</v>
      </c>
    </row>
    <row r="32" spans="1:17" x14ac:dyDescent="0.25">
      <c r="A32">
        <v>19</v>
      </c>
      <c r="B32" t="s">
        <v>42</v>
      </c>
      <c r="C32">
        <v>7</v>
      </c>
      <c r="D32" t="s">
        <v>91</v>
      </c>
      <c r="E32">
        <v>15</v>
      </c>
      <c r="F32">
        <v>3</v>
      </c>
      <c r="G32">
        <v>43</v>
      </c>
      <c r="H32">
        <v>0</v>
      </c>
      <c r="I32">
        <v>7</v>
      </c>
      <c r="J32">
        <v>0</v>
      </c>
      <c r="K32">
        <v>1</v>
      </c>
      <c r="L32">
        <v>0</v>
      </c>
      <c r="M32">
        <v>0</v>
      </c>
      <c r="N32">
        <v>1</v>
      </c>
      <c r="O32">
        <v>3</v>
      </c>
      <c r="P32">
        <v>0</v>
      </c>
      <c r="Q32">
        <f t="shared" si="7"/>
        <v>73</v>
      </c>
    </row>
    <row r="33" spans="1:17" x14ac:dyDescent="0.25">
      <c r="A33">
        <v>19</v>
      </c>
      <c r="B33" t="s">
        <v>42</v>
      </c>
      <c r="C33">
        <v>8</v>
      </c>
      <c r="D33" t="s">
        <v>89</v>
      </c>
      <c r="E33">
        <v>0</v>
      </c>
      <c r="F33">
        <v>0</v>
      </c>
      <c r="G33">
        <v>13</v>
      </c>
      <c r="H33">
        <v>1</v>
      </c>
      <c r="I33">
        <v>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7"/>
        <v>48</v>
      </c>
    </row>
    <row r="34" spans="1:17" x14ac:dyDescent="0.25">
      <c r="E34">
        <f t="shared" ref="E34:P34" si="8">SUM(E29:E33)</f>
        <v>26</v>
      </c>
      <c r="F34">
        <f t="shared" si="8"/>
        <v>9</v>
      </c>
      <c r="G34">
        <f t="shared" si="8"/>
        <v>72</v>
      </c>
      <c r="H34">
        <f t="shared" si="8"/>
        <v>2</v>
      </c>
      <c r="I34">
        <f t="shared" si="8"/>
        <v>66</v>
      </c>
      <c r="J34">
        <f t="shared" si="8"/>
        <v>3</v>
      </c>
      <c r="K34">
        <f t="shared" si="8"/>
        <v>2</v>
      </c>
      <c r="L34">
        <f t="shared" si="8"/>
        <v>0</v>
      </c>
      <c r="M34">
        <f t="shared" si="8"/>
        <v>1</v>
      </c>
      <c r="N34">
        <f t="shared" si="8"/>
        <v>1</v>
      </c>
      <c r="O34">
        <f t="shared" si="8"/>
        <v>10</v>
      </c>
      <c r="P34">
        <f t="shared" si="8"/>
        <v>0</v>
      </c>
      <c r="Q34">
        <f t="shared" si="7"/>
        <v>192</v>
      </c>
    </row>
    <row r="35" spans="1:17" x14ac:dyDescent="0.25">
      <c r="A35" t="s">
        <v>100</v>
      </c>
      <c r="B35" t="s">
        <v>101</v>
      </c>
      <c r="C35" t="s">
        <v>96</v>
      </c>
      <c r="D35" t="s">
        <v>102</v>
      </c>
      <c r="E35" t="s">
        <v>117</v>
      </c>
      <c r="F35" t="s">
        <v>116</v>
      </c>
      <c r="G35" t="s">
        <v>133</v>
      </c>
      <c r="H35" t="s">
        <v>114</v>
      </c>
      <c r="I35" t="s">
        <v>113</v>
      </c>
      <c r="J35" t="s">
        <v>112</v>
      </c>
      <c r="K35" t="s">
        <v>111</v>
      </c>
      <c r="L35" t="s">
        <v>110</v>
      </c>
      <c r="M35" t="s">
        <v>109</v>
      </c>
      <c r="N35" t="s">
        <v>108</v>
      </c>
      <c r="O35" t="s">
        <v>107</v>
      </c>
      <c r="P35" t="s">
        <v>106</v>
      </c>
    </row>
    <row r="36" spans="1:17" x14ac:dyDescent="0.25">
      <c r="A36">
        <v>20</v>
      </c>
      <c r="B36" t="s">
        <v>43</v>
      </c>
      <c r="C36">
        <v>3</v>
      </c>
      <c r="D36" t="s">
        <v>86</v>
      </c>
      <c r="E36">
        <v>17</v>
      </c>
      <c r="F36">
        <v>6</v>
      </c>
      <c r="G36">
        <v>20</v>
      </c>
      <c r="H36">
        <v>2</v>
      </c>
      <c r="I36">
        <v>42</v>
      </c>
      <c r="J36">
        <v>0</v>
      </c>
      <c r="K36">
        <v>2</v>
      </c>
      <c r="L36">
        <v>0</v>
      </c>
      <c r="M36">
        <v>0</v>
      </c>
      <c r="N36">
        <v>0</v>
      </c>
      <c r="O36">
        <v>5</v>
      </c>
      <c r="P36">
        <v>0</v>
      </c>
      <c r="Q36">
        <f t="shared" ref="Q36:Q41" si="9">SUM(E36:P36)</f>
        <v>94</v>
      </c>
    </row>
    <row r="37" spans="1:17" x14ac:dyDescent="0.25">
      <c r="A37">
        <v>20</v>
      </c>
      <c r="B37" t="s">
        <v>43</v>
      </c>
      <c r="C37">
        <v>4</v>
      </c>
      <c r="D37" t="s">
        <v>87</v>
      </c>
      <c r="E37">
        <v>0</v>
      </c>
      <c r="F37">
        <v>0</v>
      </c>
      <c r="G37">
        <v>1</v>
      </c>
      <c r="H37">
        <v>0</v>
      </c>
      <c r="I37">
        <v>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f t="shared" si="9"/>
        <v>5</v>
      </c>
    </row>
    <row r="38" spans="1:17" x14ac:dyDescent="0.25">
      <c r="A38">
        <v>20</v>
      </c>
      <c r="B38" t="s">
        <v>43</v>
      </c>
      <c r="C38">
        <v>6</v>
      </c>
      <c r="D38" t="s">
        <v>88</v>
      </c>
      <c r="E38">
        <v>5</v>
      </c>
      <c r="F38">
        <v>3</v>
      </c>
      <c r="G38">
        <v>4</v>
      </c>
      <c r="H38">
        <v>2</v>
      </c>
      <c r="I38">
        <v>20</v>
      </c>
      <c r="J38">
        <v>2</v>
      </c>
      <c r="K38">
        <v>3</v>
      </c>
      <c r="L38">
        <v>0</v>
      </c>
      <c r="M38">
        <v>0</v>
      </c>
      <c r="N38">
        <v>0</v>
      </c>
      <c r="O38">
        <v>9</v>
      </c>
      <c r="P38">
        <v>0</v>
      </c>
      <c r="Q38">
        <f t="shared" si="9"/>
        <v>48</v>
      </c>
    </row>
    <row r="39" spans="1:17" x14ac:dyDescent="0.25">
      <c r="A39">
        <v>20</v>
      </c>
      <c r="B39" t="s">
        <v>43</v>
      </c>
      <c r="C39">
        <v>7</v>
      </c>
      <c r="D39" t="s">
        <v>91</v>
      </c>
      <c r="E39">
        <v>22</v>
      </c>
      <c r="F39">
        <v>0</v>
      </c>
      <c r="G39">
        <v>107</v>
      </c>
      <c r="H39">
        <v>2</v>
      </c>
      <c r="I39">
        <v>21</v>
      </c>
      <c r="J39">
        <v>1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f t="shared" si="9"/>
        <v>156</v>
      </c>
    </row>
    <row r="40" spans="1:17" x14ac:dyDescent="0.25">
      <c r="A40">
        <v>20</v>
      </c>
      <c r="B40" t="s">
        <v>43</v>
      </c>
      <c r="C40">
        <v>8</v>
      </c>
      <c r="D40" t="s">
        <v>89</v>
      </c>
      <c r="E40">
        <v>0</v>
      </c>
      <c r="F40">
        <v>0</v>
      </c>
      <c r="G40">
        <v>30</v>
      </c>
      <c r="H40">
        <v>0</v>
      </c>
      <c r="I40">
        <v>67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f t="shared" si="9"/>
        <v>98</v>
      </c>
    </row>
    <row r="41" spans="1:17" x14ac:dyDescent="0.25">
      <c r="E41">
        <f t="shared" ref="E41:P41" si="10">SUM(E36:E40)</f>
        <v>44</v>
      </c>
      <c r="F41">
        <f t="shared" si="10"/>
        <v>9</v>
      </c>
      <c r="G41">
        <f t="shared" si="10"/>
        <v>162</v>
      </c>
      <c r="H41">
        <f t="shared" si="10"/>
        <v>6</v>
      </c>
      <c r="I41">
        <f t="shared" si="10"/>
        <v>154</v>
      </c>
      <c r="J41">
        <f t="shared" si="10"/>
        <v>3</v>
      </c>
      <c r="K41">
        <f t="shared" si="10"/>
        <v>5</v>
      </c>
      <c r="L41">
        <f t="shared" si="10"/>
        <v>0</v>
      </c>
      <c r="M41">
        <f t="shared" si="10"/>
        <v>1</v>
      </c>
      <c r="N41">
        <f t="shared" si="10"/>
        <v>1</v>
      </c>
      <c r="O41">
        <f t="shared" si="10"/>
        <v>16</v>
      </c>
      <c r="P41">
        <f t="shared" si="10"/>
        <v>0</v>
      </c>
      <c r="Q41">
        <f t="shared" si="9"/>
        <v>401</v>
      </c>
    </row>
    <row r="42" spans="1:17" x14ac:dyDescent="0.25">
      <c r="A42" t="s">
        <v>100</v>
      </c>
      <c r="B42" t="s">
        <v>101</v>
      </c>
      <c r="C42" t="s">
        <v>96</v>
      </c>
      <c r="D42" t="s">
        <v>102</v>
      </c>
      <c r="E42" t="s">
        <v>117</v>
      </c>
      <c r="F42" t="s">
        <v>116</v>
      </c>
      <c r="G42" t="s">
        <v>133</v>
      </c>
      <c r="H42" t="s">
        <v>114</v>
      </c>
      <c r="I42" t="s">
        <v>113</v>
      </c>
      <c r="J42" t="s">
        <v>112</v>
      </c>
      <c r="K42" t="s">
        <v>111</v>
      </c>
      <c r="L42" t="s">
        <v>110</v>
      </c>
      <c r="M42" t="s">
        <v>109</v>
      </c>
      <c r="N42" t="s">
        <v>108</v>
      </c>
      <c r="O42" t="s">
        <v>107</v>
      </c>
      <c r="P42" t="s">
        <v>106</v>
      </c>
    </row>
    <row r="43" spans="1:17" x14ac:dyDescent="0.25">
      <c r="A43">
        <v>21</v>
      </c>
      <c r="B43" t="s">
        <v>44</v>
      </c>
      <c r="C43">
        <v>3</v>
      </c>
      <c r="D43" t="s">
        <v>86</v>
      </c>
      <c r="E43">
        <v>3</v>
      </c>
      <c r="F43">
        <v>2</v>
      </c>
      <c r="G43">
        <v>12</v>
      </c>
      <c r="H43">
        <v>1</v>
      </c>
      <c r="I43">
        <v>16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  <c r="P43">
        <v>0</v>
      </c>
      <c r="Q43">
        <f t="shared" ref="Q43:Q48" si="11">SUM(E43:P43)</f>
        <v>38</v>
      </c>
    </row>
    <row r="44" spans="1:17" x14ac:dyDescent="0.25">
      <c r="A44">
        <v>21</v>
      </c>
      <c r="B44" t="s">
        <v>44</v>
      </c>
      <c r="C44">
        <v>4</v>
      </c>
      <c r="D44" t="s">
        <v>87</v>
      </c>
      <c r="E44">
        <v>0</v>
      </c>
      <c r="F44">
        <v>0</v>
      </c>
      <c r="G44">
        <v>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f t="shared" si="11"/>
        <v>7</v>
      </c>
    </row>
    <row r="45" spans="1:17" x14ac:dyDescent="0.25">
      <c r="A45">
        <v>21</v>
      </c>
      <c r="B45" t="s">
        <v>44</v>
      </c>
      <c r="C45">
        <v>6</v>
      </c>
      <c r="D45" t="s">
        <v>88</v>
      </c>
      <c r="E45">
        <v>3</v>
      </c>
      <c r="F45">
        <v>2</v>
      </c>
      <c r="G45">
        <v>3</v>
      </c>
      <c r="H45">
        <v>1</v>
      </c>
      <c r="I45">
        <v>6</v>
      </c>
      <c r="J45">
        <v>0</v>
      </c>
      <c r="K45">
        <v>1</v>
      </c>
      <c r="L45">
        <v>0</v>
      </c>
      <c r="M45">
        <v>0</v>
      </c>
      <c r="N45">
        <v>0</v>
      </c>
      <c r="O45">
        <v>6</v>
      </c>
      <c r="P45">
        <v>0</v>
      </c>
      <c r="Q45">
        <f t="shared" si="11"/>
        <v>22</v>
      </c>
    </row>
    <row r="46" spans="1:17" x14ac:dyDescent="0.25">
      <c r="A46">
        <v>21</v>
      </c>
      <c r="B46" t="s">
        <v>44</v>
      </c>
      <c r="C46">
        <v>7</v>
      </c>
      <c r="D46" t="s">
        <v>91</v>
      </c>
      <c r="E46">
        <v>6</v>
      </c>
      <c r="F46">
        <v>0</v>
      </c>
      <c r="G46">
        <v>39</v>
      </c>
      <c r="H46">
        <v>0</v>
      </c>
      <c r="I46">
        <v>6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f t="shared" si="11"/>
        <v>53</v>
      </c>
    </row>
    <row r="47" spans="1:17" x14ac:dyDescent="0.25">
      <c r="A47">
        <v>21</v>
      </c>
      <c r="B47" t="s">
        <v>44</v>
      </c>
      <c r="C47">
        <v>8</v>
      </c>
      <c r="D47" t="s">
        <v>89</v>
      </c>
      <c r="E47">
        <v>1</v>
      </c>
      <c r="F47">
        <v>0</v>
      </c>
      <c r="G47">
        <v>14</v>
      </c>
      <c r="H47">
        <v>0</v>
      </c>
      <c r="I47">
        <v>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f t="shared" si="11"/>
        <v>48</v>
      </c>
    </row>
    <row r="48" spans="1:17" x14ac:dyDescent="0.25">
      <c r="E48">
        <f t="shared" ref="E48:P48" si="12">SUM(E43:E47)</f>
        <v>13</v>
      </c>
      <c r="F48">
        <f t="shared" si="12"/>
        <v>4</v>
      </c>
      <c r="G48">
        <f t="shared" si="12"/>
        <v>70</v>
      </c>
      <c r="H48">
        <f t="shared" si="12"/>
        <v>3</v>
      </c>
      <c r="I48">
        <f t="shared" si="12"/>
        <v>65</v>
      </c>
      <c r="J48">
        <f t="shared" si="12"/>
        <v>0</v>
      </c>
      <c r="K48">
        <f t="shared" si="12"/>
        <v>2</v>
      </c>
      <c r="L48">
        <f t="shared" si="12"/>
        <v>0</v>
      </c>
      <c r="M48">
        <f t="shared" si="12"/>
        <v>0</v>
      </c>
      <c r="N48">
        <f t="shared" si="12"/>
        <v>0</v>
      </c>
      <c r="O48">
        <f t="shared" si="12"/>
        <v>11</v>
      </c>
      <c r="P48">
        <f t="shared" si="12"/>
        <v>0</v>
      </c>
      <c r="Q48">
        <f t="shared" si="11"/>
        <v>168</v>
      </c>
    </row>
    <row r="49" spans="1:17" x14ac:dyDescent="0.25">
      <c r="A49" t="s">
        <v>100</v>
      </c>
      <c r="B49" t="s">
        <v>101</v>
      </c>
      <c r="C49" t="s">
        <v>96</v>
      </c>
      <c r="D49" t="s">
        <v>102</v>
      </c>
      <c r="E49" t="s">
        <v>117</v>
      </c>
      <c r="F49" t="s">
        <v>116</v>
      </c>
      <c r="G49" t="s">
        <v>133</v>
      </c>
      <c r="H49" t="s">
        <v>114</v>
      </c>
      <c r="I49" t="s">
        <v>113</v>
      </c>
      <c r="J49" t="s">
        <v>112</v>
      </c>
      <c r="K49" t="s">
        <v>111</v>
      </c>
      <c r="L49" t="s">
        <v>110</v>
      </c>
      <c r="M49" t="s">
        <v>109</v>
      </c>
      <c r="N49" t="s">
        <v>108</v>
      </c>
      <c r="O49" t="s">
        <v>107</v>
      </c>
      <c r="P49" t="s">
        <v>106</v>
      </c>
    </row>
    <row r="50" spans="1:17" x14ac:dyDescent="0.25">
      <c r="A50">
        <v>22</v>
      </c>
      <c r="B50" t="s">
        <v>45</v>
      </c>
      <c r="C50">
        <v>3</v>
      </c>
      <c r="D50" t="s">
        <v>86</v>
      </c>
      <c r="E50">
        <v>4</v>
      </c>
      <c r="F50">
        <v>1</v>
      </c>
      <c r="G50">
        <v>6</v>
      </c>
      <c r="H50">
        <v>1</v>
      </c>
      <c r="I50">
        <v>18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f>SUM(E50:P50)</f>
        <v>31</v>
      </c>
    </row>
    <row r="51" spans="1:17" x14ac:dyDescent="0.25">
      <c r="A51">
        <v>22</v>
      </c>
      <c r="B51" t="s">
        <v>45</v>
      </c>
      <c r="C51">
        <v>6</v>
      </c>
      <c r="D51" t="s">
        <v>88</v>
      </c>
      <c r="E51">
        <v>3</v>
      </c>
      <c r="F51">
        <v>1</v>
      </c>
      <c r="G51">
        <v>3</v>
      </c>
      <c r="H51">
        <v>2</v>
      </c>
      <c r="I51">
        <v>6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f>SUM(E51:P51)</f>
        <v>17</v>
      </c>
    </row>
    <row r="52" spans="1:17" x14ac:dyDescent="0.25">
      <c r="A52">
        <v>22</v>
      </c>
      <c r="B52" t="s">
        <v>45</v>
      </c>
      <c r="C52">
        <v>7</v>
      </c>
      <c r="D52" t="s">
        <v>91</v>
      </c>
      <c r="E52">
        <v>9</v>
      </c>
      <c r="F52">
        <v>0</v>
      </c>
      <c r="G52">
        <v>40</v>
      </c>
      <c r="H52">
        <v>2</v>
      </c>
      <c r="I52">
        <v>6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f>SUM(E52:P52)</f>
        <v>59</v>
      </c>
    </row>
    <row r="53" spans="1:17" x14ac:dyDescent="0.25">
      <c r="A53">
        <v>22</v>
      </c>
      <c r="B53" t="s">
        <v>45</v>
      </c>
      <c r="C53">
        <v>8</v>
      </c>
      <c r="D53" t="s">
        <v>89</v>
      </c>
      <c r="E53">
        <v>0</v>
      </c>
      <c r="F53">
        <v>0</v>
      </c>
      <c r="G53">
        <v>25</v>
      </c>
      <c r="H53">
        <v>0</v>
      </c>
      <c r="I53">
        <v>46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f>SUM(E53:P53)</f>
        <v>71</v>
      </c>
    </row>
    <row r="54" spans="1:17" x14ac:dyDescent="0.25">
      <c r="E54">
        <f t="shared" ref="E54:P54" si="13">SUM(E50:E53)</f>
        <v>16</v>
      </c>
      <c r="F54">
        <f t="shared" si="13"/>
        <v>2</v>
      </c>
      <c r="G54">
        <f t="shared" si="13"/>
        <v>74</v>
      </c>
      <c r="H54">
        <f t="shared" si="13"/>
        <v>5</v>
      </c>
      <c r="I54">
        <f t="shared" si="13"/>
        <v>76</v>
      </c>
      <c r="J54">
        <f t="shared" si="13"/>
        <v>0</v>
      </c>
      <c r="K54">
        <f t="shared" si="13"/>
        <v>1</v>
      </c>
      <c r="L54">
        <f t="shared" si="13"/>
        <v>0</v>
      </c>
      <c r="M54">
        <f t="shared" si="13"/>
        <v>1</v>
      </c>
      <c r="N54">
        <f t="shared" si="13"/>
        <v>1</v>
      </c>
      <c r="O54">
        <f t="shared" si="13"/>
        <v>2</v>
      </c>
      <c r="P54">
        <f t="shared" si="13"/>
        <v>0</v>
      </c>
      <c r="Q54">
        <f>SUM(E54:P54)</f>
        <v>178</v>
      </c>
    </row>
    <row r="55" spans="1:17" x14ac:dyDescent="0.25">
      <c r="A55" t="s">
        <v>100</v>
      </c>
      <c r="B55" t="s">
        <v>101</v>
      </c>
      <c r="C55" t="s">
        <v>96</v>
      </c>
      <c r="D55" t="s">
        <v>102</v>
      </c>
      <c r="E55" t="s">
        <v>117</v>
      </c>
      <c r="F55" t="s">
        <v>116</v>
      </c>
      <c r="G55" t="s">
        <v>133</v>
      </c>
      <c r="H55" t="s">
        <v>114</v>
      </c>
      <c r="I55" t="s">
        <v>113</v>
      </c>
      <c r="J55" t="s">
        <v>112</v>
      </c>
      <c r="K55" t="s">
        <v>111</v>
      </c>
      <c r="L55" t="s">
        <v>110</v>
      </c>
      <c r="M55" t="s">
        <v>109</v>
      </c>
      <c r="N55" t="s">
        <v>108</v>
      </c>
      <c r="O55" t="s">
        <v>107</v>
      </c>
      <c r="P55" t="s">
        <v>106</v>
      </c>
    </row>
    <row r="56" spans="1:17" x14ac:dyDescent="0.25">
      <c r="A56">
        <v>23</v>
      </c>
      <c r="B56" t="s">
        <v>46</v>
      </c>
      <c r="C56">
        <v>3</v>
      </c>
      <c r="D56" t="s">
        <v>86</v>
      </c>
      <c r="E56">
        <v>6</v>
      </c>
      <c r="F56">
        <v>7</v>
      </c>
      <c r="G56">
        <v>13</v>
      </c>
      <c r="H56">
        <v>1</v>
      </c>
      <c r="I56">
        <v>24</v>
      </c>
      <c r="J56">
        <v>1</v>
      </c>
      <c r="K56">
        <v>1</v>
      </c>
      <c r="L56">
        <v>0</v>
      </c>
      <c r="M56">
        <v>0</v>
      </c>
      <c r="N56">
        <v>0</v>
      </c>
      <c r="O56">
        <v>7</v>
      </c>
      <c r="P56">
        <v>0</v>
      </c>
      <c r="Q56">
        <f t="shared" ref="Q56:Q61" si="14">SUM(E56:P56)</f>
        <v>60</v>
      </c>
    </row>
    <row r="57" spans="1:17" x14ac:dyDescent="0.25">
      <c r="A57">
        <v>23</v>
      </c>
      <c r="B57" t="s">
        <v>46</v>
      </c>
      <c r="C57">
        <v>4</v>
      </c>
      <c r="D57" t="s">
        <v>87</v>
      </c>
      <c r="E57">
        <v>0</v>
      </c>
      <c r="F57">
        <v>0</v>
      </c>
      <c r="G57">
        <v>1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f t="shared" si="14"/>
        <v>3</v>
      </c>
    </row>
    <row r="58" spans="1:17" x14ac:dyDescent="0.25">
      <c r="A58">
        <v>23</v>
      </c>
      <c r="B58" t="s">
        <v>46</v>
      </c>
      <c r="C58">
        <v>6</v>
      </c>
      <c r="D58" t="s">
        <v>88</v>
      </c>
      <c r="E58">
        <v>2</v>
      </c>
      <c r="F58">
        <v>2</v>
      </c>
      <c r="G58">
        <v>2</v>
      </c>
      <c r="H58">
        <v>0</v>
      </c>
      <c r="I58">
        <v>9</v>
      </c>
      <c r="J58">
        <v>1</v>
      </c>
      <c r="K58">
        <v>0</v>
      </c>
      <c r="L58">
        <v>0</v>
      </c>
      <c r="M58">
        <v>0</v>
      </c>
      <c r="N58">
        <v>0</v>
      </c>
      <c r="O58">
        <v>3</v>
      </c>
      <c r="P58">
        <v>0</v>
      </c>
      <c r="Q58">
        <f t="shared" si="14"/>
        <v>19</v>
      </c>
    </row>
    <row r="59" spans="1:17" x14ac:dyDescent="0.25">
      <c r="A59">
        <v>23</v>
      </c>
      <c r="B59" t="s">
        <v>46</v>
      </c>
      <c r="C59">
        <v>7</v>
      </c>
      <c r="D59" t="s">
        <v>91</v>
      </c>
      <c r="E59">
        <v>19</v>
      </c>
      <c r="F59">
        <v>2</v>
      </c>
      <c r="G59">
        <v>51</v>
      </c>
      <c r="H59">
        <v>0</v>
      </c>
      <c r="I59">
        <v>18</v>
      </c>
      <c r="J59">
        <v>0</v>
      </c>
      <c r="K59">
        <v>2</v>
      </c>
      <c r="L59">
        <v>0</v>
      </c>
      <c r="M59">
        <v>0</v>
      </c>
      <c r="N59">
        <v>0</v>
      </c>
      <c r="O59">
        <v>3</v>
      </c>
      <c r="P59">
        <v>0</v>
      </c>
      <c r="Q59">
        <f t="shared" si="14"/>
        <v>95</v>
      </c>
    </row>
    <row r="60" spans="1:17" x14ac:dyDescent="0.25">
      <c r="A60">
        <v>23</v>
      </c>
      <c r="B60" t="s">
        <v>46</v>
      </c>
      <c r="C60">
        <v>8</v>
      </c>
      <c r="D60" t="s">
        <v>89</v>
      </c>
      <c r="E60">
        <v>0</v>
      </c>
      <c r="F60">
        <v>0</v>
      </c>
      <c r="G60">
        <v>17</v>
      </c>
      <c r="H60">
        <v>0</v>
      </c>
      <c r="I60">
        <v>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f t="shared" si="14"/>
        <v>52</v>
      </c>
    </row>
    <row r="61" spans="1:17" x14ac:dyDescent="0.25">
      <c r="E61">
        <f t="shared" ref="E61:P61" si="15">SUM(E56:E60)</f>
        <v>27</v>
      </c>
      <c r="F61">
        <f t="shared" si="15"/>
        <v>11</v>
      </c>
      <c r="G61">
        <f t="shared" si="15"/>
        <v>84</v>
      </c>
      <c r="H61">
        <f t="shared" si="15"/>
        <v>1</v>
      </c>
      <c r="I61">
        <f t="shared" si="15"/>
        <v>88</v>
      </c>
      <c r="J61">
        <f t="shared" si="15"/>
        <v>2</v>
      </c>
      <c r="K61">
        <f t="shared" si="15"/>
        <v>3</v>
      </c>
      <c r="L61">
        <f t="shared" si="15"/>
        <v>0</v>
      </c>
      <c r="M61">
        <f t="shared" si="15"/>
        <v>0</v>
      </c>
      <c r="N61">
        <f t="shared" si="15"/>
        <v>0</v>
      </c>
      <c r="O61">
        <f t="shared" si="15"/>
        <v>13</v>
      </c>
      <c r="P61">
        <f t="shared" si="15"/>
        <v>0</v>
      </c>
      <c r="Q61">
        <f t="shared" si="14"/>
        <v>229</v>
      </c>
    </row>
    <row r="62" spans="1:17" x14ac:dyDescent="0.25">
      <c r="A62" t="s">
        <v>100</v>
      </c>
      <c r="B62" t="s">
        <v>101</v>
      </c>
      <c r="C62" t="s">
        <v>96</v>
      </c>
      <c r="D62" t="s">
        <v>102</v>
      </c>
      <c r="E62" t="s">
        <v>117</v>
      </c>
      <c r="F62" t="s">
        <v>116</v>
      </c>
      <c r="G62" t="s">
        <v>133</v>
      </c>
      <c r="H62" t="s">
        <v>114</v>
      </c>
      <c r="I62" t="s">
        <v>113</v>
      </c>
      <c r="J62" t="s">
        <v>112</v>
      </c>
      <c r="K62" t="s">
        <v>111</v>
      </c>
      <c r="L62" t="s">
        <v>110</v>
      </c>
      <c r="M62" t="s">
        <v>109</v>
      </c>
      <c r="N62" t="s">
        <v>108</v>
      </c>
      <c r="O62" t="s">
        <v>107</v>
      </c>
      <c r="P62" t="s">
        <v>106</v>
      </c>
    </row>
    <row r="63" spans="1:17" x14ac:dyDescent="0.25">
      <c r="A63">
        <v>24</v>
      </c>
      <c r="B63" t="s">
        <v>47</v>
      </c>
      <c r="C63">
        <v>3</v>
      </c>
      <c r="D63" t="s">
        <v>86</v>
      </c>
      <c r="E63">
        <v>2</v>
      </c>
      <c r="F63">
        <v>4</v>
      </c>
      <c r="G63">
        <v>5</v>
      </c>
      <c r="H63">
        <v>3</v>
      </c>
      <c r="I63">
        <v>6</v>
      </c>
      <c r="J63">
        <v>2</v>
      </c>
      <c r="K63">
        <v>1</v>
      </c>
      <c r="L63">
        <v>0</v>
      </c>
      <c r="M63">
        <v>0</v>
      </c>
      <c r="N63">
        <v>0</v>
      </c>
      <c r="O63">
        <v>8</v>
      </c>
      <c r="P63">
        <v>0</v>
      </c>
      <c r="Q63">
        <f t="shared" ref="Q63:Q68" si="16">SUM(E63:P63)</f>
        <v>31</v>
      </c>
    </row>
    <row r="64" spans="1:17" x14ac:dyDescent="0.25">
      <c r="A64">
        <v>24</v>
      </c>
      <c r="B64" t="s">
        <v>47</v>
      </c>
      <c r="C64">
        <v>4</v>
      </c>
      <c r="D64" t="s">
        <v>87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f t="shared" si="16"/>
        <v>1</v>
      </c>
    </row>
    <row r="65" spans="1:17" x14ac:dyDescent="0.25">
      <c r="A65">
        <v>24</v>
      </c>
      <c r="B65" t="s">
        <v>47</v>
      </c>
      <c r="C65">
        <v>6</v>
      </c>
      <c r="D65" t="s">
        <v>88</v>
      </c>
      <c r="E65">
        <v>2</v>
      </c>
      <c r="F65">
        <v>3</v>
      </c>
      <c r="G65">
        <v>4</v>
      </c>
      <c r="H65">
        <v>0</v>
      </c>
      <c r="I65">
        <v>6</v>
      </c>
      <c r="J65">
        <v>0</v>
      </c>
      <c r="K65">
        <v>1</v>
      </c>
      <c r="L65">
        <v>0</v>
      </c>
      <c r="M65">
        <v>0</v>
      </c>
      <c r="N65">
        <v>0</v>
      </c>
      <c r="O65">
        <v>4</v>
      </c>
      <c r="P65">
        <v>0</v>
      </c>
      <c r="Q65">
        <f t="shared" si="16"/>
        <v>20</v>
      </c>
    </row>
    <row r="66" spans="1:17" x14ac:dyDescent="0.25">
      <c r="A66">
        <v>24</v>
      </c>
      <c r="B66" t="s">
        <v>47</v>
      </c>
      <c r="C66">
        <v>7</v>
      </c>
      <c r="D66" t="s">
        <v>91</v>
      </c>
      <c r="E66">
        <v>9</v>
      </c>
      <c r="F66">
        <v>5</v>
      </c>
      <c r="G66">
        <v>32</v>
      </c>
      <c r="H66">
        <v>0</v>
      </c>
      <c r="I66">
        <v>10</v>
      </c>
      <c r="J66">
        <v>2</v>
      </c>
      <c r="K66">
        <v>3</v>
      </c>
      <c r="L66">
        <v>0</v>
      </c>
      <c r="M66">
        <v>0</v>
      </c>
      <c r="N66">
        <v>0</v>
      </c>
      <c r="O66">
        <v>8</v>
      </c>
      <c r="P66">
        <v>0</v>
      </c>
      <c r="Q66">
        <f t="shared" si="16"/>
        <v>69</v>
      </c>
    </row>
    <row r="67" spans="1:17" x14ac:dyDescent="0.25">
      <c r="A67">
        <v>24</v>
      </c>
      <c r="B67" t="s">
        <v>47</v>
      </c>
      <c r="C67">
        <v>8</v>
      </c>
      <c r="D67" t="s">
        <v>89</v>
      </c>
      <c r="E67">
        <v>0</v>
      </c>
      <c r="F67">
        <v>0</v>
      </c>
      <c r="G67">
        <v>9</v>
      </c>
      <c r="H67">
        <v>0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f t="shared" si="16"/>
        <v>34</v>
      </c>
    </row>
    <row r="68" spans="1:17" x14ac:dyDescent="0.25">
      <c r="E68">
        <f t="shared" ref="E68:P68" si="17">SUM(E63:E67)</f>
        <v>13</v>
      </c>
      <c r="F68">
        <f t="shared" si="17"/>
        <v>12</v>
      </c>
      <c r="G68">
        <f t="shared" si="17"/>
        <v>50</v>
      </c>
      <c r="H68">
        <f t="shared" si="17"/>
        <v>3</v>
      </c>
      <c r="I68">
        <f t="shared" si="17"/>
        <v>47</v>
      </c>
      <c r="J68">
        <f t="shared" si="17"/>
        <v>4</v>
      </c>
      <c r="K68">
        <f t="shared" si="17"/>
        <v>5</v>
      </c>
      <c r="L68">
        <f t="shared" si="17"/>
        <v>0</v>
      </c>
      <c r="M68">
        <f t="shared" si="17"/>
        <v>0</v>
      </c>
      <c r="N68">
        <f t="shared" si="17"/>
        <v>0</v>
      </c>
      <c r="O68">
        <f t="shared" si="17"/>
        <v>21</v>
      </c>
      <c r="P68">
        <f t="shared" si="17"/>
        <v>0</v>
      </c>
      <c r="Q68">
        <f t="shared" si="16"/>
        <v>155</v>
      </c>
    </row>
    <row r="69" spans="1:17" x14ac:dyDescent="0.25">
      <c r="A69" t="s">
        <v>100</v>
      </c>
      <c r="B69" t="s">
        <v>101</v>
      </c>
      <c r="C69" t="s">
        <v>96</v>
      </c>
      <c r="D69" t="s">
        <v>102</v>
      </c>
      <c r="E69" t="s">
        <v>117</v>
      </c>
      <c r="F69" t="s">
        <v>116</v>
      </c>
      <c r="G69" t="s">
        <v>133</v>
      </c>
      <c r="H69" t="s">
        <v>114</v>
      </c>
      <c r="I69" t="s">
        <v>113</v>
      </c>
      <c r="J69" t="s">
        <v>112</v>
      </c>
      <c r="K69" t="s">
        <v>111</v>
      </c>
      <c r="L69" t="s">
        <v>110</v>
      </c>
      <c r="M69" t="s">
        <v>109</v>
      </c>
      <c r="N69" t="s">
        <v>108</v>
      </c>
      <c r="O69" t="s">
        <v>107</v>
      </c>
      <c r="P69" t="s">
        <v>106</v>
      </c>
    </row>
    <row r="70" spans="1:17" x14ac:dyDescent="0.25">
      <c r="A70">
        <v>25</v>
      </c>
      <c r="B70" t="s">
        <v>48</v>
      </c>
      <c r="C70">
        <v>3</v>
      </c>
      <c r="D70" t="s">
        <v>86</v>
      </c>
      <c r="E70">
        <v>30</v>
      </c>
      <c r="F70">
        <v>25</v>
      </c>
      <c r="G70">
        <v>40</v>
      </c>
      <c r="H70">
        <v>13</v>
      </c>
      <c r="I70">
        <v>78</v>
      </c>
      <c r="J70">
        <v>6</v>
      </c>
      <c r="K70">
        <v>12</v>
      </c>
      <c r="L70">
        <v>0</v>
      </c>
      <c r="M70">
        <v>3</v>
      </c>
      <c r="N70">
        <v>2</v>
      </c>
      <c r="O70">
        <v>40</v>
      </c>
      <c r="P70">
        <v>0</v>
      </c>
      <c r="Q70">
        <f t="shared" ref="Q70:Q75" si="18">SUM(E70:P70)</f>
        <v>249</v>
      </c>
    </row>
    <row r="71" spans="1:17" x14ac:dyDescent="0.25">
      <c r="A71">
        <v>25</v>
      </c>
      <c r="B71" t="s">
        <v>48</v>
      </c>
      <c r="C71">
        <v>4</v>
      </c>
      <c r="D71" t="s">
        <v>87</v>
      </c>
      <c r="E71">
        <v>0</v>
      </c>
      <c r="F71">
        <v>1</v>
      </c>
      <c r="G71">
        <v>2</v>
      </c>
      <c r="H71">
        <v>0</v>
      </c>
      <c r="I71">
        <v>6</v>
      </c>
      <c r="J71">
        <v>0</v>
      </c>
      <c r="K71">
        <v>1</v>
      </c>
      <c r="L71">
        <v>0</v>
      </c>
      <c r="M71">
        <v>2</v>
      </c>
      <c r="N71">
        <v>1</v>
      </c>
      <c r="O71">
        <v>2</v>
      </c>
      <c r="P71">
        <v>0</v>
      </c>
      <c r="Q71">
        <f t="shared" si="18"/>
        <v>15</v>
      </c>
    </row>
    <row r="72" spans="1:17" x14ac:dyDescent="0.25">
      <c r="A72">
        <v>25</v>
      </c>
      <c r="B72" t="s">
        <v>48</v>
      </c>
      <c r="C72">
        <v>6</v>
      </c>
      <c r="D72" t="s">
        <v>88</v>
      </c>
      <c r="E72">
        <v>13</v>
      </c>
      <c r="F72">
        <v>6</v>
      </c>
      <c r="G72">
        <v>11</v>
      </c>
      <c r="H72">
        <v>4</v>
      </c>
      <c r="I72">
        <v>39</v>
      </c>
      <c r="J72">
        <v>2</v>
      </c>
      <c r="K72">
        <v>2</v>
      </c>
      <c r="L72">
        <v>0</v>
      </c>
      <c r="M72">
        <v>0</v>
      </c>
      <c r="N72">
        <v>0</v>
      </c>
      <c r="O72">
        <v>16</v>
      </c>
      <c r="P72">
        <v>0</v>
      </c>
      <c r="Q72">
        <f t="shared" si="18"/>
        <v>93</v>
      </c>
    </row>
    <row r="73" spans="1:17" x14ac:dyDescent="0.25">
      <c r="A73">
        <v>25</v>
      </c>
      <c r="B73" t="s">
        <v>48</v>
      </c>
      <c r="C73">
        <v>7</v>
      </c>
      <c r="D73" t="s">
        <v>91</v>
      </c>
      <c r="E73">
        <v>79</v>
      </c>
      <c r="F73">
        <v>8</v>
      </c>
      <c r="G73">
        <v>218</v>
      </c>
      <c r="H73">
        <v>10</v>
      </c>
      <c r="I73">
        <v>50</v>
      </c>
      <c r="J73">
        <v>5</v>
      </c>
      <c r="K73">
        <v>3</v>
      </c>
      <c r="L73">
        <v>0</v>
      </c>
      <c r="M73">
        <v>6</v>
      </c>
      <c r="N73">
        <v>8</v>
      </c>
      <c r="O73">
        <v>16</v>
      </c>
      <c r="P73">
        <v>0</v>
      </c>
      <c r="Q73">
        <f t="shared" si="18"/>
        <v>403</v>
      </c>
    </row>
    <row r="74" spans="1:17" x14ac:dyDescent="0.25">
      <c r="A74">
        <v>25</v>
      </c>
      <c r="B74" t="s">
        <v>48</v>
      </c>
      <c r="C74">
        <v>8</v>
      </c>
      <c r="D74" t="s">
        <v>89</v>
      </c>
      <c r="E74">
        <v>0</v>
      </c>
      <c r="F74">
        <v>1</v>
      </c>
      <c r="G74">
        <v>43</v>
      </c>
      <c r="H74">
        <v>1</v>
      </c>
      <c r="I74">
        <v>137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f t="shared" si="18"/>
        <v>184</v>
      </c>
    </row>
    <row r="75" spans="1:17" x14ac:dyDescent="0.25">
      <c r="E75">
        <f>SUM(E70:E74)</f>
        <v>122</v>
      </c>
      <c r="F75">
        <f t="shared" ref="F75:P75" si="19">SUM(F70:F74)</f>
        <v>41</v>
      </c>
      <c r="G75">
        <f t="shared" si="19"/>
        <v>314</v>
      </c>
      <c r="H75">
        <f t="shared" si="19"/>
        <v>28</v>
      </c>
      <c r="I75">
        <f t="shared" si="19"/>
        <v>310</v>
      </c>
      <c r="J75">
        <f t="shared" si="19"/>
        <v>13</v>
      </c>
      <c r="K75">
        <f t="shared" si="19"/>
        <v>18</v>
      </c>
      <c r="L75">
        <f t="shared" si="19"/>
        <v>0</v>
      </c>
      <c r="M75">
        <f t="shared" si="19"/>
        <v>11</v>
      </c>
      <c r="N75">
        <f t="shared" si="19"/>
        <v>11</v>
      </c>
      <c r="O75">
        <f t="shared" si="19"/>
        <v>76</v>
      </c>
      <c r="P75">
        <f t="shared" si="19"/>
        <v>0</v>
      </c>
      <c r="Q75">
        <f t="shared" si="18"/>
        <v>944</v>
      </c>
    </row>
    <row r="76" spans="1:17" x14ac:dyDescent="0.25">
      <c r="A76" t="s">
        <v>100</v>
      </c>
      <c r="B76" t="s">
        <v>101</v>
      </c>
      <c r="C76" t="s">
        <v>96</v>
      </c>
      <c r="D76" t="s">
        <v>102</v>
      </c>
      <c r="E76" t="s">
        <v>117</v>
      </c>
      <c r="F76" t="s">
        <v>116</v>
      </c>
      <c r="G76" t="s">
        <v>133</v>
      </c>
      <c r="H76" t="s">
        <v>114</v>
      </c>
      <c r="I76" t="s">
        <v>113</v>
      </c>
      <c r="J76" t="s">
        <v>112</v>
      </c>
      <c r="K76" t="s">
        <v>111</v>
      </c>
      <c r="L76" t="s">
        <v>110</v>
      </c>
      <c r="M76" t="s">
        <v>109</v>
      </c>
      <c r="N76" t="s">
        <v>108</v>
      </c>
      <c r="O76" t="s">
        <v>107</v>
      </c>
      <c r="P76" t="s">
        <v>106</v>
      </c>
    </row>
    <row r="77" spans="1:17" x14ac:dyDescent="0.25">
      <c r="A77">
        <v>26</v>
      </c>
      <c r="B77" t="s">
        <v>49</v>
      </c>
      <c r="C77">
        <v>3</v>
      </c>
      <c r="D77" t="s">
        <v>86</v>
      </c>
      <c r="E77">
        <v>4</v>
      </c>
      <c r="F77">
        <v>8</v>
      </c>
      <c r="G77">
        <v>7</v>
      </c>
      <c r="H77">
        <v>4</v>
      </c>
      <c r="I77">
        <v>18</v>
      </c>
      <c r="J77">
        <v>0</v>
      </c>
      <c r="K77">
        <v>1</v>
      </c>
      <c r="L77">
        <v>0</v>
      </c>
      <c r="M77">
        <v>0</v>
      </c>
      <c r="N77">
        <v>0</v>
      </c>
      <c r="O77">
        <v>14</v>
      </c>
      <c r="P77">
        <v>0</v>
      </c>
      <c r="Q77">
        <f t="shared" ref="Q77:Q82" si="20">SUM(E77:P77)</f>
        <v>56</v>
      </c>
    </row>
    <row r="78" spans="1:17" x14ac:dyDescent="0.25">
      <c r="A78">
        <v>26</v>
      </c>
      <c r="B78" t="s">
        <v>49</v>
      </c>
      <c r="C78">
        <v>4</v>
      </c>
      <c r="D78" t="s">
        <v>87</v>
      </c>
      <c r="E78">
        <v>0</v>
      </c>
      <c r="F78">
        <v>0</v>
      </c>
      <c r="G78">
        <v>3</v>
      </c>
      <c r="H78">
        <v>0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f t="shared" si="20"/>
        <v>8</v>
      </c>
    </row>
    <row r="79" spans="1:17" x14ac:dyDescent="0.25">
      <c r="A79">
        <v>26</v>
      </c>
      <c r="B79" t="s">
        <v>49</v>
      </c>
      <c r="C79">
        <v>6</v>
      </c>
      <c r="D79" t="s">
        <v>88</v>
      </c>
      <c r="E79">
        <v>8</v>
      </c>
      <c r="F79">
        <v>6</v>
      </c>
      <c r="G79">
        <v>1</v>
      </c>
      <c r="H79">
        <v>3</v>
      </c>
      <c r="I79">
        <v>10</v>
      </c>
      <c r="J79">
        <v>0</v>
      </c>
      <c r="K79">
        <v>4</v>
      </c>
      <c r="L79">
        <v>0</v>
      </c>
      <c r="M79">
        <v>0</v>
      </c>
      <c r="N79">
        <v>0</v>
      </c>
      <c r="O79">
        <v>9</v>
      </c>
      <c r="P79">
        <v>0</v>
      </c>
      <c r="Q79">
        <f t="shared" si="20"/>
        <v>41</v>
      </c>
    </row>
    <row r="80" spans="1:17" x14ac:dyDescent="0.25">
      <c r="A80">
        <v>26</v>
      </c>
      <c r="B80" t="s">
        <v>49</v>
      </c>
      <c r="C80">
        <v>7</v>
      </c>
      <c r="D80" t="s">
        <v>91</v>
      </c>
      <c r="E80">
        <v>19</v>
      </c>
      <c r="F80">
        <v>4</v>
      </c>
      <c r="G80">
        <v>60</v>
      </c>
      <c r="H80">
        <v>2</v>
      </c>
      <c r="I80">
        <v>9</v>
      </c>
      <c r="J80">
        <v>1</v>
      </c>
      <c r="K80">
        <v>2</v>
      </c>
      <c r="L80">
        <v>0</v>
      </c>
      <c r="M80">
        <v>1</v>
      </c>
      <c r="N80">
        <v>1</v>
      </c>
      <c r="O80">
        <v>4</v>
      </c>
      <c r="P80">
        <v>0</v>
      </c>
      <c r="Q80">
        <f t="shared" si="20"/>
        <v>103</v>
      </c>
    </row>
    <row r="81" spans="1:17" x14ac:dyDescent="0.25">
      <c r="A81">
        <v>26</v>
      </c>
      <c r="B81" t="s">
        <v>49</v>
      </c>
      <c r="C81">
        <v>8</v>
      </c>
      <c r="D81" t="s">
        <v>89</v>
      </c>
      <c r="E81">
        <v>1</v>
      </c>
      <c r="F81">
        <v>1</v>
      </c>
      <c r="G81">
        <v>24</v>
      </c>
      <c r="H81">
        <v>0</v>
      </c>
      <c r="I81">
        <v>53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f t="shared" si="20"/>
        <v>81</v>
      </c>
    </row>
    <row r="82" spans="1:17" x14ac:dyDescent="0.25">
      <c r="E82">
        <f t="shared" ref="E82:P82" si="21">SUM(E77:E81)</f>
        <v>32</v>
      </c>
      <c r="F82">
        <f t="shared" si="21"/>
        <v>19</v>
      </c>
      <c r="G82">
        <f t="shared" si="21"/>
        <v>95</v>
      </c>
      <c r="H82">
        <f t="shared" si="21"/>
        <v>9</v>
      </c>
      <c r="I82">
        <f t="shared" si="21"/>
        <v>95</v>
      </c>
      <c r="J82">
        <f t="shared" si="21"/>
        <v>2</v>
      </c>
      <c r="K82">
        <f t="shared" si="21"/>
        <v>7</v>
      </c>
      <c r="L82">
        <f t="shared" si="21"/>
        <v>0</v>
      </c>
      <c r="M82">
        <f t="shared" si="21"/>
        <v>1</v>
      </c>
      <c r="N82">
        <f t="shared" si="21"/>
        <v>1</v>
      </c>
      <c r="O82">
        <f t="shared" si="21"/>
        <v>28</v>
      </c>
      <c r="P82">
        <f t="shared" si="21"/>
        <v>0</v>
      </c>
      <c r="Q82">
        <f t="shared" si="20"/>
        <v>289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B48" sqref="B48"/>
    </sheetView>
  </sheetViews>
  <sheetFormatPr defaultRowHeight="15" x14ac:dyDescent="0.25"/>
  <cols>
    <col min="2" max="2" width="10.5703125" bestFit="1" customWidth="1"/>
    <col min="7" max="7" width="11.7109375" bestFit="1" customWidth="1"/>
    <col min="8" max="8" width="11.5703125" bestFit="1" customWidth="1"/>
    <col min="10" max="10" width="14.140625" bestFit="1" customWidth="1"/>
    <col min="11" max="11" width="14.28515625" bestFit="1" customWidth="1"/>
  </cols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35</v>
      </c>
      <c r="B2" t="s">
        <v>55</v>
      </c>
      <c r="C2">
        <v>3</v>
      </c>
      <c r="D2" t="s">
        <v>86</v>
      </c>
      <c r="E2">
        <v>59</v>
      </c>
      <c r="F2">
        <v>57</v>
      </c>
      <c r="G2">
        <v>86</v>
      </c>
      <c r="H2">
        <v>5</v>
      </c>
      <c r="I2">
        <v>160</v>
      </c>
      <c r="J2">
        <v>16</v>
      </c>
      <c r="K2">
        <v>13</v>
      </c>
      <c r="L2">
        <v>0</v>
      </c>
      <c r="M2">
        <v>6</v>
      </c>
      <c r="N2">
        <v>5</v>
      </c>
      <c r="O2">
        <v>61</v>
      </c>
      <c r="P2">
        <v>0</v>
      </c>
    </row>
    <row r="3" spans="1:16" x14ac:dyDescent="0.25">
      <c r="A3">
        <v>35</v>
      </c>
      <c r="B3" t="s">
        <v>55</v>
      </c>
      <c r="C3">
        <v>4</v>
      </c>
      <c r="D3" t="s">
        <v>87</v>
      </c>
      <c r="E3">
        <v>0</v>
      </c>
      <c r="F3">
        <v>0</v>
      </c>
      <c r="G3">
        <v>4</v>
      </c>
      <c r="H3">
        <v>0</v>
      </c>
      <c r="I3">
        <v>7</v>
      </c>
      <c r="J3">
        <v>0</v>
      </c>
      <c r="K3">
        <v>0</v>
      </c>
      <c r="L3">
        <v>0</v>
      </c>
      <c r="M3">
        <v>2</v>
      </c>
      <c r="N3">
        <v>0</v>
      </c>
      <c r="O3">
        <v>1</v>
      </c>
      <c r="P3">
        <v>0</v>
      </c>
    </row>
    <row r="4" spans="1:16" x14ac:dyDescent="0.25">
      <c r="A4">
        <v>35</v>
      </c>
      <c r="B4" t="s">
        <v>55</v>
      </c>
      <c r="C4">
        <v>6</v>
      </c>
      <c r="D4" t="s">
        <v>88</v>
      </c>
      <c r="E4">
        <v>24</v>
      </c>
      <c r="F4">
        <v>25</v>
      </c>
      <c r="G4">
        <v>14</v>
      </c>
      <c r="H4">
        <v>18</v>
      </c>
      <c r="I4">
        <v>66</v>
      </c>
      <c r="J4">
        <v>3</v>
      </c>
      <c r="K4">
        <v>6</v>
      </c>
      <c r="L4">
        <v>0</v>
      </c>
      <c r="M4">
        <v>0</v>
      </c>
      <c r="N4">
        <v>0</v>
      </c>
      <c r="O4">
        <v>35</v>
      </c>
      <c r="P4">
        <v>0</v>
      </c>
    </row>
    <row r="5" spans="1:16" x14ac:dyDescent="0.25">
      <c r="A5">
        <v>35</v>
      </c>
      <c r="B5" t="s">
        <v>55</v>
      </c>
      <c r="C5">
        <v>7</v>
      </c>
      <c r="D5" t="s">
        <v>91</v>
      </c>
      <c r="E5">
        <v>165</v>
      </c>
      <c r="F5">
        <v>19</v>
      </c>
      <c r="G5">
        <v>428</v>
      </c>
      <c r="H5">
        <v>15</v>
      </c>
      <c r="I5">
        <v>94</v>
      </c>
      <c r="J5">
        <v>15</v>
      </c>
      <c r="K5">
        <v>24</v>
      </c>
      <c r="L5">
        <v>0</v>
      </c>
      <c r="M5">
        <v>14</v>
      </c>
      <c r="N5">
        <v>16</v>
      </c>
      <c r="O5">
        <v>49</v>
      </c>
      <c r="P5">
        <v>0</v>
      </c>
    </row>
    <row r="6" spans="1:16" x14ac:dyDescent="0.25">
      <c r="A6">
        <v>35</v>
      </c>
      <c r="B6" t="s">
        <v>55</v>
      </c>
      <c r="C6">
        <v>8</v>
      </c>
      <c r="D6" t="s">
        <v>89</v>
      </c>
      <c r="E6">
        <v>0</v>
      </c>
      <c r="F6">
        <v>0</v>
      </c>
      <c r="G6">
        <v>97</v>
      </c>
      <c r="H6">
        <v>2</v>
      </c>
      <c r="I6">
        <v>278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</row>
    <row r="7" spans="1:16" x14ac:dyDescent="0.25">
      <c r="A7" t="s">
        <v>100</v>
      </c>
      <c r="B7" t="s">
        <v>101</v>
      </c>
      <c r="C7" t="s">
        <v>96</v>
      </c>
      <c r="D7" t="s">
        <v>102</v>
      </c>
      <c r="E7" t="s">
        <v>117</v>
      </c>
      <c r="F7" t="s">
        <v>116</v>
      </c>
      <c r="G7" t="s">
        <v>133</v>
      </c>
      <c r="H7" t="s">
        <v>114</v>
      </c>
      <c r="I7" t="s">
        <v>113</v>
      </c>
      <c r="J7" t="s">
        <v>112</v>
      </c>
      <c r="K7" t="s">
        <v>111</v>
      </c>
      <c r="L7" t="s">
        <v>110</v>
      </c>
      <c r="M7" t="s">
        <v>109</v>
      </c>
      <c r="N7" t="s">
        <v>108</v>
      </c>
      <c r="O7" t="s">
        <v>107</v>
      </c>
      <c r="P7" t="s">
        <v>106</v>
      </c>
    </row>
    <row r="8" spans="1:16" x14ac:dyDescent="0.25">
      <c r="A8">
        <v>36</v>
      </c>
      <c r="B8" t="s">
        <v>56</v>
      </c>
      <c r="C8">
        <v>2</v>
      </c>
      <c r="D8" t="s">
        <v>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36</v>
      </c>
      <c r="B9" t="s">
        <v>56</v>
      </c>
      <c r="C9">
        <v>3</v>
      </c>
      <c r="D9" t="s">
        <v>86</v>
      </c>
      <c r="E9">
        <v>36</v>
      </c>
      <c r="F9">
        <v>29</v>
      </c>
      <c r="G9">
        <v>58</v>
      </c>
      <c r="H9">
        <v>5</v>
      </c>
      <c r="I9">
        <v>97</v>
      </c>
      <c r="J9">
        <v>14</v>
      </c>
      <c r="K9">
        <v>12</v>
      </c>
      <c r="L9">
        <v>0</v>
      </c>
      <c r="M9">
        <v>10</v>
      </c>
      <c r="N9">
        <v>1</v>
      </c>
      <c r="O9">
        <v>39</v>
      </c>
      <c r="P9">
        <v>1</v>
      </c>
    </row>
    <row r="10" spans="1:16" x14ac:dyDescent="0.25">
      <c r="A10">
        <v>36</v>
      </c>
      <c r="B10" t="s">
        <v>56</v>
      </c>
      <c r="C10">
        <v>4</v>
      </c>
      <c r="D10" t="s">
        <v>87</v>
      </c>
      <c r="E10">
        <v>0</v>
      </c>
      <c r="F10">
        <v>0</v>
      </c>
      <c r="G10">
        <v>5</v>
      </c>
      <c r="H10">
        <v>0</v>
      </c>
      <c r="I10">
        <v>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36</v>
      </c>
      <c r="B11" t="s">
        <v>56</v>
      </c>
      <c r="C11">
        <v>6</v>
      </c>
      <c r="D11" t="s">
        <v>88</v>
      </c>
      <c r="E11">
        <v>11</v>
      </c>
      <c r="F11">
        <v>11</v>
      </c>
      <c r="G11">
        <v>7</v>
      </c>
      <c r="H11">
        <v>14</v>
      </c>
      <c r="I11">
        <v>15</v>
      </c>
      <c r="J11">
        <v>5</v>
      </c>
      <c r="K11">
        <v>7</v>
      </c>
      <c r="L11">
        <v>0</v>
      </c>
      <c r="M11">
        <v>0</v>
      </c>
      <c r="N11">
        <v>0</v>
      </c>
      <c r="O11">
        <v>25</v>
      </c>
      <c r="P11">
        <v>0</v>
      </c>
    </row>
    <row r="12" spans="1:16" x14ac:dyDescent="0.25">
      <c r="A12">
        <v>36</v>
      </c>
      <c r="B12" t="s">
        <v>56</v>
      </c>
      <c r="C12">
        <v>7</v>
      </c>
      <c r="D12" t="s">
        <v>91</v>
      </c>
      <c r="E12">
        <v>97</v>
      </c>
      <c r="F12">
        <v>18</v>
      </c>
      <c r="G12">
        <v>244</v>
      </c>
      <c r="H12">
        <v>12</v>
      </c>
      <c r="I12">
        <v>45</v>
      </c>
      <c r="J12">
        <v>16</v>
      </c>
      <c r="K12">
        <v>10</v>
      </c>
      <c r="L12">
        <v>0</v>
      </c>
      <c r="M12">
        <v>6</v>
      </c>
      <c r="N12">
        <v>15</v>
      </c>
      <c r="O12">
        <v>32</v>
      </c>
      <c r="P12">
        <v>0</v>
      </c>
    </row>
    <row r="13" spans="1:16" x14ac:dyDescent="0.25">
      <c r="A13">
        <v>36</v>
      </c>
      <c r="B13" t="s">
        <v>56</v>
      </c>
      <c r="C13">
        <v>8</v>
      </c>
      <c r="D13" t="s">
        <v>89</v>
      </c>
      <c r="E13">
        <v>0</v>
      </c>
      <c r="F13">
        <v>0</v>
      </c>
      <c r="G13">
        <v>43</v>
      </c>
      <c r="H13">
        <v>3</v>
      </c>
      <c r="I13">
        <v>140</v>
      </c>
      <c r="J13">
        <v>1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</row>
    <row r="14" spans="1:16" x14ac:dyDescent="0.25">
      <c r="A14" t="s">
        <v>100</v>
      </c>
      <c r="B14" t="s">
        <v>101</v>
      </c>
      <c r="C14" t="s">
        <v>96</v>
      </c>
      <c r="D14" t="s">
        <v>102</v>
      </c>
      <c r="E14" t="s">
        <v>117</v>
      </c>
      <c r="F14" t="s">
        <v>116</v>
      </c>
      <c r="G14" t="s">
        <v>133</v>
      </c>
      <c r="H14" t="s">
        <v>114</v>
      </c>
      <c r="I14" t="s">
        <v>113</v>
      </c>
      <c r="J14" t="s">
        <v>112</v>
      </c>
      <c r="K14" t="s">
        <v>111</v>
      </c>
      <c r="L14" t="s">
        <v>110</v>
      </c>
      <c r="M14" t="s">
        <v>109</v>
      </c>
      <c r="N14" t="s">
        <v>108</v>
      </c>
      <c r="O14" t="s">
        <v>107</v>
      </c>
      <c r="P14" t="s">
        <v>106</v>
      </c>
    </row>
    <row r="15" spans="1:16" x14ac:dyDescent="0.25">
      <c r="A15">
        <v>37</v>
      </c>
      <c r="B15" t="s">
        <v>57</v>
      </c>
      <c r="C15">
        <v>2</v>
      </c>
      <c r="D15" t="s">
        <v>85</v>
      </c>
      <c r="E15">
        <v>1</v>
      </c>
      <c r="F15">
        <v>2</v>
      </c>
      <c r="G15">
        <v>0</v>
      </c>
      <c r="H15">
        <v>0</v>
      </c>
      <c r="I15">
        <v>0</v>
      </c>
      <c r="J15">
        <v>1</v>
      </c>
      <c r="K15">
        <v>1</v>
      </c>
      <c r="L15">
        <v>4</v>
      </c>
      <c r="M15">
        <v>0</v>
      </c>
      <c r="N15">
        <v>0</v>
      </c>
      <c r="O15">
        <v>2</v>
      </c>
      <c r="P15">
        <v>0</v>
      </c>
    </row>
    <row r="16" spans="1:16" x14ac:dyDescent="0.25">
      <c r="A16">
        <v>37</v>
      </c>
      <c r="B16" t="s">
        <v>57</v>
      </c>
      <c r="C16">
        <v>3</v>
      </c>
      <c r="D16" t="s">
        <v>86</v>
      </c>
      <c r="E16">
        <v>35</v>
      </c>
      <c r="F16">
        <v>54</v>
      </c>
      <c r="G16">
        <v>63</v>
      </c>
      <c r="H16">
        <v>8</v>
      </c>
      <c r="I16">
        <v>114</v>
      </c>
      <c r="J16">
        <v>12</v>
      </c>
      <c r="K16">
        <v>21</v>
      </c>
      <c r="L16">
        <v>0</v>
      </c>
      <c r="M16">
        <v>3</v>
      </c>
      <c r="N16">
        <v>2</v>
      </c>
      <c r="O16">
        <v>71</v>
      </c>
      <c r="P16">
        <v>0</v>
      </c>
    </row>
    <row r="17" spans="1:16" x14ac:dyDescent="0.25">
      <c r="A17">
        <v>37</v>
      </c>
      <c r="B17" t="s">
        <v>57</v>
      </c>
      <c r="C17">
        <v>4</v>
      </c>
      <c r="D17" t="s">
        <v>87</v>
      </c>
      <c r="E17">
        <v>0</v>
      </c>
      <c r="F17">
        <v>0</v>
      </c>
      <c r="G17">
        <v>4</v>
      </c>
      <c r="H17">
        <v>0</v>
      </c>
      <c r="I17">
        <v>8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</row>
    <row r="18" spans="1:16" x14ac:dyDescent="0.25">
      <c r="A18">
        <v>37</v>
      </c>
      <c r="B18" t="s">
        <v>57</v>
      </c>
      <c r="C18">
        <v>6</v>
      </c>
      <c r="D18" t="s">
        <v>88</v>
      </c>
      <c r="E18">
        <v>18</v>
      </c>
      <c r="F18">
        <v>16</v>
      </c>
      <c r="G18">
        <v>17</v>
      </c>
      <c r="H18">
        <v>10</v>
      </c>
      <c r="I18">
        <v>50</v>
      </c>
      <c r="J18">
        <v>4</v>
      </c>
      <c r="K18">
        <v>4</v>
      </c>
      <c r="L18">
        <v>0</v>
      </c>
      <c r="M18">
        <v>0</v>
      </c>
      <c r="N18">
        <v>0</v>
      </c>
      <c r="O18">
        <v>24</v>
      </c>
      <c r="P18">
        <v>0</v>
      </c>
    </row>
    <row r="19" spans="1:16" x14ac:dyDescent="0.25">
      <c r="A19">
        <v>37</v>
      </c>
      <c r="B19" t="s">
        <v>57</v>
      </c>
      <c r="C19">
        <v>7</v>
      </c>
      <c r="D19" t="s">
        <v>91</v>
      </c>
      <c r="E19">
        <v>120</v>
      </c>
      <c r="F19">
        <v>34</v>
      </c>
      <c r="G19">
        <v>349</v>
      </c>
      <c r="H19">
        <v>15</v>
      </c>
      <c r="I19">
        <v>66</v>
      </c>
      <c r="J19">
        <v>28</v>
      </c>
      <c r="K19">
        <v>13</v>
      </c>
      <c r="L19">
        <v>0</v>
      </c>
      <c r="M19">
        <v>16</v>
      </c>
      <c r="N19">
        <v>19</v>
      </c>
      <c r="O19">
        <v>54</v>
      </c>
      <c r="P19">
        <v>0</v>
      </c>
    </row>
    <row r="20" spans="1:16" x14ac:dyDescent="0.25">
      <c r="A20">
        <v>37</v>
      </c>
      <c r="B20" t="s">
        <v>57</v>
      </c>
      <c r="C20">
        <v>8</v>
      </c>
      <c r="D20" t="s">
        <v>89</v>
      </c>
      <c r="E20">
        <v>2</v>
      </c>
      <c r="F20">
        <v>1</v>
      </c>
      <c r="G20">
        <v>67</v>
      </c>
      <c r="H20">
        <v>1</v>
      </c>
      <c r="I20">
        <v>215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sqref="A1:P1"/>
    </sheetView>
  </sheetViews>
  <sheetFormatPr defaultRowHeight="15" x14ac:dyDescent="0.25"/>
  <sheetData>
    <row r="1" spans="1:16" x14ac:dyDescent="0.25">
      <c r="A1" t="s">
        <v>100</v>
      </c>
      <c r="B1" t="s">
        <v>101</v>
      </c>
      <c r="C1" t="s">
        <v>96</v>
      </c>
      <c r="D1" t="s">
        <v>102</v>
      </c>
      <c r="E1" t="s">
        <v>117</v>
      </c>
      <c r="F1" t="s">
        <v>116</v>
      </c>
      <c r="G1" t="s">
        <v>133</v>
      </c>
      <c r="H1" t="s">
        <v>114</v>
      </c>
      <c r="I1" t="s">
        <v>113</v>
      </c>
      <c r="J1" t="s">
        <v>112</v>
      </c>
      <c r="K1" t="s">
        <v>111</v>
      </c>
      <c r="L1" t="s">
        <v>110</v>
      </c>
      <c r="M1" t="s">
        <v>109</v>
      </c>
      <c r="N1" t="s">
        <v>108</v>
      </c>
      <c r="O1" t="s">
        <v>107</v>
      </c>
      <c r="P1" t="s">
        <v>106</v>
      </c>
    </row>
    <row r="2" spans="1:16" x14ac:dyDescent="0.25">
      <c r="A2">
        <v>38</v>
      </c>
      <c r="B2" t="s">
        <v>58</v>
      </c>
      <c r="C2">
        <v>2</v>
      </c>
      <c r="D2" t="s">
        <v>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38</v>
      </c>
      <c r="B3" t="s">
        <v>58</v>
      </c>
      <c r="C3">
        <v>3</v>
      </c>
      <c r="D3" t="s">
        <v>86</v>
      </c>
      <c r="E3">
        <v>74</v>
      </c>
      <c r="F3">
        <v>66</v>
      </c>
      <c r="G3">
        <v>137</v>
      </c>
      <c r="H3">
        <v>15</v>
      </c>
      <c r="I3">
        <v>259</v>
      </c>
      <c r="J3">
        <v>26</v>
      </c>
      <c r="K3">
        <v>30</v>
      </c>
      <c r="L3">
        <v>0</v>
      </c>
      <c r="M3">
        <v>11</v>
      </c>
      <c r="N3">
        <v>4</v>
      </c>
      <c r="O3">
        <v>130</v>
      </c>
      <c r="P3">
        <v>0</v>
      </c>
    </row>
    <row r="4" spans="1:16" x14ac:dyDescent="0.25">
      <c r="A4">
        <v>38</v>
      </c>
      <c r="B4" t="s">
        <v>58</v>
      </c>
      <c r="C4">
        <v>4</v>
      </c>
      <c r="D4" t="s">
        <v>87</v>
      </c>
      <c r="E4">
        <v>1</v>
      </c>
      <c r="F4">
        <v>0</v>
      </c>
      <c r="G4">
        <v>5</v>
      </c>
      <c r="H4">
        <v>0</v>
      </c>
      <c r="I4">
        <v>17</v>
      </c>
      <c r="J4">
        <v>0</v>
      </c>
      <c r="K4">
        <v>0</v>
      </c>
      <c r="L4">
        <v>0</v>
      </c>
      <c r="M4">
        <v>2</v>
      </c>
      <c r="N4">
        <v>1</v>
      </c>
      <c r="O4">
        <v>0</v>
      </c>
      <c r="P4">
        <v>0</v>
      </c>
    </row>
    <row r="5" spans="1:16" x14ac:dyDescent="0.25">
      <c r="A5">
        <v>38</v>
      </c>
      <c r="B5" t="s">
        <v>58</v>
      </c>
      <c r="C5">
        <v>6</v>
      </c>
      <c r="D5" t="s">
        <v>88</v>
      </c>
      <c r="E5">
        <v>33</v>
      </c>
      <c r="F5">
        <v>21</v>
      </c>
      <c r="G5">
        <v>52</v>
      </c>
      <c r="H5">
        <v>19</v>
      </c>
      <c r="I5">
        <v>106</v>
      </c>
      <c r="J5">
        <v>8</v>
      </c>
      <c r="K5">
        <v>6</v>
      </c>
      <c r="L5">
        <v>0</v>
      </c>
      <c r="M5">
        <v>0</v>
      </c>
      <c r="N5">
        <v>0</v>
      </c>
      <c r="O5">
        <v>46</v>
      </c>
      <c r="P5">
        <v>0</v>
      </c>
    </row>
    <row r="6" spans="1:16" x14ac:dyDescent="0.25">
      <c r="A6">
        <v>38</v>
      </c>
      <c r="B6" t="s">
        <v>58</v>
      </c>
      <c r="C6">
        <v>7</v>
      </c>
      <c r="D6" t="s">
        <v>91</v>
      </c>
      <c r="E6">
        <v>180</v>
      </c>
      <c r="F6">
        <v>35</v>
      </c>
      <c r="G6">
        <v>618</v>
      </c>
      <c r="H6">
        <v>15</v>
      </c>
      <c r="I6">
        <v>78</v>
      </c>
      <c r="J6">
        <v>31</v>
      </c>
      <c r="K6">
        <v>17</v>
      </c>
      <c r="L6">
        <v>0</v>
      </c>
      <c r="M6">
        <v>10</v>
      </c>
      <c r="N6">
        <v>18</v>
      </c>
      <c r="O6">
        <v>67</v>
      </c>
      <c r="P6">
        <v>0</v>
      </c>
    </row>
    <row r="7" spans="1:16" x14ac:dyDescent="0.25">
      <c r="A7">
        <v>38</v>
      </c>
      <c r="B7" t="s">
        <v>58</v>
      </c>
      <c r="C7">
        <v>8</v>
      </c>
      <c r="D7" t="s">
        <v>89</v>
      </c>
      <c r="E7">
        <v>2</v>
      </c>
      <c r="F7">
        <v>1</v>
      </c>
      <c r="G7">
        <v>184</v>
      </c>
      <c r="H7">
        <v>5</v>
      </c>
      <c r="I7">
        <v>416</v>
      </c>
      <c r="J7">
        <v>1</v>
      </c>
      <c r="K7">
        <v>1</v>
      </c>
      <c r="L7">
        <v>0</v>
      </c>
      <c r="M7">
        <v>0</v>
      </c>
      <c r="N7">
        <v>0</v>
      </c>
      <c r="O7">
        <v>3</v>
      </c>
      <c r="P7">
        <v>0</v>
      </c>
    </row>
    <row r="8" spans="1:16" x14ac:dyDescent="0.25">
      <c r="A8" t="s">
        <v>100</v>
      </c>
      <c r="B8" t="s">
        <v>101</v>
      </c>
      <c r="C8" t="s">
        <v>96</v>
      </c>
      <c r="D8" t="s">
        <v>102</v>
      </c>
      <c r="E8" t="s">
        <v>117</v>
      </c>
      <c r="F8" t="s">
        <v>116</v>
      </c>
      <c r="G8" t="s">
        <v>115</v>
      </c>
      <c r="H8" t="s">
        <v>114</v>
      </c>
      <c r="I8" t="s">
        <v>113</v>
      </c>
      <c r="J8" t="s">
        <v>112</v>
      </c>
      <c r="K8" t="s">
        <v>111</v>
      </c>
      <c r="L8" t="s">
        <v>110</v>
      </c>
      <c r="M8" t="s">
        <v>109</v>
      </c>
      <c r="N8" t="s">
        <v>108</v>
      </c>
      <c r="O8" t="s">
        <v>107</v>
      </c>
      <c r="P8" t="s">
        <v>106</v>
      </c>
    </row>
    <row r="9" spans="1:16" x14ac:dyDescent="0.25">
      <c r="A9">
        <v>39</v>
      </c>
      <c r="B9" t="s">
        <v>59</v>
      </c>
      <c r="C9">
        <v>2</v>
      </c>
      <c r="D9" t="s">
        <v>85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2</v>
      </c>
      <c r="M9">
        <v>0</v>
      </c>
      <c r="N9">
        <v>0</v>
      </c>
      <c r="O9">
        <v>1</v>
      </c>
      <c r="P9">
        <v>0</v>
      </c>
    </row>
    <row r="10" spans="1:16" x14ac:dyDescent="0.25">
      <c r="A10">
        <v>39</v>
      </c>
      <c r="B10" t="s">
        <v>59</v>
      </c>
      <c r="C10">
        <v>3</v>
      </c>
      <c r="D10" t="s">
        <v>86</v>
      </c>
      <c r="E10">
        <v>119</v>
      </c>
      <c r="F10">
        <v>138</v>
      </c>
      <c r="G10">
        <v>147</v>
      </c>
      <c r="H10">
        <v>24</v>
      </c>
      <c r="I10">
        <v>299</v>
      </c>
      <c r="J10">
        <v>44</v>
      </c>
      <c r="K10">
        <v>51</v>
      </c>
      <c r="L10">
        <v>0</v>
      </c>
      <c r="M10">
        <v>18</v>
      </c>
      <c r="N10">
        <v>5</v>
      </c>
      <c r="O10">
        <v>211</v>
      </c>
      <c r="P10">
        <v>0</v>
      </c>
    </row>
    <row r="11" spans="1:16" x14ac:dyDescent="0.25">
      <c r="A11">
        <v>39</v>
      </c>
      <c r="B11" t="s">
        <v>59</v>
      </c>
      <c r="C11">
        <v>4</v>
      </c>
      <c r="D11" t="s">
        <v>87</v>
      </c>
      <c r="E11">
        <v>0</v>
      </c>
      <c r="F11">
        <v>0</v>
      </c>
      <c r="G11">
        <v>5</v>
      </c>
      <c r="H11">
        <v>1</v>
      </c>
      <c r="I11">
        <v>24</v>
      </c>
      <c r="J11">
        <v>1</v>
      </c>
      <c r="K11">
        <v>0</v>
      </c>
      <c r="L11">
        <v>0</v>
      </c>
      <c r="M11">
        <v>2</v>
      </c>
      <c r="N11">
        <v>1</v>
      </c>
      <c r="O11">
        <v>0</v>
      </c>
      <c r="P11">
        <v>0</v>
      </c>
    </row>
    <row r="12" spans="1:16" x14ac:dyDescent="0.25">
      <c r="A12">
        <v>39</v>
      </c>
      <c r="B12" t="s">
        <v>59</v>
      </c>
      <c r="C12">
        <v>6</v>
      </c>
      <c r="D12" t="s">
        <v>88</v>
      </c>
      <c r="E12">
        <v>44</v>
      </c>
      <c r="F12">
        <v>28</v>
      </c>
      <c r="G12">
        <v>17</v>
      </c>
      <c r="H12">
        <v>29</v>
      </c>
      <c r="I12">
        <v>117</v>
      </c>
      <c r="J12">
        <v>15</v>
      </c>
      <c r="K12">
        <v>8</v>
      </c>
      <c r="L12">
        <v>0</v>
      </c>
      <c r="M12">
        <v>0</v>
      </c>
      <c r="N12">
        <v>0</v>
      </c>
      <c r="O12">
        <v>57</v>
      </c>
      <c r="P12">
        <v>0</v>
      </c>
    </row>
    <row r="13" spans="1:16" x14ac:dyDescent="0.25">
      <c r="A13">
        <v>39</v>
      </c>
      <c r="B13" t="s">
        <v>59</v>
      </c>
      <c r="C13">
        <v>7</v>
      </c>
      <c r="D13" t="s">
        <v>91</v>
      </c>
      <c r="E13">
        <v>333</v>
      </c>
      <c r="F13">
        <v>79</v>
      </c>
      <c r="G13">
        <v>851</v>
      </c>
      <c r="H13">
        <v>33</v>
      </c>
      <c r="I13">
        <v>170</v>
      </c>
      <c r="J13">
        <v>42</v>
      </c>
      <c r="K13">
        <v>45</v>
      </c>
      <c r="L13">
        <v>0</v>
      </c>
      <c r="M13">
        <v>53</v>
      </c>
      <c r="N13">
        <v>60</v>
      </c>
      <c r="O13">
        <v>140</v>
      </c>
      <c r="P13">
        <v>0</v>
      </c>
    </row>
    <row r="14" spans="1:16" x14ac:dyDescent="0.25">
      <c r="A14">
        <v>39</v>
      </c>
      <c r="B14" t="s">
        <v>59</v>
      </c>
      <c r="C14">
        <v>8</v>
      </c>
      <c r="D14" t="s">
        <v>89</v>
      </c>
      <c r="E14">
        <v>7</v>
      </c>
      <c r="F14">
        <v>2</v>
      </c>
      <c r="G14">
        <v>200</v>
      </c>
      <c r="H14">
        <v>10</v>
      </c>
      <c r="I14">
        <v>630</v>
      </c>
      <c r="J14">
        <v>2</v>
      </c>
      <c r="K14">
        <v>2</v>
      </c>
      <c r="L14">
        <v>0</v>
      </c>
      <c r="M14">
        <v>0</v>
      </c>
      <c r="N14">
        <v>0</v>
      </c>
      <c r="O14">
        <v>12</v>
      </c>
      <c r="P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5"/>
  <sheetViews>
    <sheetView topLeftCell="J1" workbookViewId="0">
      <selection activeCell="D105" sqref="D105"/>
    </sheetView>
  </sheetViews>
  <sheetFormatPr defaultRowHeight="15" x14ac:dyDescent="0.25"/>
  <cols>
    <col min="13" max="13" width="1.42578125" customWidth="1"/>
    <col min="14" max="14" width="9.140625" customWidth="1"/>
    <col min="27" max="27" width="1.7109375" customWidth="1"/>
  </cols>
  <sheetData>
    <row r="1" spans="1:28" x14ac:dyDescent="0.25">
      <c r="A1" t="s">
        <v>127</v>
      </c>
      <c r="E1" t="s">
        <v>20</v>
      </c>
      <c r="F1" t="s">
        <v>128</v>
      </c>
      <c r="G1" t="s">
        <v>129</v>
      </c>
      <c r="H1" t="s">
        <v>130</v>
      </c>
      <c r="I1" t="s">
        <v>131</v>
      </c>
      <c r="J1" t="s">
        <v>18</v>
      </c>
      <c r="K1" t="s">
        <v>19</v>
      </c>
      <c r="L1" t="s">
        <v>20</v>
      </c>
      <c r="N1">
        <v>822</v>
      </c>
      <c r="O1" t="s">
        <v>132</v>
      </c>
      <c r="S1" t="s">
        <v>20</v>
      </c>
      <c r="T1" t="s">
        <v>128</v>
      </c>
      <c r="U1" t="s">
        <v>129</v>
      </c>
      <c r="V1" t="s">
        <v>130</v>
      </c>
      <c r="W1" t="s">
        <v>131</v>
      </c>
      <c r="X1" t="s">
        <v>18</v>
      </c>
      <c r="Y1" t="s">
        <v>19</v>
      </c>
      <c r="Z1" t="s">
        <v>20</v>
      </c>
      <c r="AB1">
        <v>1364</v>
      </c>
    </row>
    <row r="2" spans="1:28" x14ac:dyDescent="0.25">
      <c r="A2">
        <v>19</v>
      </c>
      <c r="B2" t="s">
        <v>42</v>
      </c>
      <c r="C2" t="s">
        <v>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N2">
        <v>167</v>
      </c>
      <c r="O2">
        <v>1</v>
      </c>
      <c r="P2" t="s">
        <v>21</v>
      </c>
      <c r="Q2" t="s">
        <v>61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B2">
        <v>105</v>
      </c>
    </row>
    <row r="3" spans="1:28" x14ac:dyDescent="0.25">
      <c r="A3">
        <v>19</v>
      </c>
      <c r="B3" t="s">
        <v>42</v>
      </c>
      <c r="C3" t="s">
        <v>22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N3">
        <v>405</v>
      </c>
      <c r="O3">
        <v>1</v>
      </c>
      <c r="P3" t="s">
        <v>21</v>
      </c>
      <c r="Q3" t="s">
        <v>62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B3">
        <v>959</v>
      </c>
    </row>
    <row r="4" spans="1:28" x14ac:dyDescent="0.25">
      <c r="A4">
        <v>19</v>
      </c>
      <c r="B4" t="s">
        <v>42</v>
      </c>
      <c r="C4" t="s">
        <v>4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N4">
        <v>357</v>
      </c>
      <c r="O4">
        <v>1</v>
      </c>
      <c r="P4" t="s">
        <v>21</v>
      </c>
      <c r="Q4" t="s">
        <v>11</v>
      </c>
      <c r="R4">
        <v>3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B4">
        <v>817</v>
      </c>
    </row>
    <row r="5" spans="1:28" x14ac:dyDescent="0.25">
      <c r="A5">
        <v>19</v>
      </c>
      <c r="B5" t="s">
        <v>42</v>
      </c>
      <c r="C5" t="s">
        <v>65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N5">
        <v>280</v>
      </c>
      <c r="O5">
        <v>1</v>
      </c>
      <c r="P5" t="s">
        <v>21</v>
      </c>
      <c r="Q5" t="s">
        <v>5</v>
      </c>
      <c r="R5">
        <v>29</v>
      </c>
      <c r="S5">
        <v>0</v>
      </c>
      <c r="T5">
        <v>0</v>
      </c>
      <c r="U5">
        <v>15</v>
      </c>
      <c r="V5">
        <v>0</v>
      </c>
      <c r="W5">
        <v>0</v>
      </c>
      <c r="X5">
        <v>5</v>
      </c>
      <c r="Y5">
        <v>9</v>
      </c>
      <c r="Z5">
        <v>0</v>
      </c>
      <c r="AB5">
        <v>1213</v>
      </c>
    </row>
    <row r="6" spans="1:28" x14ac:dyDescent="0.25">
      <c r="A6">
        <v>19</v>
      </c>
      <c r="B6" t="s">
        <v>42</v>
      </c>
      <c r="C6" t="s">
        <v>64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N6">
        <v>928</v>
      </c>
      <c r="O6">
        <v>1</v>
      </c>
      <c r="P6" t="s">
        <v>21</v>
      </c>
      <c r="Q6" t="s">
        <v>63</v>
      </c>
      <c r="R6">
        <v>52</v>
      </c>
      <c r="S6">
        <v>0</v>
      </c>
      <c r="T6">
        <v>0</v>
      </c>
      <c r="U6">
        <v>29</v>
      </c>
      <c r="V6">
        <v>0</v>
      </c>
      <c r="W6">
        <v>0</v>
      </c>
      <c r="X6">
        <v>8</v>
      </c>
      <c r="Y6">
        <v>15</v>
      </c>
      <c r="Z6">
        <v>0</v>
      </c>
      <c r="AB6">
        <v>618</v>
      </c>
    </row>
    <row r="7" spans="1:28" x14ac:dyDescent="0.25">
      <c r="A7">
        <v>19</v>
      </c>
      <c r="B7" t="s">
        <v>42</v>
      </c>
      <c r="C7" t="s">
        <v>63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N7">
        <v>48</v>
      </c>
      <c r="O7">
        <v>1</v>
      </c>
      <c r="P7" t="s">
        <v>21</v>
      </c>
      <c r="Q7" t="s">
        <v>22</v>
      </c>
      <c r="R7">
        <v>72</v>
      </c>
      <c r="S7">
        <v>0</v>
      </c>
      <c r="T7">
        <v>0</v>
      </c>
      <c r="U7">
        <v>11</v>
      </c>
      <c r="V7">
        <v>0</v>
      </c>
      <c r="W7">
        <v>0</v>
      </c>
      <c r="X7">
        <v>0</v>
      </c>
      <c r="Y7">
        <v>61</v>
      </c>
      <c r="Z7">
        <v>0</v>
      </c>
      <c r="AB7">
        <v>859</v>
      </c>
    </row>
    <row r="8" spans="1:28" x14ac:dyDescent="0.25">
      <c r="A8">
        <v>19</v>
      </c>
      <c r="B8" t="s">
        <v>42</v>
      </c>
      <c r="C8" t="s">
        <v>23</v>
      </c>
      <c r="D8">
        <v>4</v>
      </c>
      <c r="E8">
        <v>0</v>
      </c>
      <c r="F8">
        <v>0</v>
      </c>
      <c r="G8">
        <v>2</v>
      </c>
      <c r="H8">
        <v>0</v>
      </c>
      <c r="I8">
        <v>0</v>
      </c>
      <c r="J8">
        <v>1</v>
      </c>
      <c r="K8">
        <v>1</v>
      </c>
      <c r="L8">
        <v>0</v>
      </c>
      <c r="N8">
        <v>222</v>
      </c>
      <c r="O8">
        <v>1</v>
      </c>
      <c r="P8" t="s">
        <v>21</v>
      </c>
      <c r="Q8" t="s">
        <v>4</v>
      </c>
      <c r="R8">
        <v>73</v>
      </c>
      <c r="S8">
        <v>0</v>
      </c>
      <c r="T8">
        <v>0</v>
      </c>
      <c r="U8">
        <v>19</v>
      </c>
      <c r="V8">
        <v>1</v>
      </c>
      <c r="W8">
        <v>0</v>
      </c>
      <c r="X8">
        <v>0</v>
      </c>
      <c r="Y8">
        <v>53</v>
      </c>
      <c r="Z8">
        <v>0</v>
      </c>
      <c r="AB8">
        <v>146</v>
      </c>
    </row>
    <row r="9" spans="1:28" x14ac:dyDescent="0.25">
      <c r="A9">
        <v>19</v>
      </c>
      <c r="B9" t="s">
        <v>42</v>
      </c>
      <c r="C9" t="s">
        <v>8</v>
      </c>
      <c r="D9">
        <v>9</v>
      </c>
      <c r="E9">
        <v>0</v>
      </c>
      <c r="F9">
        <v>0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N9">
        <f>SUM(N1:N8)</f>
        <v>3229</v>
      </c>
      <c r="O9">
        <v>1</v>
      </c>
      <c r="P9" t="s">
        <v>21</v>
      </c>
      <c r="Q9" t="s">
        <v>64</v>
      </c>
      <c r="R9">
        <v>93</v>
      </c>
      <c r="S9">
        <v>0</v>
      </c>
      <c r="T9">
        <v>0</v>
      </c>
      <c r="U9">
        <v>48</v>
      </c>
      <c r="V9">
        <v>0</v>
      </c>
      <c r="W9">
        <v>0</v>
      </c>
      <c r="X9">
        <v>19</v>
      </c>
      <c r="Y9">
        <v>24</v>
      </c>
      <c r="Z9">
        <v>2</v>
      </c>
      <c r="AB9">
        <v>1288</v>
      </c>
    </row>
    <row r="10" spans="1:28" x14ac:dyDescent="0.25">
      <c r="A10">
        <v>19</v>
      </c>
      <c r="B10" t="s">
        <v>42</v>
      </c>
      <c r="C10" t="s">
        <v>6</v>
      </c>
      <c r="D10">
        <v>10</v>
      </c>
      <c r="E10">
        <v>0</v>
      </c>
      <c r="F10">
        <v>0</v>
      </c>
      <c r="G10">
        <v>4</v>
      </c>
      <c r="H10">
        <v>0</v>
      </c>
      <c r="I10">
        <v>0</v>
      </c>
      <c r="J10">
        <v>3</v>
      </c>
      <c r="K10">
        <v>3</v>
      </c>
      <c r="L10">
        <v>0</v>
      </c>
      <c r="O10">
        <v>1</v>
      </c>
      <c r="P10" t="s">
        <v>21</v>
      </c>
      <c r="Q10" t="s">
        <v>23</v>
      </c>
      <c r="R10">
        <v>113</v>
      </c>
      <c r="S10">
        <v>0</v>
      </c>
      <c r="T10">
        <v>0</v>
      </c>
      <c r="U10">
        <v>66</v>
      </c>
      <c r="V10">
        <v>0</v>
      </c>
      <c r="W10">
        <v>0</v>
      </c>
      <c r="X10">
        <v>29</v>
      </c>
      <c r="Y10">
        <v>18</v>
      </c>
      <c r="Z10">
        <v>0</v>
      </c>
      <c r="AB10">
        <v>719</v>
      </c>
    </row>
    <row r="11" spans="1:28" x14ac:dyDescent="0.25">
      <c r="A11">
        <v>19</v>
      </c>
      <c r="B11" t="s">
        <v>42</v>
      </c>
      <c r="C11" t="s">
        <v>1</v>
      </c>
      <c r="D11">
        <v>26</v>
      </c>
      <c r="E11">
        <v>0</v>
      </c>
      <c r="F11">
        <v>0</v>
      </c>
      <c r="G11">
        <v>8</v>
      </c>
      <c r="H11">
        <v>0</v>
      </c>
      <c r="I11">
        <v>0</v>
      </c>
      <c r="J11">
        <v>3</v>
      </c>
      <c r="K11">
        <v>15</v>
      </c>
      <c r="L11">
        <v>0</v>
      </c>
      <c r="O11">
        <v>1</v>
      </c>
      <c r="P11" t="s">
        <v>21</v>
      </c>
      <c r="Q11" t="s">
        <v>65</v>
      </c>
      <c r="R11">
        <v>175</v>
      </c>
      <c r="S11">
        <v>0</v>
      </c>
      <c r="T11">
        <v>0</v>
      </c>
      <c r="U11">
        <v>62</v>
      </c>
      <c r="V11">
        <v>0</v>
      </c>
      <c r="W11">
        <v>0</v>
      </c>
      <c r="X11">
        <v>58</v>
      </c>
      <c r="Y11">
        <v>44</v>
      </c>
      <c r="Z11">
        <v>11</v>
      </c>
      <c r="AB11">
        <v>658</v>
      </c>
    </row>
    <row r="12" spans="1:28" x14ac:dyDescent="0.25">
      <c r="A12">
        <v>19</v>
      </c>
      <c r="B12" t="s">
        <v>42</v>
      </c>
      <c r="C12" t="s">
        <v>24</v>
      </c>
      <c r="D12">
        <v>66</v>
      </c>
      <c r="E12">
        <v>0</v>
      </c>
      <c r="F12">
        <v>0</v>
      </c>
      <c r="G12">
        <v>16</v>
      </c>
      <c r="H12">
        <v>3</v>
      </c>
      <c r="I12">
        <v>0</v>
      </c>
      <c r="J12">
        <v>6</v>
      </c>
      <c r="K12">
        <v>7</v>
      </c>
      <c r="L12">
        <v>34</v>
      </c>
      <c r="O12">
        <v>1</v>
      </c>
      <c r="P12" t="s">
        <v>21</v>
      </c>
      <c r="Q12" t="s">
        <v>8</v>
      </c>
      <c r="R12">
        <v>244</v>
      </c>
      <c r="S12">
        <v>0</v>
      </c>
      <c r="T12">
        <v>0</v>
      </c>
      <c r="U12">
        <v>155</v>
      </c>
      <c r="V12">
        <v>1</v>
      </c>
      <c r="W12">
        <v>0</v>
      </c>
      <c r="X12">
        <v>46</v>
      </c>
      <c r="Y12">
        <v>41</v>
      </c>
      <c r="Z12">
        <v>1</v>
      </c>
      <c r="AB12">
        <v>810</v>
      </c>
    </row>
    <row r="13" spans="1:28" x14ac:dyDescent="0.25">
      <c r="A13">
        <v>19</v>
      </c>
      <c r="B13" t="s">
        <v>42</v>
      </c>
      <c r="C13" t="s">
        <v>66</v>
      </c>
      <c r="D13">
        <v>72</v>
      </c>
      <c r="E13">
        <v>0</v>
      </c>
      <c r="F13">
        <v>0</v>
      </c>
      <c r="G13">
        <v>14</v>
      </c>
      <c r="H13">
        <v>1</v>
      </c>
      <c r="I13">
        <v>0</v>
      </c>
      <c r="J13">
        <v>1</v>
      </c>
      <c r="K13">
        <v>43</v>
      </c>
      <c r="L13">
        <v>13</v>
      </c>
      <c r="O13">
        <v>1</v>
      </c>
      <c r="P13" t="s">
        <v>21</v>
      </c>
      <c r="Q13" t="s">
        <v>6</v>
      </c>
      <c r="R13">
        <v>457</v>
      </c>
      <c r="S13">
        <v>0</v>
      </c>
      <c r="T13">
        <v>0</v>
      </c>
      <c r="U13">
        <v>254</v>
      </c>
      <c r="V13">
        <v>1</v>
      </c>
      <c r="W13">
        <v>0</v>
      </c>
      <c r="X13">
        <v>102</v>
      </c>
      <c r="Y13">
        <v>89</v>
      </c>
      <c r="Z13">
        <v>11</v>
      </c>
      <c r="AB13">
        <v>1533</v>
      </c>
    </row>
    <row r="14" spans="1:28" x14ac:dyDescent="0.25">
      <c r="A14">
        <v>33</v>
      </c>
      <c r="B14" t="s">
        <v>53</v>
      </c>
      <c r="C14" t="s">
        <v>22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O14">
        <v>1</v>
      </c>
      <c r="P14" t="s">
        <v>21</v>
      </c>
      <c r="Q14" t="s">
        <v>1</v>
      </c>
      <c r="R14">
        <v>610</v>
      </c>
      <c r="S14">
        <v>0</v>
      </c>
      <c r="T14">
        <v>0</v>
      </c>
      <c r="U14">
        <v>168</v>
      </c>
      <c r="V14">
        <v>2</v>
      </c>
      <c r="W14">
        <v>0</v>
      </c>
      <c r="X14">
        <v>79</v>
      </c>
      <c r="Y14">
        <v>356</v>
      </c>
      <c r="Z14">
        <v>5</v>
      </c>
      <c r="AB14">
        <v>53</v>
      </c>
    </row>
    <row r="15" spans="1:28" x14ac:dyDescent="0.25">
      <c r="A15">
        <v>33</v>
      </c>
      <c r="B15" t="s">
        <v>53</v>
      </c>
      <c r="C15" t="s">
        <v>4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O15">
        <v>1</v>
      </c>
      <c r="P15" t="s">
        <v>21</v>
      </c>
      <c r="Q15" t="s">
        <v>24</v>
      </c>
      <c r="R15">
        <v>1700</v>
      </c>
      <c r="S15">
        <v>0</v>
      </c>
      <c r="T15">
        <v>0</v>
      </c>
      <c r="U15">
        <v>401</v>
      </c>
      <c r="V15">
        <v>35</v>
      </c>
      <c r="W15">
        <v>1</v>
      </c>
      <c r="X15">
        <v>201</v>
      </c>
      <c r="Y15">
        <v>186</v>
      </c>
      <c r="Z15">
        <v>876</v>
      </c>
      <c r="AB15">
        <v>1291</v>
      </c>
    </row>
    <row r="16" spans="1:28" x14ac:dyDescent="0.25">
      <c r="A16">
        <v>33</v>
      </c>
      <c r="B16" t="s">
        <v>53</v>
      </c>
      <c r="C16" t="s">
        <v>5</v>
      </c>
      <c r="D16">
        <v>6</v>
      </c>
      <c r="E16">
        <v>0</v>
      </c>
      <c r="F16">
        <v>0</v>
      </c>
      <c r="G16">
        <v>3</v>
      </c>
      <c r="H16">
        <v>0</v>
      </c>
      <c r="I16">
        <v>0</v>
      </c>
      <c r="J16">
        <v>1</v>
      </c>
      <c r="K16">
        <v>2</v>
      </c>
      <c r="L16">
        <v>0</v>
      </c>
      <c r="O16">
        <v>1</v>
      </c>
      <c r="P16" t="s">
        <v>21</v>
      </c>
      <c r="Q16" t="s">
        <v>66</v>
      </c>
      <c r="R16">
        <v>1877</v>
      </c>
      <c r="S16">
        <v>0</v>
      </c>
      <c r="T16">
        <v>0</v>
      </c>
      <c r="U16">
        <v>212</v>
      </c>
      <c r="V16">
        <v>12</v>
      </c>
      <c r="W16">
        <v>0</v>
      </c>
      <c r="X16">
        <v>49</v>
      </c>
      <c r="Y16">
        <v>1224</v>
      </c>
      <c r="Z16">
        <v>380</v>
      </c>
      <c r="AB16">
        <v>695</v>
      </c>
    </row>
    <row r="17" spans="1:28" x14ac:dyDescent="0.25">
      <c r="A17">
        <v>33</v>
      </c>
      <c r="B17" t="s">
        <v>53</v>
      </c>
      <c r="C17" t="s">
        <v>63</v>
      </c>
      <c r="D17">
        <v>9</v>
      </c>
      <c r="E17">
        <v>0</v>
      </c>
      <c r="F17">
        <v>0</v>
      </c>
      <c r="G17">
        <v>7</v>
      </c>
      <c r="H17">
        <v>0</v>
      </c>
      <c r="I17">
        <v>0</v>
      </c>
      <c r="J17">
        <v>0</v>
      </c>
      <c r="K17">
        <v>2</v>
      </c>
      <c r="L17">
        <v>0</v>
      </c>
      <c r="O17">
        <v>2</v>
      </c>
      <c r="P17" t="s">
        <v>25</v>
      </c>
      <c r="Q17" t="s">
        <v>68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B17">
        <v>197</v>
      </c>
    </row>
    <row r="18" spans="1:28" x14ac:dyDescent="0.25">
      <c r="A18">
        <v>33</v>
      </c>
      <c r="B18" t="s">
        <v>53</v>
      </c>
      <c r="C18" t="s">
        <v>23</v>
      </c>
      <c r="D18">
        <v>14</v>
      </c>
      <c r="E18">
        <v>0</v>
      </c>
      <c r="F18">
        <v>0</v>
      </c>
      <c r="G18">
        <v>3</v>
      </c>
      <c r="H18">
        <v>0</v>
      </c>
      <c r="I18">
        <v>0</v>
      </c>
      <c r="J18">
        <v>8</v>
      </c>
      <c r="K18">
        <v>3</v>
      </c>
      <c r="L18">
        <v>0</v>
      </c>
      <c r="O18">
        <v>2</v>
      </c>
      <c r="P18" t="s">
        <v>25</v>
      </c>
      <c r="Q18" t="s">
        <v>67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B18">
        <f>SUM(AB1:AB17)</f>
        <v>13325</v>
      </c>
    </row>
    <row r="19" spans="1:28" x14ac:dyDescent="0.25">
      <c r="A19">
        <v>33</v>
      </c>
      <c r="B19" t="s">
        <v>53</v>
      </c>
      <c r="C19" t="s">
        <v>64</v>
      </c>
      <c r="D19">
        <v>16</v>
      </c>
      <c r="E19">
        <v>0</v>
      </c>
      <c r="F19">
        <v>0</v>
      </c>
      <c r="G19">
        <v>6</v>
      </c>
      <c r="H19">
        <v>0</v>
      </c>
      <c r="I19">
        <v>0</v>
      </c>
      <c r="J19">
        <v>3</v>
      </c>
      <c r="K19">
        <v>7</v>
      </c>
      <c r="L19">
        <v>0</v>
      </c>
      <c r="O19">
        <v>2</v>
      </c>
      <c r="P19" t="s">
        <v>25</v>
      </c>
      <c r="Q19" t="s">
        <v>62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8" x14ac:dyDescent="0.25">
      <c r="A20">
        <v>33</v>
      </c>
      <c r="B20" t="s">
        <v>53</v>
      </c>
      <c r="C20" t="s">
        <v>65</v>
      </c>
      <c r="D20">
        <v>18</v>
      </c>
      <c r="E20">
        <v>0</v>
      </c>
      <c r="F20">
        <v>0</v>
      </c>
      <c r="G20">
        <v>6</v>
      </c>
      <c r="H20">
        <v>0</v>
      </c>
      <c r="I20">
        <v>0</v>
      </c>
      <c r="J20">
        <v>8</v>
      </c>
      <c r="K20">
        <v>3</v>
      </c>
      <c r="L20">
        <v>1</v>
      </c>
      <c r="O20">
        <v>2</v>
      </c>
      <c r="P20" t="s">
        <v>25</v>
      </c>
      <c r="Q20" t="s">
        <v>71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8" x14ac:dyDescent="0.25">
      <c r="A21">
        <v>33</v>
      </c>
      <c r="B21" t="s">
        <v>53</v>
      </c>
      <c r="C21" t="s">
        <v>8</v>
      </c>
      <c r="D21">
        <v>27</v>
      </c>
      <c r="E21">
        <v>0</v>
      </c>
      <c r="F21">
        <v>0</v>
      </c>
      <c r="G21">
        <v>16</v>
      </c>
      <c r="H21">
        <v>0</v>
      </c>
      <c r="I21">
        <v>0</v>
      </c>
      <c r="J21">
        <v>3</v>
      </c>
      <c r="K21">
        <v>8</v>
      </c>
      <c r="L21">
        <v>0</v>
      </c>
      <c r="O21">
        <v>2</v>
      </c>
      <c r="P21" t="s">
        <v>25</v>
      </c>
      <c r="Q21" t="s">
        <v>70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8" x14ac:dyDescent="0.25">
      <c r="A22">
        <v>33</v>
      </c>
      <c r="B22" t="s">
        <v>53</v>
      </c>
      <c r="C22" t="s">
        <v>6</v>
      </c>
      <c r="D22">
        <v>58</v>
      </c>
      <c r="E22">
        <v>0</v>
      </c>
      <c r="F22">
        <v>0</v>
      </c>
      <c r="G22">
        <v>29</v>
      </c>
      <c r="H22">
        <v>2</v>
      </c>
      <c r="I22">
        <v>0</v>
      </c>
      <c r="J22">
        <v>11</v>
      </c>
      <c r="K22">
        <v>15</v>
      </c>
      <c r="L22">
        <v>1</v>
      </c>
      <c r="O22">
        <v>2</v>
      </c>
      <c r="P22" t="s">
        <v>25</v>
      </c>
      <c r="Q22" t="s">
        <v>69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</row>
    <row r="23" spans="1:28" x14ac:dyDescent="0.25">
      <c r="A23">
        <v>33</v>
      </c>
      <c r="B23" t="s">
        <v>53</v>
      </c>
      <c r="C23" t="s">
        <v>1</v>
      </c>
      <c r="D23">
        <v>63</v>
      </c>
      <c r="E23">
        <v>0</v>
      </c>
      <c r="F23">
        <v>0</v>
      </c>
      <c r="G23">
        <v>20</v>
      </c>
      <c r="H23">
        <v>0</v>
      </c>
      <c r="I23">
        <v>0</v>
      </c>
      <c r="J23">
        <v>6</v>
      </c>
      <c r="K23">
        <v>36</v>
      </c>
      <c r="L23">
        <v>1</v>
      </c>
      <c r="O23">
        <v>2</v>
      </c>
      <c r="P23" t="s">
        <v>25</v>
      </c>
      <c r="Q23" t="s">
        <v>5</v>
      </c>
      <c r="R23">
        <v>29</v>
      </c>
      <c r="S23">
        <v>0</v>
      </c>
      <c r="T23">
        <v>0</v>
      </c>
      <c r="U23">
        <v>18</v>
      </c>
      <c r="V23">
        <v>0</v>
      </c>
      <c r="W23">
        <v>0</v>
      </c>
      <c r="X23">
        <v>5</v>
      </c>
      <c r="Y23">
        <v>5</v>
      </c>
      <c r="Z23">
        <v>1</v>
      </c>
    </row>
    <row r="24" spans="1:28" x14ac:dyDescent="0.25">
      <c r="A24">
        <v>33</v>
      </c>
      <c r="B24" t="s">
        <v>53</v>
      </c>
      <c r="C24" t="s">
        <v>24</v>
      </c>
      <c r="D24">
        <v>243</v>
      </c>
      <c r="E24">
        <v>0</v>
      </c>
      <c r="F24">
        <v>0</v>
      </c>
      <c r="G24">
        <v>73</v>
      </c>
      <c r="H24">
        <v>16</v>
      </c>
      <c r="I24">
        <v>0</v>
      </c>
      <c r="J24">
        <v>21</v>
      </c>
      <c r="K24">
        <v>13</v>
      </c>
      <c r="L24">
        <v>120</v>
      </c>
      <c r="O24">
        <v>2</v>
      </c>
      <c r="P24" t="s">
        <v>25</v>
      </c>
      <c r="Q24" t="s">
        <v>63</v>
      </c>
      <c r="R24">
        <v>44</v>
      </c>
      <c r="S24">
        <v>0</v>
      </c>
      <c r="T24">
        <v>0</v>
      </c>
      <c r="U24">
        <v>12</v>
      </c>
      <c r="V24">
        <v>0</v>
      </c>
      <c r="W24">
        <v>0</v>
      </c>
      <c r="X24">
        <v>10</v>
      </c>
      <c r="Y24">
        <v>22</v>
      </c>
      <c r="Z24">
        <v>0</v>
      </c>
    </row>
    <row r="25" spans="1:28" x14ac:dyDescent="0.25">
      <c r="A25">
        <v>33</v>
      </c>
      <c r="B25" t="s">
        <v>53</v>
      </c>
      <c r="C25" t="s">
        <v>66</v>
      </c>
      <c r="D25">
        <v>269</v>
      </c>
      <c r="E25">
        <v>0</v>
      </c>
      <c r="F25">
        <v>0</v>
      </c>
      <c r="G25">
        <v>43</v>
      </c>
      <c r="H25">
        <v>4</v>
      </c>
      <c r="I25">
        <v>0</v>
      </c>
      <c r="J25">
        <v>5</v>
      </c>
      <c r="K25">
        <v>185</v>
      </c>
      <c r="L25">
        <v>32</v>
      </c>
      <c r="O25">
        <v>2</v>
      </c>
      <c r="P25" t="s">
        <v>25</v>
      </c>
      <c r="Q25" t="s">
        <v>4</v>
      </c>
      <c r="R25">
        <v>81</v>
      </c>
      <c r="S25">
        <v>0</v>
      </c>
      <c r="T25">
        <v>0</v>
      </c>
      <c r="U25">
        <v>20</v>
      </c>
      <c r="V25">
        <v>1</v>
      </c>
      <c r="W25">
        <v>1</v>
      </c>
      <c r="X25">
        <v>0</v>
      </c>
      <c r="Y25">
        <v>59</v>
      </c>
      <c r="Z25">
        <v>0</v>
      </c>
    </row>
    <row r="26" spans="1:28" x14ac:dyDescent="0.25">
      <c r="A26">
        <v>34</v>
      </c>
      <c r="B26" t="s">
        <v>54</v>
      </c>
      <c r="C26" t="s">
        <v>72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2</v>
      </c>
      <c r="P26" t="s">
        <v>25</v>
      </c>
      <c r="Q26" t="s">
        <v>22</v>
      </c>
      <c r="R26">
        <v>82</v>
      </c>
      <c r="S26">
        <v>0</v>
      </c>
      <c r="T26">
        <v>0</v>
      </c>
      <c r="U26">
        <v>12</v>
      </c>
      <c r="V26">
        <v>1</v>
      </c>
      <c r="W26">
        <v>0</v>
      </c>
      <c r="X26">
        <v>1</v>
      </c>
      <c r="Y26">
        <v>68</v>
      </c>
      <c r="Z26">
        <v>0</v>
      </c>
    </row>
    <row r="27" spans="1:28" x14ac:dyDescent="0.25">
      <c r="A27">
        <v>34</v>
      </c>
      <c r="B27" t="s">
        <v>54</v>
      </c>
      <c r="C27" t="s">
        <v>22</v>
      </c>
      <c r="D27">
        <v>13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10</v>
      </c>
      <c r="L27">
        <v>0</v>
      </c>
      <c r="O27">
        <v>2</v>
      </c>
      <c r="P27" t="s">
        <v>25</v>
      </c>
      <c r="Q27" t="s">
        <v>64</v>
      </c>
      <c r="R27">
        <v>90</v>
      </c>
      <c r="S27">
        <v>0</v>
      </c>
      <c r="T27">
        <v>2</v>
      </c>
      <c r="U27">
        <v>45</v>
      </c>
      <c r="V27">
        <v>1</v>
      </c>
      <c r="W27">
        <v>0</v>
      </c>
      <c r="X27">
        <v>17</v>
      </c>
      <c r="Y27">
        <v>24</v>
      </c>
      <c r="Z27">
        <v>1</v>
      </c>
    </row>
    <row r="28" spans="1:28" x14ac:dyDescent="0.25">
      <c r="A28">
        <v>34</v>
      </c>
      <c r="B28" t="s">
        <v>54</v>
      </c>
      <c r="C28" t="s">
        <v>4</v>
      </c>
      <c r="D28">
        <v>13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8</v>
      </c>
      <c r="L28">
        <v>0</v>
      </c>
      <c r="O28">
        <v>2</v>
      </c>
      <c r="P28" t="s">
        <v>25</v>
      </c>
      <c r="Q28" t="s">
        <v>65</v>
      </c>
      <c r="R28">
        <v>99</v>
      </c>
      <c r="S28">
        <v>0</v>
      </c>
      <c r="T28">
        <v>0</v>
      </c>
      <c r="U28">
        <v>26</v>
      </c>
      <c r="V28">
        <v>0</v>
      </c>
      <c r="W28">
        <v>0</v>
      </c>
      <c r="X28">
        <v>42</v>
      </c>
      <c r="Y28">
        <v>23</v>
      </c>
      <c r="Z28">
        <v>8</v>
      </c>
    </row>
    <row r="29" spans="1:28" x14ac:dyDescent="0.25">
      <c r="A29">
        <v>34</v>
      </c>
      <c r="B29" t="s">
        <v>54</v>
      </c>
      <c r="C29" t="s">
        <v>65</v>
      </c>
      <c r="D29">
        <v>16</v>
      </c>
      <c r="E29">
        <v>0</v>
      </c>
      <c r="F29">
        <v>0</v>
      </c>
      <c r="G29">
        <v>4</v>
      </c>
      <c r="H29">
        <v>0</v>
      </c>
      <c r="I29">
        <v>0</v>
      </c>
      <c r="J29">
        <v>5</v>
      </c>
      <c r="K29">
        <v>5</v>
      </c>
      <c r="L29">
        <v>2</v>
      </c>
      <c r="O29">
        <v>2</v>
      </c>
      <c r="P29" t="s">
        <v>25</v>
      </c>
      <c r="Q29" t="s">
        <v>23</v>
      </c>
      <c r="R29">
        <v>100</v>
      </c>
      <c r="S29">
        <v>0</v>
      </c>
      <c r="T29">
        <v>0</v>
      </c>
      <c r="U29">
        <v>67</v>
      </c>
      <c r="V29">
        <v>0</v>
      </c>
      <c r="W29">
        <v>0</v>
      </c>
      <c r="X29">
        <v>12</v>
      </c>
      <c r="Y29">
        <v>18</v>
      </c>
      <c r="Z29">
        <v>3</v>
      </c>
    </row>
    <row r="30" spans="1:28" x14ac:dyDescent="0.25">
      <c r="A30">
        <v>34</v>
      </c>
      <c r="B30" t="s">
        <v>54</v>
      </c>
      <c r="C30" t="s">
        <v>5</v>
      </c>
      <c r="D30">
        <v>17</v>
      </c>
      <c r="E30">
        <v>0</v>
      </c>
      <c r="F30">
        <v>0</v>
      </c>
      <c r="G30">
        <v>4</v>
      </c>
      <c r="H30">
        <v>0</v>
      </c>
      <c r="I30">
        <v>0</v>
      </c>
      <c r="J30">
        <v>1</v>
      </c>
      <c r="K30">
        <v>12</v>
      </c>
      <c r="L30">
        <v>0</v>
      </c>
      <c r="O30">
        <v>2</v>
      </c>
      <c r="P30" t="s">
        <v>25</v>
      </c>
      <c r="Q30" t="s">
        <v>8</v>
      </c>
      <c r="R30">
        <v>229</v>
      </c>
      <c r="S30">
        <v>0</v>
      </c>
      <c r="T30">
        <v>0</v>
      </c>
      <c r="U30">
        <v>139</v>
      </c>
      <c r="V30">
        <v>0</v>
      </c>
      <c r="W30">
        <v>2</v>
      </c>
      <c r="X30">
        <v>49</v>
      </c>
      <c r="Y30">
        <v>35</v>
      </c>
      <c r="Z30">
        <v>4</v>
      </c>
    </row>
    <row r="31" spans="1:28" x14ac:dyDescent="0.25">
      <c r="A31">
        <v>34</v>
      </c>
      <c r="B31" t="s">
        <v>54</v>
      </c>
      <c r="C31" t="s">
        <v>63</v>
      </c>
      <c r="D31">
        <v>28</v>
      </c>
      <c r="E31">
        <v>0</v>
      </c>
      <c r="F31">
        <v>0</v>
      </c>
      <c r="G31">
        <v>12</v>
      </c>
      <c r="H31">
        <v>0</v>
      </c>
      <c r="I31">
        <v>0</v>
      </c>
      <c r="J31">
        <v>3</v>
      </c>
      <c r="K31">
        <v>10</v>
      </c>
      <c r="L31">
        <v>3</v>
      </c>
      <c r="O31">
        <v>2</v>
      </c>
      <c r="P31" t="s">
        <v>25</v>
      </c>
      <c r="Q31" t="s">
        <v>6</v>
      </c>
      <c r="R31">
        <v>410</v>
      </c>
      <c r="S31">
        <v>0</v>
      </c>
      <c r="T31">
        <v>0</v>
      </c>
      <c r="U31">
        <v>215</v>
      </c>
      <c r="V31">
        <v>2</v>
      </c>
      <c r="W31">
        <v>1</v>
      </c>
      <c r="X31">
        <v>101</v>
      </c>
      <c r="Y31">
        <v>80</v>
      </c>
      <c r="Z31">
        <v>11</v>
      </c>
    </row>
    <row r="32" spans="1:28" x14ac:dyDescent="0.25">
      <c r="A32">
        <v>34</v>
      </c>
      <c r="B32" t="s">
        <v>54</v>
      </c>
      <c r="C32" t="s">
        <v>23</v>
      </c>
      <c r="D32">
        <v>28</v>
      </c>
      <c r="E32">
        <v>0</v>
      </c>
      <c r="F32">
        <v>0</v>
      </c>
      <c r="G32">
        <v>13</v>
      </c>
      <c r="H32">
        <v>0</v>
      </c>
      <c r="I32">
        <v>0</v>
      </c>
      <c r="J32">
        <v>8</v>
      </c>
      <c r="K32">
        <v>6</v>
      </c>
      <c r="L32">
        <v>1</v>
      </c>
      <c r="O32">
        <v>2</v>
      </c>
      <c r="P32" t="s">
        <v>25</v>
      </c>
      <c r="Q32" t="s">
        <v>1</v>
      </c>
      <c r="R32">
        <v>507</v>
      </c>
      <c r="S32">
        <v>0</v>
      </c>
      <c r="T32">
        <v>0</v>
      </c>
      <c r="U32">
        <v>140</v>
      </c>
      <c r="V32">
        <v>0</v>
      </c>
      <c r="W32">
        <v>0</v>
      </c>
      <c r="X32">
        <v>56</v>
      </c>
      <c r="Y32">
        <v>310</v>
      </c>
      <c r="Z32">
        <v>1</v>
      </c>
    </row>
    <row r="33" spans="1:26" x14ac:dyDescent="0.25">
      <c r="A33">
        <v>34</v>
      </c>
      <c r="B33" t="s">
        <v>54</v>
      </c>
      <c r="C33" t="s">
        <v>64</v>
      </c>
      <c r="D33">
        <v>38</v>
      </c>
      <c r="E33">
        <v>0</v>
      </c>
      <c r="F33">
        <v>0</v>
      </c>
      <c r="G33">
        <v>17</v>
      </c>
      <c r="H33">
        <v>0</v>
      </c>
      <c r="I33">
        <v>0</v>
      </c>
      <c r="J33">
        <v>6</v>
      </c>
      <c r="K33">
        <v>15</v>
      </c>
      <c r="L33">
        <v>0</v>
      </c>
      <c r="O33">
        <v>2</v>
      </c>
      <c r="P33" t="s">
        <v>25</v>
      </c>
      <c r="Q33" t="s">
        <v>24</v>
      </c>
      <c r="R33">
        <v>1339</v>
      </c>
      <c r="S33">
        <v>0</v>
      </c>
      <c r="T33">
        <v>0</v>
      </c>
      <c r="U33">
        <v>301</v>
      </c>
      <c r="V33">
        <v>40</v>
      </c>
      <c r="W33">
        <v>4</v>
      </c>
      <c r="X33">
        <v>128</v>
      </c>
      <c r="Y33">
        <v>159</v>
      </c>
      <c r="Z33">
        <v>707</v>
      </c>
    </row>
    <row r="34" spans="1:26" x14ac:dyDescent="0.25">
      <c r="A34">
        <v>34</v>
      </c>
      <c r="B34" t="s">
        <v>54</v>
      </c>
      <c r="C34" t="s">
        <v>8</v>
      </c>
      <c r="D34">
        <v>67</v>
      </c>
      <c r="E34">
        <v>0</v>
      </c>
      <c r="F34">
        <v>0</v>
      </c>
      <c r="G34">
        <v>40</v>
      </c>
      <c r="H34">
        <v>0</v>
      </c>
      <c r="I34">
        <v>0</v>
      </c>
      <c r="J34">
        <v>11</v>
      </c>
      <c r="K34">
        <v>16</v>
      </c>
      <c r="L34">
        <v>0</v>
      </c>
      <c r="O34">
        <v>2</v>
      </c>
      <c r="P34" t="s">
        <v>25</v>
      </c>
      <c r="Q34" t="s">
        <v>66</v>
      </c>
      <c r="R34">
        <v>1477</v>
      </c>
      <c r="S34">
        <v>0</v>
      </c>
      <c r="T34">
        <v>0</v>
      </c>
      <c r="U34">
        <v>195</v>
      </c>
      <c r="V34">
        <v>14</v>
      </c>
      <c r="W34">
        <v>0</v>
      </c>
      <c r="X34">
        <v>49</v>
      </c>
      <c r="Y34">
        <v>920</v>
      </c>
      <c r="Z34">
        <v>299</v>
      </c>
    </row>
    <row r="35" spans="1:26" x14ac:dyDescent="0.25">
      <c r="A35">
        <v>34</v>
      </c>
      <c r="B35" t="s">
        <v>54</v>
      </c>
      <c r="C35" t="s">
        <v>6</v>
      </c>
      <c r="D35">
        <v>113</v>
      </c>
      <c r="E35">
        <v>0</v>
      </c>
      <c r="F35">
        <v>0</v>
      </c>
      <c r="G35">
        <v>53</v>
      </c>
      <c r="H35">
        <v>1</v>
      </c>
      <c r="I35">
        <v>0</v>
      </c>
      <c r="J35">
        <v>26</v>
      </c>
      <c r="K35">
        <v>31</v>
      </c>
      <c r="L35">
        <v>2</v>
      </c>
      <c r="O35">
        <v>3</v>
      </c>
      <c r="P35" t="s">
        <v>26</v>
      </c>
      <c r="Q35" t="s">
        <v>11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>
        <v>34</v>
      </c>
      <c r="B36" t="s">
        <v>54</v>
      </c>
      <c r="C36" t="s">
        <v>1</v>
      </c>
      <c r="D36">
        <v>120</v>
      </c>
      <c r="E36">
        <v>0</v>
      </c>
      <c r="F36">
        <v>0</v>
      </c>
      <c r="G36">
        <v>21</v>
      </c>
      <c r="H36">
        <v>0</v>
      </c>
      <c r="I36">
        <v>0</v>
      </c>
      <c r="J36">
        <v>16</v>
      </c>
      <c r="K36">
        <v>83</v>
      </c>
      <c r="L36">
        <v>0</v>
      </c>
      <c r="O36">
        <v>3</v>
      </c>
      <c r="P36" t="s">
        <v>26</v>
      </c>
      <c r="Q36" t="s">
        <v>5</v>
      </c>
      <c r="R36">
        <v>27</v>
      </c>
      <c r="S36">
        <v>0</v>
      </c>
      <c r="T36">
        <v>0</v>
      </c>
      <c r="U36">
        <v>12</v>
      </c>
      <c r="V36">
        <v>0</v>
      </c>
      <c r="W36">
        <v>0</v>
      </c>
      <c r="X36">
        <v>8</v>
      </c>
      <c r="Y36">
        <v>7</v>
      </c>
      <c r="Z36">
        <v>0</v>
      </c>
    </row>
    <row r="37" spans="1:26" x14ac:dyDescent="0.25">
      <c r="A37">
        <v>34</v>
      </c>
      <c r="B37" t="s">
        <v>54</v>
      </c>
      <c r="C37" t="s">
        <v>24</v>
      </c>
      <c r="D37">
        <v>277</v>
      </c>
      <c r="E37">
        <v>0</v>
      </c>
      <c r="F37">
        <v>0</v>
      </c>
      <c r="G37">
        <v>41</v>
      </c>
      <c r="H37">
        <v>5</v>
      </c>
      <c r="I37">
        <v>0</v>
      </c>
      <c r="J37">
        <v>19</v>
      </c>
      <c r="K37">
        <v>45</v>
      </c>
      <c r="L37">
        <v>167</v>
      </c>
      <c r="O37">
        <v>3</v>
      </c>
      <c r="P37" t="s">
        <v>26</v>
      </c>
      <c r="Q37" t="s">
        <v>22</v>
      </c>
      <c r="R37">
        <v>55</v>
      </c>
      <c r="S37">
        <v>0</v>
      </c>
      <c r="T37">
        <v>0</v>
      </c>
      <c r="U37">
        <v>7</v>
      </c>
      <c r="V37">
        <v>1</v>
      </c>
      <c r="W37">
        <v>0</v>
      </c>
      <c r="X37">
        <v>0</v>
      </c>
      <c r="Y37">
        <v>47</v>
      </c>
      <c r="Z37">
        <v>0</v>
      </c>
    </row>
    <row r="38" spans="1:26" x14ac:dyDescent="0.25">
      <c r="A38">
        <v>34</v>
      </c>
      <c r="B38" t="s">
        <v>54</v>
      </c>
      <c r="C38" t="s">
        <v>66</v>
      </c>
      <c r="D38">
        <v>284</v>
      </c>
      <c r="E38">
        <v>0</v>
      </c>
      <c r="F38">
        <v>0</v>
      </c>
      <c r="G38">
        <v>24</v>
      </c>
      <c r="H38">
        <v>3</v>
      </c>
      <c r="I38">
        <v>0</v>
      </c>
      <c r="J38">
        <v>6</v>
      </c>
      <c r="K38">
        <v>196</v>
      </c>
      <c r="L38">
        <v>55</v>
      </c>
      <c r="O38">
        <v>3</v>
      </c>
      <c r="P38" t="s">
        <v>26</v>
      </c>
      <c r="Q38" t="s">
        <v>65</v>
      </c>
      <c r="R38">
        <v>55</v>
      </c>
      <c r="S38">
        <v>0</v>
      </c>
      <c r="T38">
        <v>0</v>
      </c>
      <c r="U38">
        <v>20</v>
      </c>
      <c r="V38">
        <v>1</v>
      </c>
      <c r="W38">
        <v>0</v>
      </c>
      <c r="X38">
        <v>14</v>
      </c>
      <c r="Y38">
        <v>15</v>
      </c>
      <c r="Z38">
        <v>5</v>
      </c>
    </row>
    <row r="39" spans="1:26" x14ac:dyDescent="0.25">
      <c r="A39">
        <v>35</v>
      </c>
      <c r="B39" t="s">
        <v>55</v>
      </c>
      <c r="C39" t="s">
        <v>22</v>
      </c>
      <c r="D39">
        <v>21</v>
      </c>
      <c r="E39">
        <v>0</v>
      </c>
      <c r="F39">
        <v>0</v>
      </c>
      <c r="G39">
        <v>5</v>
      </c>
      <c r="H39">
        <v>0</v>
      </c>
      <c r="I39">
        <v>0</v>
      </c>
      <c r="J39">
        <v>0</v>
      </c>
      <c r="K39">
        <v>16</v>
      </c>
      <c r="L39">
        <v>0</v>
      </c>
      <c r="O39">
        <v>3</v>
      </c>
      <c r="P39" t="s">
        <v>26</v>
      </c>
      <c r="Q39" t="s">
        <v>4</v>
      </c>
      <c r="R39">
        <v>56</v>
      </c>
      <c r="S39">
        <v>0</v>
      </c>
      <c r="T39">
        <v>0</v>
      </c>
      <c r="U39">
        <v>16</v>
      </c>
      <c r="V39">
        <v>2</v>
      </c>
      <c r="W39">
        <v>0</v>
      </c>
      <c r="X39">
        <v>0</v>
      </c>
      <c r="Y39">
        <v>38</v>
      </c>
      <c r="Z39">
        <v>0</v>
      </c>
    </row>
    <row r="40" spans="1:26" x14ac:dyDescent="0.25">
      <c r="A40">
        <v>35</v>
      </c>
      <c r="B40" t="s">
        <v>55</v>
      </c>
      <c r="C40" t="s">
        <v>4</v>
      </c>
      <c r="D40">
        <v>22</v>
      </c>
      <c r="E40">
        <v>0</v>
      </c>
      <c r="F40">
        <v>0</v>
      </c>
      <c r="G40">
        <v>6</v>
      </c>
      <c r="H40">
        <v>2</v>
      </c>
      <c r="I40">
        <v>0</v>
      </c>
      <c r="J40">
        <v>0</v>
      </c>
      <c r="K40">
        <v>14</v>
      </c>
      <c r="L40">
        <v>0</v>
      </c>
      <c r="O40">
        <v>3</v>
      </c>
      <c r="P40" t="s">
        <v>26</v>
      </c>
      <c r="Q40" t="s">
        <v>63</v>
      </c>
      <c r="R40">
        <v>57</v>
      </c>
      <c r="S40">
        <v>0</v>
      </c>
      <c r="T40">
        <v>0</v>
      </c>
      <c r="U40">
        <v>24</v>
      </c>
      <c r="V40">
        <v>0</v>
      </c>
      <c r="W40">
        <v>0</v>
      </c>
      <c r="X40">
        <v>12</v>
      </c>
      <c r="Y40">
        <v>19</v>
      </c>
      <c r="Z40">
        <v>2</v>
      </c>
    </row>
    <row r="41" spans="1:26" x14ac:dyDescent="0.25">
      <c r="A41">
        <v>35</v>
      </c>
      <c r="B41" t="s">
        <v>55</v>
      </c>
      <c r="C41" t="s">
        <v>63</v>
      </c>
      <c r="D41">
        <v>34</v>
      </c>
      <c r="E41">
        <v>0</v>
      </c>
      <c r="F41">
        <v>0</v>
      </c>
      <c r="G41">
        <v>16</v>
      </c>
      <c r="H41">
        <v>0</v>
      </c>
      <c r="I41">
        <v>0</v>
      </c>
      <c r="J41">
        <v>3</v>
      </c>
      <c r="K41">
        <v>15</v>
      </c>
      <c r="L41">
        <v>0</v>
      </c>
      <c r="O41">
        <v>3</v>
      </c>
      <c r="P41" t="s">
        <v>26</v>
      </c>
      <c r="Q41" t="s">
        <v>64</v>
      </c>
      <c r="R41">
        <v>71</v>
      </c>
      <c r="S41">
        <v>0</v>
      </c>
      <c r="T41">
        <v>0</v>
      </c>
      <c r="U41">
        <v>39</v>
      </c>
      <c r="V41">
        <v>0</v>
      </c>
      <c r="W41">
        <v>0</v>
      </c>
      <c r="X41">
        <v>10</v>
      </c>
      <c r="Y41">
        <v>22</v>
      </c>
      <c r="Z41">
        <v>0</v>
      </c>
    </row>
    <row r="42" spans="1:26" x14ac:dyDescent="0.25">
      <c r="A42">
        <v>35</v>
      </c>
      <c r="B42" t="s">
        <v>55</v>
      </c>
      <c r="C42" t="s">
        <v>65</v>
      </c>
      <c r="D42">
        <v>40</v>
      </c>
      <c r="E42">
        <v>0</v>
      </c>
      <c r="F42">
        <v>0</v>
      </c>
      <c r="G42">
        <v>5</v>
      </c>
      <c r="H42">
        <v>0</v>
      </c>
      <c r="I42">
        <v>0</v>
      </c>
      <c r="J42">
        <v>18</v>
      </c>
      <c r="K42">
        <v>15</v>
      </c>
      <c r="L42">
        <v>2</v>
      </c>
      <c r="O42">
        <v>3</v>
      </c>
      <c r="P42" t="s">
        <v>26</v>
      </c>
      <c r="Q42" t="s">
        <v>23</v>
      </c>
      <c r="R42">
        <v>76</v>
      </c>
      <c r="S42">
        <v>0</v>
      </c>
      <c r="T42">
        <v>0</v>
      </c>
      <c r="U42">
        <v>48</v>
      </c>
      <c r="V42">
        <v>0</v>
      </c>
      <c r="W42">
        <v>0</v>
      </c>
      <c r="X42">
        <v>11</v>
      </c>
      <c r="Y42">
        <v>15</v>
      </c>
      <c r="Z42">
        <v>2</v>
      </c>
    </row>
    <row r="43" spans="1:26" x14ac:dyDescent="0.25">
      <c r="A43">
        <v>35</v>
      </c>
      <c r="B43" t="s">
        <v>55</v>
      </c>
      <c r="C43" t="s">
        <v>23</v>
      </c>
      <c r="D43">
        <v>41</v>
      </c>
      <c r="E43">
        <v>0</v>
      </c>
      <c r="F43">
        <v>0</v>
      </c>
      <c r="G43">
        <v>27</v>
      </c>
      <c r="H43">
        <v>0</v>
      </c>
      <c r="I43">
        <v>0</v>
      </c>
      <c r="J43">
        <v>7</v>
      </c>
      <c r="K43">
        <v>7</v>
      </c>
      <c r="L43">
        <v>0</v>
      </c>
      <c r="O43">
        <v>3</v>
      </c>
      <c r="P43" t="s">
        <v>26</v>
      </c>
      <c r="Q43" t="s">
        <v>8</v>
      </c>
      <c r="R43">
        <v>175</v>
      </c>
      <c r="S43">
        <v>0</v>
      </c>
      <c r="T43">
        <v>0</v>
      </c>
      <c r="U43">
        <v>110</v>
      </c>
      <c r="V43">
        <v>0</v>
      </c>
      <c r="W43">
        <v>0</v>
      </c>
      <c r="X43">
        <v>28</v>
      </c>
      <c r="Y43">
        <v>35</v>
      </c>
      <c r="Z43">
        <v>2</v>
      </c>
    </row>
    <row r="44" spans="1:26" x14ac:dyDescent="0.25">
      <c r="A44">
        <v>35</v>
      </c>
      <c r="B44" t="s">
        <v>55</v>
      </c>
      <c r="C44" t="s">
        <v>64</v>
      </c>
      <c r="D44">
        <v>43</v>
      </c>
      <c r="E44">
        <v>0</v>
      </c>
      <c r="F44">
        <v>0</v>
      </c>
      <c r="G44">
        <v>13</v>
      </c>
      <c r="H44">
        <v>0</v>
      </c>
      <c r="I44">
        <v>0</v>
      </c>
      <c r="J44">
        <v>6</v>
      </c>
      <c r="K44">
        <v>24</v>
      </c>
      <c r="L44">
        <v>0</v>
      </c>
      <c r="O44">
        <v>3</v>
      </c>
      <c r="P44" t="s">
        <v>26</v>
      </c>
      <c r="Q44" t="s">
        <v>1</v>
      </c>
      <c r="R44">
        <v>313</v>
      </c>
      <c r="S44">
        <v>0</v>
      </c>
      <c r="T44">
        <v>0</v>
      </c>
      <c r="U44">
        <v>96</v>
      </c>
      <c r="V44">
        <v>0</v>
      </c>
      <c r="W44">
        <v>0</v>
      </c>
      <c r="X44">
        <v>20</v>
      </c>
      <c r="Y44">
        <v>197</v>
      </c>
      <c r="Z44">
        <v>0</v>
      </c>
    </row>
    <row r="45" spans="1:26" x14ac:dyDescent="0.25">
      <c r="A45">
        <v>35</v>
      </c>
      <c r="B45" t="s">
        <v>55</v>
      </c>
      <c r="C45" t="s">
        <v>5</v>
      </c>
      <c r="D45">
        <v>43</v>
      </c>
      <c r="E45">
        <v>0</v>
      </c>
      <c r="F45">
        <v>0</v>
      </c>
      <c r="G45">
        <v>16</v>
      </c>
      <c r="H45">
        <v>0</v>
      </c>
      <c r="I45">
        <v>0</v>
      </c>
      <c r="J45">
        <v>3</v>
      </c>
      <c r="K45">
        <v>24</v>
      </c>
      <c r="L45">
        <v>0</v>
      </c>
      <c r="O45">
        <v>3</v>
      </c>
      <c r="P45" t="s">
        <v>26</v>
      </c>
      <c r="Q45" t="s">
        <v>6</v>
      </c>
      <c r="R45">
        <v>334</v>
      </c>
      <c r="S45">
        <v>0</v>
      </c>
      <c r="T45">
        <v>0</v>
      </c>
      <c r="U45">
        <v>182</v>
      </c>
      <c r="V45">
        <v>0</v>
      </c>
      <c r="W45">
        <v>0</v>
      </c>
      <c r="X45">
        <v>70</v>
      </c>
      <c r="Y45">
        <v>76</v>
      </c>
      <c r="Z45">
        <v>6</v>
      </c>
    </row>
    <row r="46" spans="1:26" x14ac:dyDescent="0.25">
      <c r="A46">
        <v>35</v>
      </c>
      <c r="B46" t="s">
        <v>55</v>
      </c>
      <c r="C46" t="s">
        <v>8</v>
      </c>
      <c r="D46">
        <v>101</v>
      </c>
      <c r="E46">
        <v>0</v>
      </c>
      <c r="F46">
        <v>0</v>
      </c>
      <c r="G46">
        <v>57</v>
      </c>
      <c r="H46">
        <v>0</v>
      </c>
      <c r="I46">
        <v>0</v>
      </c>
      <c r="J46">
        <v>25</v>
      </c>
      <c r="K46">
        <v>19</v>
      </c>
      <c r="L46">
        <v>0</v>
      </c>
      <c r="O46">
        <v>3</v>
      </c>
      <c r="P46" t="s">
        <v>26</v>
      </c>
      <c r="Q46" t="s">
        <v>24</v>
      </c>
      <c r="R46">
        <v>900</v>
      </c>
      <c r="S46">
        <v>0</v>
      </c>
      <c r="T46">
        <v>0</v>
      </c>
      <c r="U46">
        <v>225</v>
      </c>
      <c r="V46">
        <v>32</v>
      </c>
      <c r="W46">
        <v>0</v>
      </c>
      <c r="X46">
        <v>70</v>
      </c>
      <c r="Y46">
        <v>105</v>
      </c>
      <c r="Z46">
        <v>468</v>
      </c>
    </row>
    <row r="47" spans="1:26" x14ac:dyDescent="0.25">
      <c r="A47">
        <v>35</v>
      </c>
      <c r="B47" t="s">
        <v>55</v>
      </c>
      <c r="C47" t="s">
        <v>6</v>
      </c>
      <c r="D47">
        <v>151</v>
      </c>
      <c r="E47">
        <v>0</v>
      </c>
      <c r="F47">
        <v>0</v>
      </c>
      <c r="G47">
        <v>61</v>
      </c>
      <c r="H47">
        <v>1</v>
      </c>
      <c r="I47">
        <v>0</v>
      </c>
      <c r="J47">
        <v>35</v>
      </c>
      <c r="K47">
        <v>49</v>
      </c>
      <c r="L47">
        <v>5</v>
      </c>
      <c r="O47">
        <v>3</v>
      </c>
      <c r="P47" t="s">
        <v>26</v>
      </c>
      <c r="Q47" t="s">
        <v>66</v>
      </c>
      <c r="R47">
        <v>987</v>
      </c>
      <c r="S47">
        <v>0</v>
      </c>
      <c r="T47">
        <v>0</v>
      </c>
      <c r="U47">
        <v>131</v>
      </c>
      <c r="V47">
        <v>12</v>
      </c>
      <c r="W47">
        <v>0</v>
      </c>
      <c r="X47">
        <v>30</v>
      </c>
      <c r="Y47">
        <v>612</v>
      </c>
      <c r="Z47">
        <v>202</v>
      </c>
    </row>
    <row r="48" spans="1:26" x14ac:dyDescent="0.25">
      <c r="A48">
        <v>35</v>
      </c>
      <c r="B48" t="s">
        <v>55</v>
      </c>
      <c r="C48" t="s">
        <v>1</v>
      </c>
      <c r="D48">
        <v>248</v>
      </c>
      <c r="E48">
        <v>0</v>
      </c>
      <c r="F48">
        <v>0</v>
      </c>
      <c r="G48">
        <v>59</v>
      </c>
      <c r="H48">
        <v>0</v>
      </c>
      <c r="I48">
        <v>0</v>
      </c>
      <c r="J48">
        <v>24</v>
      </c>
      <c r="K48">
        <v>165</v>
      </c>
      <c r="L48">
        <v>0</v>
      </c>
      <c r="O48">
        <v>4</v>
      </c>
      <c r="P48" t="s">
        <v>27</v>
      </c>
      <c r="Q48" t="s">
        <v>72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35</v>
      </c>
      <c r="B49" t="s">
        <v>55</v>
      </c>
      <c r="C49" t="s">
        <v>24</v>
      </c>
      <c r="D49">
        <v>605</v>
      </c>
      <c r="E49">
        <v>0</v>
      </c>
      <c r="F49">
        <v>0</v>
      </c>
      <c r="G49">
        <v>160</v>
      </c>
      <c r="H49">
        <v>7</v>
      </c>
      <c r="I49">
        <v>0</v>
      </c>
      <c r="J49">
        <v>66</v>
      </c>
      <c r="K49">
        <v>94</v>
      </c>
      <c r="L49">
        <v>278</v>
      </c>
      <c r="O49">
        <v>4</v>
      </c>
      <c r="P49" t="s">
        <v>27</v>
      </c>
      <c r="Q49" t="s">
        <v>5</v>
      </c>
      <c r="R49">
        <v>36</v>
      </c>
      <c r="S49">
        <v>0</v>
      </c>
      <c r="T49">
        <v>0</v>
      </c>
      <c r="U49">
        <v>14</v>
      </c>
      <c r="V49">
        <v>0</v>
      </c>
      <c r="W49">
        <v>0</v>
      </c>
      <c r="X49">
        <v>1</v>
      </c>
      <c r="Y49">
        <v>21</v>
      </c>
      <c r="Z49">
        <v>0</v>
      </c>
    </row>
    <row r="50" spans="1:26" x14ac:dyDescent="0.25">
      <c r="A50">
        <v>35</v>
      </c>
      <c r="B50" t="s">
        <v>55</v>
      </c>
      <c r="C50" t="s">
        <v>66</v>
      </c>
      <c r="D50">
        <v>629</v>
      </c>
      <c r="E50">
        <v>0</v>
      </c>
      <c r="F50">
        <v>0</v>
      </c>
      <c r="G50">
        <v>86</v>
      </c>
      <c r="H50">
        <v>4</v>
      </c>
      <c r="I50">
        <v>0</v>
      </c>
      <c r="J50">
        <v>14</v>
      </c>
      <c r="K50">
        <v>428</v>
      </c>
      <c r="L50">
        <v>97</v>
      </c>
      <c r="O50">
        <v>4</v>
      </c>
      <c r="P50" t="s">
        <v>27</v>
      </c>
      <c r="Q50" t="s">
        <v>63</v>
      </c>
      <c r="R50">
        <v>50</v>
      </c>
      <c r="S50">
        <v>0</v>
      </c>
      <c r="T50">
        <v>0</v>
      </c>
      <c r="U50">
        <v>14</v>
      </c>
      <c r="V50">
        <v>0</v>
      </c>
      <c r="W50">
        <v>0</v>
      </c>
      <c r="X50">
        <v>15</v>
      </c>
      <c r="Y50">
        <v>21</v>
      </c>
      <c r="Z50">
        <v>0</v>
      </c>
    </row>
    <row r="51" spans="1:26" x14ac:dyDescent="0.25">
      <c r="A51">
        <v>36</v>
      </c>
      <c r="B51" t="s">
        <v>56</v>
      </c>
      <c r="C51" t="s">
        <v>11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O51">
        <v>4</v>
      </c>
      <c r="P51" t="s">
        <v>27</v>
      </c>
      <c r="Q51" t="s">
        <v>64</v>
      </c>
      <c r="R51">
        <v>88</v>
      </c>
      <c r="S51">
        <v>0</v>
      </c>
      <c r="T51">
        <v>1</v>
      </c>
      <c r="U51">
        <v>43</v>
      </c>
      <c r="V51">
        <v>0</v>
      </c>
      <c r="W51">
        <v>0</v>
      </c>
      <c r="X51">
        <v>15</v>
      </c>
      <c r="Y51">
        <v>29</v>
      </c>
      <c r="Z51">
        <v>0</v>
      </c>
    </row>
    <row r="52" spans="1:26" x14ac:dyDescent="0.25">
      <c r="A52">
        <v>36</v>
      </c>
      <c r="B52" t="s">
        <v>56</v>
      </c>
      <c r="C52" t="s">
        <v>72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O52">
        <v>4</v>
      </c>
      <c r="P52" t="s">
        <v>27</v>
      </c>
      <c r="Q52" t="s">
        <v>22</v>
      </c>
      <c r="R52">
        <v>96</v>
      </c>
      <c r="S52">
        <v>0</v>
      </c>
      <c r="T52">
        <v>0</v>
      </c>
      <c r="U52">
        <v>11</v>
      </c>
      <c r="V52">
        <v>1</v>
      </c>
      <c r="W52">
        <v>0</v>
      </c>
      <c r="X52">
        <v>0</v>
      </c>
      <c r="Y52">
        <v>84</v>
      </c>
      <c r="Z52">
        <v>0</v>
      </c>
    </row>
    <row r="53" spans="1:26" x14ac:dyDescent="0.25">
      <c r="A53">
        <v>36</v>
      </c>
      <c r="B53" t="s">
        <v>56</v>
      </c>
      <c r="C53" t="s">
        <v>22</v>
      </c>
      <c r="D53">
        <v>16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15</v>
      </c>
      <c r="L53">
        <v>0</v>
      </c>
      <c r="O53">
        <v>4</v>
      </c>
      <c r="P53" t="s">
        <v>27</v>
      </c>
      <c r="Q53" t="s">
        <v>4</v>
      </c>
      <c r="R53">
        <v>96</v>
      </c>
      <c r="S53">
        <v>0</v>
      </c>
      <c r="T53">
        <v>0</v>
      </c>
      <c r="U53">
        <v>19</v>
      </c>
      <c r="V53">
        <v>5</v>
      </c>
      <c r="W53">
        <v>0</v>
      </c>
      <c r="X53">
        <v>0</v>
      </c>
      <c r="Y53">
        <v>72</v>
      </c>
      <c r="Z53">
        <v>0</v>
      </c>
    </row>
    <row r="54" spans="1:26" x14ac:dyDescent="0.25">
      <c r="A54">
        <v>36</v>
      </c>
      <c r="B54" t="s">
        <v>56</v>
      </c>
      <c r="C54" t="s">
        <v>4</v>
      </c>
      <c r="D54">
        <v>16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6</v>
      </c>
      <c r="L54">
        <v>0</v>
      </c>
      <c r="O54">
        <v>4</v>
      </c>
      <c r="P54" t="s">
        <v>27</v>
      </c>
      <c r="Q54" t="s">
        <v>23</v>
      </c>
      <c r="R54">
        <v>114</v>
      </c>
      <c r="S54">
        <v>0</v>
      </c>
      <c r="T54">
        <v>0</v>
      </c>
      <c r="U54">
        <v>66</v>
      </c>
      <c r="V54">
        <v>0</v>
      </c>
      <c r="W54">
        <v>0</v>
      </c>
      <c r="X54">
        <v>14</v>
      </c>
      <c r="Y54">
        <v>32</v>
      </c>
      <c r="Z54">
        <v>2</v>
      </c>
    </row>
    <row r="55" spans="1:26" x14ac:dyDescent="0.25">
      <c r="A55">
        <v>36</v>
      </c>
      <c r="B55" t="s">
        <v>56</v>
      </c>
      <c r="C55" t="s">
        <v>5</v>
      </c>
      <c r="D55">
        <v>21</v>
      </c>
      <c r="E55">
        <v>0</v>
      </c>
      <c r="F55">
        <v>0</v>
      </c>
      <c r="G55">
        <v>9</v>
      </c>
      <c r="H55">
        <v>0</v>
      </c>
      <c r="I55">
        <v>0</v>
      </c>
      <c r="J55">
        <v>4</v>
      </c>
      <c r="K55">
        <v>8</v>
      </c>
      <c r="L55">
        <v>0</v>
      </c>
      <c r="O55">
        <v>4</v>
      </c>
      <c r="P55" t="s">
        <v>27</v>
      </c>
      <c r="Q55" t="s">
        <v>65</v>
      </c>
      <c r="R55">
        <v>126</v>
      </c>
      <c r="S55">
        <v>0</v>
      </c>
      <c r="T55">
        <v>0</v>
      </c>
      <c r="U55">
        <v>46</v>
      </c>
      <c r="V55">
        <v>1</v>
      </c>
      <c r="W55">
        <v>0</v>
      </c>
      <c r="X55">
        <v>46</v>
      </c>
      <c r="Y55">
        <v>29</v>
      </c>
      <c r="Z55">
        <v>4</v>
      </c>
    </row>
    <row r="56" spans="1:26" x14ac:dyDescent="0.25">
      <c r="A56">
        <v>36</v>
      </c>
      <c r="B56" t="s">
        <v>56</v>
      </c>
      <c r="C56" t="s">
        <v>64</v>
      </c>
      <c r="D56">
        <v>29</v>
      </c>
      <c r="E56">
        <v>0</v>
      </c>
      <c r="F56">
        <v>0</v>
      </c>
      <c r="G56">
        <v>12</v>
      </c>
      <c r="H56">
        <v>0</v>
      </c>
      <c r="I56">
        <v>0</v>
      </c>
      <c r="J56">
        <v>7</v>
      </c>
      <c r="K56">
        <v>10</v>
      </c>
      <c r="L56">
        <v>0</v>
      </c>
      <c r="O56">
        <v>4</v>
      </c>
      <c r="P56" t="s">
        <v>27</v>
      </c>
      <c r="Q56" t="s">
        <v>8</v>
      </c>
      <c r="R56">
        <v>223</v>
      </c>
      <c r="S56">
        <v>0</v>
      </c>
      <c r="T56">
        <v>1</v>
      </c>
      <c r="U56">
        <v>146</v>
      </c>
      <c r="V56">
        <v>0</v>
      </c>
      <c r="W56">
        <v>0</v>
      </c>
      <c r="X56">
        <v>36</v>
      </c>
      <c r="Y56">
        <v>40</v>
      </c>
      <c r="Z56">
        <v>0</v>
      </c>
    </row>
    <row r="57" spans="1:26" x14ac:dyDescent="0.25">
      <c r="A57">
        <v>36</v>
      </c>
      <c r="B57" t="s">
        <v>56</v>
      </c>
      <c r="C57" t="s">
        <v>65</v>
      </c>
      <c r="D57">
        <v>34</v>
      </c>
      <c r="E57">
        <v>0</v>
      </c>
      <c r="F57">
        <v>0</v>
      </c>
      <c r="G57">
        <v>5</v>
      </c>
      <c r="H57">
        <v>0</v>
      </c>
      <c r="I57">
        <v>0</v>
      </c>
      <c r="J57">
        <v>14</v>
      </c>
      <c r="K57">
        <v>12</v>
      </c>
      <c r="L57">
        <v>3</v>
      </c>
      <c r="O57">
        <v>4</v>
      </c>
      <c r="P57" t="s">
        <v>27</v>
      </c>
      <c r="Q57" t="s">
        <v>6</v>
      </c>
      <c r="R57">
        <v>435</v>
      </c>
      <c r="S57">
        <v>0</v>
      </c>
      <c r="T57">
        <v>1</v>
      </c>
      <c r="U57">
        <v>236</v>
      </c>
      <c r="V57">
        <v>1</v>
      </c>
      <c r="W57">
        <v>0</v>
      </c>
      <c r="X57">
        <v>96</v>
      </c>
      <c r="Y57">
        <v>95</v>
      </c>
      <c r="Z57">
        <v>6</v>
      </c>
    </row>
    <row r="58" spans="1:26" x14ac:dyDescent="0.25">
      <c r="A58">
        <v>36</v>
      </c>
      <c r="B58" t="s">
        <v>56</v>
      </c>
      <c r="C58" t="s">
        <v>23</v>
      </c>
      <c r="D58">
        <v>34</v>
      </c>
      <c r="E58">
        <v>0</v>
      </c>
      <c r="F58">
        <v>1</v>
      </c>
      <c r="G58">
        <v>21</v>
      </c>
      <c r="H58">
        <v>0</v>
      </c>
      <c r="I58">
        <v>0</v>
      </c>
      <c r="J58">
        <v>7</v>
      </c>
      <c r="K58">
        <v>5</v>
      </c>
      <c r="L58">
        <v>0</v>
      </c>
      <c r="O58">
        <v>4</v>
      </c>
      <c r="P58" t="s">
        <v>27</v>
      </c>
      <c r="Q58" t="s">
        <v>1</v>
      </c>
      <c r="R58">
        <v>497</v>
      </c>
      <c r="S58">
        <v>0</v>
      </c>
      <c r="T58">
        <v>0</v>
      </c>
      <c r="U58">
        <v>134</v>
      </c>
      <c r="V58">
        <v>0</v>
      </c>
      <c r="W58">
        <v>0</v>
      </c>
      <c r="X58">
        <v>58</v>
      </c>
      <c r="Y58">
        <v>302</v>
      </c>
      <c r="Z58">
        <v>3</v>
      </c>
    </row>
    <row r="59" spans="1:26" x14ac:dyDescent="0.25">
      <c r="A59">
        <v>36</v>
      </c>
      <c r="B59" t="s">
        <v>56</v>
      </c>
      <c r="C59" t="s">
        <v>63</v>
      </c>
      <c r="D59">
        <v>36</v>
      </c>
      <c r="E59">
        <v>0</v>
      </c>
      <c r="F59">
        <v>0</v>
      </c>
      <c r="G59">
        <v>14</v>
      </c>
      <c r="H59">
        <v>0</v>
      </c>
      <c r="I59">
        <v>0</v>
      </c>
      <c r="J59">
        <v>5</v>
      </c>
      <c r="K59">
        <v>16</v>
      </c>
      <c r="L59">
        <v>1</v>
      </c>
      <c r="O59">
        <v>4</v>
      </c>
      <c r="P59" t="s">
        <v>27</v>
      </c>
      <c r="Q59" t="s">
        <v>24</v>
      </c>
      <c r="R59">
        <v>1218</v>
      </c>
      <c r="S59">
        <v>0</v>
      </c>
      <c r="T59">
        <v>0</v>
      </c>
      <c r="U59">
        <v>304</v>
      </c>
      <c r="V59">
        <v>51</v>
      </c>
      <c r="W59">
        <v>0</v>
      </c>
      <c r="X59">
        <v>131</v>
      </c>
      <c r="Y59">
        <v>134</v>
      </c>
      <c r="Z59">
        <v>598</v>
      </c>
    </row>
    <row r="60" spans="1:26" x14ac:dyDescent="0.25">
      <c r="A60">
        <v>36</v>
      </c>
      <c r="B60" t="s">
        <v>56</v>
      </c>
      <c r="C60" t="s">
        <v>8</v>
      </c>
      <c r="D60">
        <v>58</v>
      </c>
      <c r="E60">
        <v>0</v>
      </c>
      <c r="F60">
        <v>0</v>
      </c>
      <c r="G60">
        <v>29</v>
      </c>
      <c r="H60">
        <v>0</v>
      </c>
      <c r="I60">
        <v>0</v>
      </c>
      <c r="J60">
        <v>11</v>
      </c>
      <c r="K60">
        <v>18</v>
      </c>
      <c r="L60">
        <v>0</v>
      </c>
      <c r="O60">
        <v>4</v>
      </c>
      <c r="P60" t="s">
        <v>27</v>
      </c>
      <c r="Q60" t="s">
        <v>66</v>
      </c>
      <c r="R60">
        <v>1358</v>
      </c>
      <c r="S60">
        <v>0</v>
      </c>
      <c r="T60">
        <v>0</v>
      </c>
      <c r="U60">
        <v>206</v>
      </c>
      <c r="V60">
        <v>21</v>
      </c>
      <c r="W60">
        <v>0</v>
      </c>
      <c r="X60">
        <v>44</v>
      </c>
      <c r="Y60">
        <v>807</v>
      </c>
      <c r="Z60">
        <v>280</v>
      </c>
    </row>
    <row r="61" spans="1:26" x14ac:dyDescent="0.25">
      <c r="A61">
        <v>36</v>
      </c>
      <c r="B61" t="s">
        <v>56</v>
      </c>
      <c r="C61" t="s">
        <v>6</v>
      </c>
      <c r="D61">
        <v>98</v>
      </c>
      <c r="E61">
        <v>0</v>
      </c>
      <c r="F61">
        <v>0</v>
      </c>
      <c r="G61">
        <v>39</v>
      </c>
      <c r="H61">
        <v>0</v>
      </c>
      <c r="I61">
        <v>0</v>
      </c>
      <c r="J61">
        <v>25</v>
      </c>
      <c r="K61">
        <v>32</v>
      </c>
      <c r="L61">
        <v>2</v>
      </c>
      <c r="O61">
        <v>5</v>
      </c>
      <c r="P61" t="s">
        <v>28</v>
      </c>
      <c r="Q61" t="s">
        <v>73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 x14ac:dyDescent="0.25">
      <c r="A62">
        <v>36</v>
      </c>
      <c r="B62" t="s">
        <v>56</v>
      </c>
      <c r="C62" t="s">
        <v>1</v>
      </c>
      <c r="D62">
        <v>144</v>
      </c>
      <c r="E62">
        <v>0</v>
      </c>
      <c r="F62">
        <v>0</v>
      </c>
      <c r="G62">
        <v>36</v>
      </c>
      <c r="H62">
        <v>0</v>
      </c>
      <c r="I62">
        <v>0</v>
      </c>
      <c r="J62">
        <v>11</v>
      </c>
      <c r="K62">
        <v>97</v>
      </c>
      <c r="L62">
        <v>0</v>
      </c>
      <c r="O62">
        <v>5</v>
      </c>
      <c r="P62" t="s">
        <v>28</v>
      </c>
      <c r="Q62" t="s">
        <v>74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</row>
    <row r="63" spans="1:26" x14ac:dyDescent="0.25">
      <c r="A63">
        <v>36</v>
      </c>
      <c r="B63" t="s">
        <v>56</v>
      </c>
      <c r="C63" t="s">
        <v>24</v>
      </c>
      <c r="D63">
        <v>309</v>
      </c>
      <c r="E63">
        <v>0</v>
      </c>
      <c r="F63">
        <v>0</v>
      </c>
      <c r="G63">
        <v>97</v>
      </c>
      <c r="H63">
        <v>12</v>
      </c>
      <c r="I63">
        <v>0</v>
      </c>
      <c r="J63">
        <v>15</v>
      </c>
      <c r="K63">
        <v>45</v>
      </c>
      <c r="L63">
        <v>140</v>
      </c>
      <c r="O63">
        <v>5</v>
      </c>
      <c r="P63" t="s">
        <v>28</v>
      </c>
      <c r="Q63" t="s">
        <v>68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36</v>
      </c>
      <c r="B64" t="s">
        <v>56</v>
      </c>
      <c r="C64" t="s">
        <v>66</v>
      </c>
      <c r="D64">
        <v>357</v>
      </c>
      <c r="E64">
        <v>0</v>
      </c>
      <c r="F64">
        <v>0</v>
      </c>
      <c r="G64">
        <v>58</v>
      </c>
      <c r="H64">
        <v>5</v>
      </c>
      <c r="I64">
        <v>0</v>
      </c>
      <c r="J64">
        <v>7</v>
      </c>
      <c r="K64">
        <v>244</v>
      </c>
      <c r="L64">
        <v>43</v>
      </c>
      <c r="O64">
        <v>5</v>
      </c>
      <c r="P64" t="s">
        <v>28</v>
      </c>
      <c r="Q64" t="s">
        <v>77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>
        <v>37</v>
      </c>
      <c r="B65" t="s">
        <v>57</v>
      </c>
      <c r="C65" t="s">
        <v>72</v>
      </c>
      <c r="D65">
        <v>4</v>
      </c>
      <c r="E65">
        <v>0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O65">
        <v>5</v>
      </c>
      <c r="P65" t="s">
        <v>28</v>
      </c>
      <c r="Q65" t="s">
        <v>76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>
        <v>37</v>
      </c>
      <c r="B66" t="s">
        <v>57</v>
      </c>
      <c r="C66" t="s">
        <v>22</v>
      </c>
      <c r="D66">
        <v>21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19</v>
      </c>
      <c r="L66">
        <v>0</v>
      </c>
      <c r="O66">
        <v>5</v>
      </c>
      <c r="P66" t="s">
        <v>28</v>
      </c>
      <c r="Q66" t="s">
        <v>62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37</v>
      </c>
      <c r="B67" t="s">
        <v>57</v>
      </c>
      <c r="C67" t="s">
        <v>4</v>
      </c>
      <c r="D67">
        <v>22</v>
      </c>
      <c r="E67">
        <v>0</v>
      </c>
      <c r="F67">
        <v>0</v>
      </c>
      <c r="G67">
        <v>3</v>
      </c>
      <c r="H67">
        <v>3</v>
      </c>
      <c r="I67">
        <v>0</v>
      </c>
      <c r="J67">
        <v>0</v>
      </c>
      <c r="K67">
        <v>16</v>
      </c>
      <c r="L67">
        <v>0</v>
      </c>
      <c r="O67">
        <v>5</v>
      </c>
      <c r="P67" t="s">
        <v>28</v>
      </c>
      <c r="Q67" t="s">
        <v>75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</row>
    <row r="68" spans="1:26" x14ac:dyDescent="0.25">
      <c r="A68">
        <v>37</v>
      </c>
      <c r="B68" t="s">
        <v>57</v>
      </c>
      <c r="C68" t="s">
        <v>65</v>
      </c>
      <c r="D68">
        <v>34</v>
      </c>
      <c r="E68">
        <v>0</v>
      </c>
      <c r="F68">
        <v>0</v>
      </c>
      <c r="G68">
        <v>8</v>
      </c>
      <c r="H68">
        <v>0</v>
      </c>
      <c r="I68">
        <v>0</v>
      </c>
      <c r="J68">
        <v>10</v>
      </c>
      <c r="K68">
        <v>15</v>
      </c>
      <c r="L68">
        <v>1</v>
      </c>
      <c r="O68">
        <v>5</v>
      </c>
      <c r="P68" t="s">
        <v>28</v>
      </c>
      <c r="Q68" t="s">
        <v>5</v>
      </c>
      <c r="R68">
        <v>33</v>
      </c>
      <c r="S68">
        <v>0</v>
      </c>
      <c r="T68">
        <v>0</v>
      </c>
      <c r="U68">
        <v>15</v>
      </c>
      <c r="V68">
        <v>0</v>
      </c>
      <c r="W68">
        <v>0</v>
      </c>
      <c r="X68">
        <v>3</v>
      </c>
      <c r="Y68">
        <v>15</v>
      </c>
      <c r="Z68">
        <v>0</v>
      </c>
    </row>
    <row r="69" spans="1:26" x14ac:dyDescent="0.25">
      <c r="A69">
        <v>37</v>
      </c>
      <c r="B69" t="s">
        <v>57</v>
      </c>
      <c r="C69" t="s">
        <v>23</v>
      </c>
      <c r="D69">
        <v>39</v>
      </c>
      <c r="E69">
        <v>0</v>
      </c>
      <c r="F69">
        <v>0</v>
      </c>
      <c r="G69">
        <v>21</v>
      </c>
      <c r="H69">
        <v>0</v>
      </c>
      <c r="I69">
        <v>0</v>
      </c>
      <c r="J69">
        <v>7</v>
      </c>
      <c r="K69">
        <v>10</v>
      </c>
      <c r="L69">
        <v>1</v>
      </c>
      <c r="O69">
        <v>5</v>
      </c>
      <c r="P69" t="s">
        <v>28</v>
      </c>
      <c r="Q69" t="s">
        <v>4</v>
      </c>
      <c r="R69">
        <v>67</v>
      </c>
      <c r="S69">
        <v>0</v>
      </c>
      <c r="T69">
        <v>0</v>
      </c>
      <c r="U69">
        <v>19</v>
      </c>
      <c r="V69">
        <v>5</v>
      </c>
      <c r="W69">
        <v>1</v>
      </c>
      <c r="X69">
        <v>0</v>
      </c>
      <c r="Y69">
        <v>42</v>
      </c>
      <c r="Z69">
        <v>0</v>
      </c>
    </row>
    <row r="70" spans="1:26" x14ac:dyDescent="0.25">
      <c r="A70">
        <v>37</v>
      </c>
      <c r="B70" t="s">
        <v>57</v>
      </c>
      <c r="C70" t="s">
        <v>64</v>
      </c>
      <c r="D70">
        <v>40</v>
      </c>
      <c r="E70">
        <v>0</v>
      </c>
      <c r="F70">
        <v>1</v>
      </c>
      <c r="G70">
        <v>21</v>
      </c>
      <c r="H70">
        <v>0</v>
      </c>
      <c r="I70">
        <v>0</v>
      </c>
      <c r="J70">
        <v>4</v>
      </c>
      <c r="K70">
        <v>13</v>
      </c>
      <c r="L70">
        <v>1</v>
      </c>
      <c r="O70">
        <v>5</v>
      </c>
      <c r="P70" t="s">
        <v>28</v>
      </c>
      <c r="Q70" t="s">
        <v>63</v>
      </c>
      <c r="R70">
        <v>67</v>
      </c>
      <c r="S70">
        <v>0</v>
      </c>
      <c r="T70">
        <v>0</v>
      </c>
      <c r="U70">
        <v>26</v>
      </c>
      <c r="V70">
        <v>0</v>
      </c>
      <c r="W70">
        <v>0</v>
      </c>
      <c r="X70">
        <v>7</v>
      </c>
      <c r="Y70">
        <v>33</v>
      </c>
      <c r="Z70">
        <v>1</v>
      </c>
    </row>
    <row r="71" spans="1:26" x14ac:dyDescent="0.25">
      <c r="A71">
        <v>37</v>
      </c>
      <c r="B71" t="s">
        <v>57</v>
      </c>
      <c r="C71" t="s">
        <v>63</v>
      </c>
      <c r="D71">
        <v>45</v>
      </c>
      <c r="E71">
        <v>0</v>
      </c>
      <c r="F71">
        <v>1</v>
      </c>
      <c r="G71">
        <v>12</v>
      </c>
      <c r="H71">
        <v>0</v>
      </c>
      <c r="I71">
        <v>0</v>
      </c>
      <c r="J71">
        <v>4</v>
      </c>
      <c r="K71">
        <v>28</v>
      </c>
      <c r="L71">
        <v>0</v>
      </c>
      <c r="O71">
        <v>5</v>
      </c>
      <c r="P71" t="s">
        <v>28</v>
      </c>
      <c r="Q71" t="s">
        <v>22</v>
      </c>
      <c r="R71">
        <v>69</v>
      </c>
      <c r="S71">
        <v>0</v>
      </c>
      <c r="T71">
        <v>0</v>
      </c>
      <c r="U71">
        <v>10</v>
      </c>
      <c r="V71">
        <v>3</v>
      </c>
      <c r="W71">
        <v>0</v>
      </c>
      <c r="X71">
        <v>1</v>
      </c>
      <c r="Y71">
        <v>55</v>
      </c>
      <c r="Z71">
        <v>0</v>
      </c>
    </row>
    <row r="72" spans="1:26" x14ac:dyDescent="0.25">
      <c r="A72">
        <v>37</v>
      </c>
      <c r="B72" t="s">
        <v>57</v>
      </c>
      <c r="C72" t="s">
        <v>5</v>
      </c>
      <c r="D72">
        <v>50</v>
      </c>
      <c r="E72">
        <v>0</v>
      </c>
      <c r="F72">
        <v>0</v>
      </c>
      <c r="G72">
        <v>17</v>
      </c>
      <c r="H72">
        <v>0</v>
      </c>
      <c r="I72">
        <v>0</v>
      </c>
      <c r="J72">
        <v>6</v>
      </c>
      <c r="K72">
        <v>27</v>
      </c>
      <c r="L72">
        <v>0</v>
      </c>
      <c r="O72">
        <v>5</v>
      </c>
      <c r="P72" t="s">
        <v>28</v>
      </c>
      <c r="Q72" t="s">
        <v>65</v>
      </c>
      <c r="R72">
        <v>70</v>
      </c>
      <c r="S72">
        <v>0</v>
      </c>
      <c r="T72">
        <v>0</v>
      </c>
      <c r="U72">
        <v>23</v>
      </c>
      <c r="V72">
        <v>0</v>
      </c>
      <c r="W72">
        <v>0</v>
      </c>
      <c r="X72">
        <v>18</v>
      </c>
      <c r="Y72">
        <v>23</v>
      </c>
      <c r="Z72">
        <v>6</v>
      </c>
    </row>
    <row r="73" spans="1:26" x14ac:dyDescent="0.25">
      <c r="A73">
        <v>37</v>
      </c>
      <c r="B73" t="s">
        <v>57</v>
      </c>
      <c r="C73" t="s">
        <v>8</v>
      </c>
      <c r="D73">
        <v>107</v>
      </c>
      <c r="E73">
        <v>0</v>
      </c>
      <c r="F73">
        <v>2</v>
      </c>
      <c r="G73">
        <v>54</v>
      </c>
      <c r="H73">
        <v>0</v>
      </c>
      <c r="I73">
        <v>0</v>
      </c>
      <c r="J73">
        <v>16</v>
      </c>
      <c r="K73">
        <v>34</v>
      </c>
      <c r="L73">
        <v>1</v>
      </c>
      <c r="O73">
        <v>5</v>
      </c>
      <c r="P73" t="s">
        <v>28</v>
      </c>
      <c r="Q73" t="s">
        <v>23</v>
      </c>
      <c r="R73">
        <v>108</v>
      </c>
      <c r="S73">
        <v>0</v>
      </c>
      <c r="T73">
        <v>0</v>
      </c>
      <c r="U73">
        <v>63</v>
      </c>
      <c r="V73">
        <v>0</v>
      </c>
      <c r="W73">
        <v>0</v>
      </c>
      <c r="X73">
        <v>28</v>
      </c>
      <c r="Y73">
        <v>16</v>
      </c>
      <c r="Z73">
        <v>1</v>
      </c>
    </row>
    <row r="74" spans="1:26" x14ac:dyDescent="0.25">
      <c r="A74">
        <v>37</v>
      </c>
      <c r="B74" t="s">
        <v>57</v>
      </c>
      <c r="C74" t="s">
        <v>6</v>
      </c>
      <c r="D74">
        <v>152</v>
      </c>
      <c r="E74">
        <v>0</v>
      </c>
      <c r="F74">
        <v>2</v>
      </c>
      <c r="G74">
        <v>71</v>
      </c>
      <c r="H74">
        <v>0</v>
      </c>
      <c r="I74">
        <v>0</v>
      </c>
      <c r="J74">
        <v>24</v>
      </c>
      <c r="K74">
        <v>54</v>
      </c>
      <c r="L74">
        <v>1</v>
      </c>
      <c r="O74">
        <v>5</v>
      </c>
      <c r="P74" t="s">
        <v>28</v>
      </c>
      <c r="Q74" t="s">
        <v>64</v>
      </c>
      <c r="R74">
        <v>117</v>
      </c>
      <c r="S74">
        <v>0</v>
      </c>
      <c r="T74">
        <v>1</v>
      </c>
      <c r="U74">
        <v>57</v>
      </c>
      <c r="V74">
        <v>2</v>
      </c>
      <c r="W74">
        <v>0</v>
      </c>
      <c r="X74">
        <v>17</v>
      </c>
      <c r="Y74">
        <v>40</v>
      </c>
      <c r="Z74">
        <v>0</v>
      </c>
    </row>
    <row r="75" spans="1:26" x14ac:dyDescent="0.25">
      <c r="A75">
        <v>37</v>
      </c>
      <c r="B75" t="s">
        <v>57</v>
      </c>
      <c r="C75" t="s">
        <v>1</v>
      </c>
      <c r="D75">
        <v>176</v>
      </c>
      <c r="E75">
        <v>0</v>
      </c>
      <c r="F75">
        <v>1</v>
      </c>
      <c r="G75">
        <v>35</v>
      </c>
      <c r="H75">
        <v>0</v>
      </c>
      <c r="I75">
        <v>0</v>
      </c>
      <c r="J75">
        <v>18</v>
      </c>
      <c r="K75">
        <v>120</v>
      </c>
      <c r="L75">
        <v>2</v>
      </c>
      <c r="O75">
        <v>5</v>
      </c>
      <c r="P75" t="s">
        <v>28</v>
      </c>
      <c r="Q75" t="s">
        <v>8</v>
      </c>
      <c r="R75">
        <v>244</v>
      </c>
      <c r="S75">
        <v>0</v>
      </c>
      <c r="T75">
        <v>0</v>
      </c>
      <c r="U75">
        <v>141</v>
      </c>
      <c r="V75">
        <v>0</v>
      </c>
      <c r="W75">
        <v>1</v>
      </c>
      <c r="X75">
        <v>40</v>
      </c>
      <c r="Y75">
        <v>61</v>
      </c>
      <c r="Z75">
        <v>1</v>
      </c>
    </row>
    <row r="76" spans="1:26" x14ac:dyDescent="0.25">
      <c r="A76">
        <v>37</v>
      </c>
      <c r="B76" t="s">
        <v>57</v>
      </c>
      <c r="C76" t="s">
        <v>24</v>
      </c>
      <c r="D76">
        <v>453</v>
      </c>
      <c r="E76">
        <v>0</v>
      </c>
      <c r="F76">
        <v>0</v>
      </c>
      <c r="G76">
        <v>114</v>
      </c>
      <c r="H76">
        <v>8</v>
      </c>
      <c r="I76">
        <v>0</v>
      </c>
      <c r="J76">
        <v>50</v>
      </c>
      <c r="K76">
        <v>66</v>
      </c>
      <c r="L76">
        <v>215</v>
      </c>
      <c r="O76">
        <v>5</v>
      </c>
      <c r="P76" t="s">
        <v>28</v>
      </c>
      <c r="Q76" t="s">
        <v>6</v>
      </c>
      <c r="R76">
        <v>441</v>
      </c>
      <c r="S76">
        <v>0</v>
      </c>
      <c r="T76">
        <v>1</v>
      </c>
      <c r="U76">
        <v>219</v>
      </c>
      <c r="V76">
        <v>1</v>
      </c>
      <c r="W76">
        <v>2</v>
      </c>
      <c r="X76">
        <v>83</v>
      </c>
      <c r="Y76">
        <v>130</v>
      </c>
      <c r="Z76">
        <v>5</v>
      </c>
    </row>
    <row r="77" spans="1:26" x14ac:dyDescent="0.25">
      <c r="A77">
        <v>37</v>
      </c>
      <c r="B77" t="s">
        <v>57</v>
      </c>
      <c r="C77" t="s">
        <v>66</v>
      </c>
      <c r="D77">
        <v>500</v>
      </c>
      <c r="E77">
        <v>0</v>
      </c>
      <c r="F77">
        <v>0</v>
      </c>
      <c r="G77">
        <v>63</v>
      </c>
      <c r="H77">
        <v>4</v>
      </c>
      <c r="I77">
        <v>0</v>
      </c>
      <c r="J77">
        <v>17</v>
      </c>
      <c r="K77">
        <v>349</v>
      </c>
      <c r="L77">
        <v>67</v>
      </c>
      <c r="O77">
        <v>5</v>
      </c>
      <c r="P77" t="s">
        <v>28</v>
      </c>
      <c r="Q77" t="s">
        <v>1</v>
      </c>
      <c r="R77">
        <v>509</v>
      </c>
      <c r="S77">
        <v>0</v>
      </c>
      <c r="T77">
        <v>0</v>
      </c>
      <c r="U77">
        <v>144</v>
      </c>
      <c r="V77">
        <v>0</v>
      </c>
      <c r="W77">
        <v>0</v>
      </c>
      <c r="X77">
        <v>51</v>
      </c>
      <c r="Y77">
        <v>309</v>
      </c>
      <c r="Z77">
        <v>5</v>
      </c>
    </row>
    <row r="78" spans="1:26" x14ac:dyDescent="0.25">
      <c r="A78">
        <v>38</v>
      </c>
      <c r="B78" t="s">
        <v>58</v>
      </c>
      <c r="C78" t="s">
        <v>72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O78">
        <v>5</v>
      </c>
      <c r="P78" t="s">
        <v>28</v>
      </c>
      <c r="Q78" t="s">
        <v>24</v>
      </c>
      <c r="R78">
        <v>1217</v>
      </c>
      <c r="S78">
        <v>0</v>
      </c>
      <c r="T78">
        <v>0</v>
      </c>
      <c r="U78">
        <v>263</v>
      </c>
      <c r="V78">
        <v>45</v>
      </c>
      <c r="W78">
        <v>3</v>
      </c>
      <c r="X78">
        <v>144</v>
      </c>
      <c r="Y78">
        <v>135</v>
      </c>
      <c r="Z78">
        <v>627</v>
      </c>
    </row>
    <row r="79" spans="1:26" x14ac:dyDescent="0.25">
      <c r="A79">
        <v>38</v>
      </c>
      <c r="B79" t="s">
        <v>58</v>
      </c>
      <c r="C79" t="s">
        <v>22</v>
      </c>
      <c r="D79">
        <v>23</v>
      </c>
      <c r="E79">
        <v>0</v>
      </c>
      <c r="F79">
        <v>0</v>
      </c>
      <c r="G79">
        <v>4</v>
      </c>
      <c r="H79">
        <v>1</v>
      </c>
      <c r="I79">
        <v>0</v>
      </c>
      <c r="J79">
        <v>0</v>
      </c>
      <c r="K79">
        <v>18</v>
      </c>
      <c r="L79">
        <v>0</v>
      </c>
      <c r="O79">
        <v>5</v>
      </c>
      <c r="P79" t="s">
        <v>28</v>
      </c>
      <c r="Q79" t="s">
        <v>66</v>
      </c>
      <c r="R79">
        <v>1288</v>
      </c>
      <c r="S79">
        <v>0</v>
      </c>
      <c r="T79">
        <v>0</v>
      </c>
      <c r="U79">
        <v>176</v>
      </c>
      <c r="V79">
        <v>12</v>
      </c>
      <c r="W79">
        <v>0</v>
      </c>
      <c r="X79">
        <v>33</v>
      </c>
      <c r="Y79">
        <v>826</v>
      </c>
      <c r="Z79">
        <v>241</v>
      </c>
    </row>
    <row r="80" spans="1:26" x14ac:dyDescent="0.25">
      <c r="A80">
        <v>38</v>
      </c>
      <c r="B80" t="s">
        <v>58</v>
      </c>
      <c r="C80" t="s">
        <v>4</v>
      </c>
      <c r="D80">
        <v>23</v>
      </c>
      <c r="E80">
        <v>0</v>
      </c>
      <c r="F80">
        <v>0</v>
      </c>
      <c r="G80">
        <v>11</v>
      </c>
      <c r="H80">
        <v>2</v>
      </c>
      <c r="I80">
        <v>0</v>
      </c>
      <c r="J80">
        <v>0</v>
      </c>
      <c r="K80">
        <v>10</v>
      </c>
      <c r="L80">
        <v>0</v>
      </c>
      <c r="O80">
        <v>6</v>
      </c>
      <c r="P80" t="s">
        <v>29</v>
      </c>
      <c r="Q80" t="s">
        <v>72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38</v>
      </c>
      <c r="B81" t="s">
        <v>58</v>
      </c>
      <c r="C81" t="s">
        <v>65</v>
      </c>
      <c r="D81">
        <v>54</v>
      </c>
      <c r="E81">
        <v>0</v>
      </c>
      <c r="F81">
        <v>0</v>
      </c>
      <c r="G81">
        <v>15</v>
      </c>
      <c r="H81">
        <v>0</v>
      </c>
      <c r="I81">
        <v>0</v>
      </c>
      <c r="J81">
        <v>19</v>
      </c>
      <c r="K81">
        <v>15</v>
      </c>
      <c r="L81">
        <v>5</v>
      </c>
      <c r="O81">
        <v>6</v>
      </c>
      <c r="P81" t="s">
        <v>29</v>
      </c>
      <c r="Q81" t="s">
        <v>22</v>
      </c>
      <c r="R81">
        <v>36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30</v>
      </c>
      <c r="Z81">
        <v>0</v>
      </c>
    </row>
    <row r="82" spans="1:26" x14ac:dyDescent="0.25">
      <c r="A82">
        <v>38</v>
      </c>
      <c r="B82" t="s">
        <v>58</v>
      </c>
      <c r="C82" t="s">
        <v>64</v>
      </c>
      <c r="D82">
        <v>54</v>
      </c>
      <c r="E82">
        <v>0</v>
      </c>
      <c r="F82">
        <v>0</v>
      </c>
      <c r="G82">
        <v>30</v>
      </c>
      <c r="H82">
        <v>0</v>
      </c>
      <c r="I82">
        <v>0</v>
      </c>
      <c r="J82">
        <v>6</v>
      </c>
      <c r="K82">
        <v>17</v>
      </c>
      <c r="L82">
        <v>1</v>
      </c>
      <c r="O82">
        <v>6</v>
      </c>
      <c r="P82" t="s">
        <v>29</v>
      </c>
      <c r="Q82" t="s">
        <v>4</v>
      </c>
      <c r="R82">
        <v>37</v>
      </c>
      <c r="S82">
        <v>0</v>
      </c>
      <c r="T82">
        <v>0</v>
      </c>
      <c r="U82">
        <v>4</v>
      </c>
      <c r="V82">
        <v>6</v>
      </c>
      <c r="W82">
        <v>0</v>
      </c>
      <c r="X82">
        <v>0</v>
      </c>
      <c r="Y82">
        <v>27</v>
      </c>
      <c r="Z82">
        <v>0</v>
      </c>
    </row>
    <row r="83" spans="1:26" x14ac:dyDescent="0.25">
      <c r="A83">
        <v>38</v>
      </c>
      <c r="B83" t="s">
        <v>58</v>
      </c>
      <c r="C83" t="s">
        <v>23</v>
      </c>
      <c r="D83">
        <v>60</v>
      </c>
      <c r="E83">
        <v>0</v>
      </c>
      <c r="F83">
        <v>0</v>
      </c>
      <c r="G83">
        <v>36</v>
      </c>
      <c r="H83">
        <v>0</v>
      </c>
      <c r="I83">
        <v>0</v>
      </c>
      <c r="J83">
        <v>7</v>
      </c>
      <c r="K83">
        <v>16</v>
      </c>
      <c r="L83">
        <v>1</v>
      </c>
      <c r="O83">
        <v>6</v>
      </c>
      <c r="P83" t="s">
        <v>29</v>
      </c>
      <c r="Q83" t="s">
        <v>65</v>
      </c>
      <c r="R83">
        <v>49</v>
      </c>
      <c r="S83">
        <v>0</v>
      </c>
      <c r="T83">
        <v>0</v>
      </c>
      <c r="U83">
        <v>13</v>
      </c>
      <c r="V83">
        <v>0</v>
      </c>
      <c r="W83">
        <v>0</v>
      </c>
      <c r="X83">
        <v>12</v>
      </c>
      <c r="Y83">
        <v>20</v>
      </c>
      <c r="Z83">
        <v>4</v>
      </c>
    </row>
    <row r="84" spans="1:26" x14ac:dyDescent="0.25">
      <c r="A84">
        <v>38</v>
      </c>
      <c r="B84" t="s">
        <v>58</v>
      </c>
      <c r="C84" t="s">
        <v>63</v>
      </c>
      <c r="D84">
        <v>66</v>
      </c>
      <c r="E84">
        <v>0</v>
      </c>
      <c r="F84">
        <v>0</v>
      </c>
      <c r="G84">
        <v>26</v>
      </c>
      <c r="H84">
        <v>0</v>
      </c>
      <c r="I84">
        <v>0</v>
      </c>
      <c r="J84">
        <v>8</v>
      </c>
      <c r="K84">
        <v>31</v>
      </c>
      <c r="L84">
        <v>1</v>
      </c>
      <c r="O84">
        <v>6</v>
      </c>
      <c r="P84" t="s">
        <v>29</v>
      </c>
      <c r="Q84" t="s">
        <v>5</v>
      </c>
      <c r="R84">
        <v>58</v>
      </c>
      <c r="S84">
        <v>0</v>
      </c>
      <c r="T84">
        <v>0</v>
      </c>
      <c r="U84">
        <v>18</v>
      </c>
      <c r="V84">
        <v>0</v>
      </c>
      <c r="W84">
        <v>0</v>
      </c>
      <c r="X84">
        <v>11</v>
      </c>
      <c r="Y84">
        <v>28</v>
      </c>
      <c r="Z84">
        <v>1</v>
      </c>
    </row>
    <row r="85" spans="1:26" x14ac:dyDescent="0.25">
      <c r="A85">
        <v>38</v>
      </c>
      <c r="B85" t="s">
        <v>58</v>
      </c>
      <c r="C85" t="s">
        <v>5</v>
      </c>
      <c r="D85">
        <v>74</v>
      </c>
      <c r="E85">
        <v>0</v>
      </c>
      <c r="F85">
        <v>0</v>
      </c>
      <c r="G85">
        <v>26</v>
      </c>
      <c r="H85">
        <v>0</v>
      </c>
      <c r="I85">
        <v>0</v>
      </c>
      <c r="J85">
        <v>14</v>
      </c>
      <c r="K85">
        <v>34</v>
      </c>
      <c r="L85">
        <v>0</v>
      </c>
      <c r="O85">
        <v>6</v>
      </c>
      <c r="P85" t="s">
        <v>29</v>
      </c>
      <c r="Q85" t="s">
        <v>23</v>
      </c>
      <c r="R85">
        <v>69</v>
      </c>
      <c r="S85">
        <v>0</v>
      </c>
      <c r="T85">
        <v>0</v>
      </c>
      <c r="U85">
        <v>39</v>
      </c>
      <c r="V85">
        <v>0</v>
      </c>
      <c r="W85">
        <v>0</v>
      </c>
      <c r="X85">
        <v>16</v>
      </c>
      <c r="Y85">
        <v>10</v>
      </c>
      <c r="Z85">
        <v>4</v>
      </c>
    </row>
    <row r="86" spans="1:26" x14ac:dyDescent="0.25">
      <c r="A86">
        <v>38</v>
      </c>
      <c r="B86" t="s">
        <v>58</v>
      </c>
      <c r="C86" t="s">
        <v>8</v>
      </c>
      <c r="D86">
        <v>123</v>
      </c>
      <c r="E86">
        <v>0</v>
      </c>
      <c r="F86">
        <v>0</v>
      </c>
      <c r="G86">
        <v>66</v>
      </c>
      <c r="H86">
        <v>0</v>
      </c>
      <c r="I86">
        <v>0</v>
      </c>
      <c r="J86">
        <v>21</v>
      </c>
      <c r="K86">
        <v>35</v>
      </c>
      <c r="L86">
        <v>1</v>
      </c>
      <c r="O86">
        <v>6</v>
      </c>
      <c r="P86" t="s">
        <v>29</v>
      </c>
      <c r="Q86" t="s">
        <v>63</v>
      </c>
      <c r="R86">
        <v>75</v>
      </c>
      <c r="S86">
        <v>0</v>
      </c>
      <c r="T86">
        <v>0</v>
      </c>
      <c r="U86">
        <v>33</v>
      </c>
      <c r="V86">
        <v>0</v>
      </c>
      <c r="W86">
        <v>0</v>
      </c>
      <c r="X86">
        <v>13</v>
      </c>
      <c r="Y86">
        <v>28</v>
      </c>
      <c r="Z86">
        <v>1</v>
      </c>
    </row>
    <row r="87" spans="1:26" x14ac:dyDescent="0.25">
      <c r="A87">
        <v>38</v>
      </c>
      <c r="B87" t="s">
        <v>58</v>
      </c>
      <c r="C87" t="s">
        <v>6</v>
      </c>
      <c r="D87">
        <v>246</v>
      </c>
      <c r="E87">
        <v>0</v>
      </c>
      <c r="F87">
        <v>0</v>
      </c>
      <c r="G87">
        <v>130</v>
      </c>
      <c r="H87">
        <v>0</v>
      </c>
      <c r="I87">
        <v>0</v>
      </c>
      <c r="J87">
        <v>46</v>
      </c>
      <c r="K87">
        <v>67</v>
      </c>
      <c r="L87">
        <v>3</v>
      </c>
      <c r="O87">
        <v>6</v>
      </c>
      <c r="P87" t="s">
        <v>29</v>
      </c>
      <c r="Q87" t="s">
        <v>64</v>
      </c>
      <c r="R87">
        <v>108</v>
      </c>
      <c r="S87">
        <v>0</v>
      </c>
      <c r="T87">
        <v>0</v>
      </c>
      <c r="U87">
        <v>46</v>
      </c>
      <c r="V87">
        <v>0</v>
      </c>
      <c r="W87">
        <v>0</v>
      </c>
      <c r="X87">
        <v>21</v>
      </c>
      <c r="Y87">
        <v>40</v>
      </c>
      <c r="Z87">
        <v>1</v>
      </c>
    </row>
    <row r="88" spans="1:26" x14ac:dyDescent="0.25">
      <c r="A88">
        <v>38</v>
      </c>
      <c r="B88" t="s">
        <v>58</v>
      </c>
      <c r="C88" t="s">
        <v>1</v>
      </c>
      <c r="D88">
        <v>290</v>
      </c>
      <c r="E88">
        <v>0</v>
      </c>
      <c r="F88">
        <v>0</v>
      </c>
      <c r="G88">
        <v>74</v>
      </c>
      <c r="H88">
        <v>1</v>
      </c>
      <c r="I88">
        <v>0</v>
      </c>
      <c r="J88">
        <v>33</v>
      </c>
      <c r="K88">
        <v>180</v>
      </c>
      <c r="L88">
        <v>2</v>
      </c>
      <c r="O88">
        <v>6</v>
      </c>
      <c r="P88" t="s">
        <v>29</v>
      </c>
      <c r="Q88" t="s">
        <v>8</v>
      </c>
      <c r="R88">
        <v>227</v>
      </c>
      <c r="S88">
        <v>0</v>
      </c>
      <c r="T88">
        <v>0</v>
      </c>
      <c r="U88">
        <v>127</v>
      </c>
      <c r="V88">
        <v>1</v>
      </c>
      <c r="W88">
        <v>0</v>
      </c>
      <c r="X88">
        <v>47</v>
      </c>
      <c r="Y88">
        <v>50</v>
      </c>
      <c r="Z88">
        <v>2</v>
      </c>
    </row>
    <row r="89" spans="1:26" x14ac:dyDescent="0.25">
      <c r="A89">
        <v>38</v>
      </c>
      <c r="B89" t="s">
        <v>58</v>
      </c>
      <c r="C89" t="s">
        <v>24</v>
      </c>
      <c r="D89">
        <v>876</v>
      </c>
      <c r="E89">
        <v>0</v>
      </c>
      <c r="F89">
        <v>0</v>
      </c>
      <c r="G89">
        <v>259</v>
      </c>
      <c r="H89">
        <v>17</v>
      </c>
      <c r="I89">
        <v>0</v>
      </c>
      <c r="J89">
        <v>106</v>
      </c>
      <c r="K89">
        <v>78</v>
      </c>
      <c r="L89">
        <v>416</v>
      </c>
      <c r="O89">
        <v>6</v>
      </c>
      <c r="P89" t="s">
        <v>29</v>
      </c>
      <c r="Q89" t="s">
        <v>1</v>
      </c>
      <c r="R89">
        <v>363</v>
      </c>
      <c r="S89">
        <v>0</v>
      </c>
      <c r="T89">
        <v>0</v>
      </c>
      <c r="U89">
        <v>100</v>
      </c>
      <c r="V89">
        <v>1</v>
      </c>
      <c r="W89">
        <v>0</v>
      </c>
      <c r="X89">
        <v>43</v>
      </c>
      <c r="Y89">
        <v>216</v>
      </c>
      <c r="Z89">
        <v>3</v>
      </c>
    </row>
    <row r="90" spans="1:26" x14ac:dyDescent="0.25">
      <c r="A90">
        <v>38</v>
      </c>
      <c r="B90" t="s">
        <v>58</v>
      </c>
      <c r="C90" t="s">
        <v>66</v>
      </c>
      <c r="D90">
        <v>996</v>
      </c>
      <c r="E90">
        <v>0</v>
      </c>
      <c r="F90">
        <v>0</v>
      </c>
      <c r="G90">
        <v>137</v>
      </c>
      <c r="H90">
        <v>5</v>
      </c>
      <c r="I90">
        <v>0</v>
      </c>
      <c r="J90">
        <v>52</v>
      </c>
      <c r="K90">
        <v>618</v>
      </c>
      <c r="L90">
        <v>184</v>
      </c>
      <c r="O90">
        <v>6</v>
      </c>
      <c r="P90" t="s">
        <v>29</v>
      </c>
      <c r="Q90" t="s">
        <v>6</v>
      </c>
      <c r="R90">
        <v>371</v>
      </c>
      <c r="S90">
        <v>0</v>
      </c>
      <c r="T90">
        <v>0</v>
      </c>
      <c r="U90">
        <v>181</v>
      </c>
      <c r="V90">
        <v>1</v>
      </c>
      <c r="W90">
        <v>0</v>
      </c>
      <c r="X90">
        <v>87</v>
      </c>
      <c r="Y90">
        <v>96</v>
      </c>
      <c r="Z90">
        <v>6</v>
      </c>
    </row>
    <row r="91" spans="1:26" x14ac:dyDescent="0.25">
      <c r="A91">
        <v>39</v>
      </c>
      <c r="B91" t="s">
        <v>59</v>
      </c>
      <c r="C91" t="s">
        <v>72</v>
      </c>
      <c r="D91">
        <v>2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O91">
        <v>6</v>
      </c>
      <c r="P91" t="s">
        <v>29</v>
      </c>
      <c r="Q91" t="s">
        <v>66</v>
      </c>
      <c r="R91">
        <v>872</v>
      </c>
      <c r="S91">
        <v>0</v>
      </c>
      <c r="T91">
        <v>0</v>
      </c>
      <c r="U91">
        <v>103</v>
      </c>
      <c r="V91">
        <v>10</v>
      </c>
      <c r="W91">
        <v>0</v>
      </c>
      <c r="X91">
        <v>15</v>
      </c>
      <c r="Y91">
        <v>530</v>
      </c>
      <c r="Z91">
        <v>214</v>
      </c>
    </row>
    <row r="92" spans="1:26" x14ac:dyDescent="0.25">
      <c r="A92">
        <v>39</v>
      </c>
      <c r="B92" t="s">
        <v>59</v>
      </c>
      <c r="C92" t="s">
        <v>22</v>
      </c>
      <c r="D92">
        <v>66</v>
      </c>
      <c r="E92">
        <v>0</v>
      </c>
      <c r="F92">
        <v>0</v>
      </c>
      <c r="G92">
        <v>5</v>
      </c>
      <c r="H92">
        <v>1</v>
      </c>
      <c r="I92">
        <v>0</v>
      </c>
      <c r="J92">
        <v>0</v>
      </c>
      <c r="K92">
        <v>60</v>
      </c>
      <c r="L92">
        <v>0</v>
      </c>
      <c r="O92">
        <v>6</v>
      </c>
      <c r="P92" t="s">
        <v>29</v>
      </c>
      <c r="Q92" t="s">
        <v>24</v>
      </c>
      <c r="R92">
        <v>880</v>
      </c>
      <c r="S92">
        <v>0</v>
      </c>
      <c r="T92">
        <v>0</v>
      </c>
      <c r="U92">
        <v>195</v>
      </c>
      <c r="V92">
        <v>31</v>
      </c>
      <c r="W92">
        <v>0</v>
      </c>
      <c r="X92">
        <v>61</v>
      </c>
      <c r="Y92">
        <v>109</v>
      </c>
      <c r="Z92">
        <v>484</v>
      </c>
    </row>
    <row r="93" spans="1:26" x14ac:dyDescent="0.25">
      <c r="A93">
        <v>39</v>
      </c>
      <c r="B93" t="s">
        <v>59</v>
      </c>
      <c r="C93" t="s">
        <v>5</v>
      </c>
      <c r="D93">
        <v>69</v>
      </c>
      <c r="E93">
        <v>0</v>
      </c>
      <c r="F93">
        <v>0</v>
      </c>
      <c r="G93">
        <v>23</v>
      </c>
      <c r="H93">
        <v>0</v>
      </c>
      <c r="I93">
        <v>0</v>
      </c>
      <c r="J93">
        <v>5</v>
      </c>
      <c r="K93">
        <v>41</v>
      </c>
      <c r="L93">
        <v>0</v>
      </c>
      <c r="O93">
        <v>7</v>
      </c>
      <c r="P93" t="s">
        <v>30</v>
      </c>
      <c r="Q93" t="s">
        <v>5</v>
      </c>
      <c r="R93">
        <v>27</v>
      </c>
      <c r="S93">
        <v>0</v>
      </c>
      <c r="T93">
        <v>0</v>
      </c>
      <c r="U93">
        <v>12</v>
      </c>
      <c r="V93">
        <v>0</v>
      </c>
      <c r="W93">
        <v>0</v>
      </c>
      <c r="X93">
        <v>7</v>
      </c>
      <c r="Y93">
        <v>8</v>
      </c>
      <c r="Z93">
        <v>0</v>
      </c>
    </row>
    <row r="94" spans="1:26" x14ac:dyDescent="0.25">
      <c r="A94">
        <v>39</v>
      </c>
      <c r="B94" t="s">
        <v>59</v>
      </c>
      <c r="C94" t="s">
        <v>4</v>
      </c>
      <c r="D94">
        <v>73</v>
      </c>
      <c r="E94">
        <v>0</v>
      </c>
      <c r="F94">
        <v>0</v>
      </c>
      <c r="G94">
        <v>18</v>
      </c>
      <c r="H94">
        <v>2</v>
      </c>
      <c r="I94">
        <v>0</v>
      </c>
      <c r="J94">
        <v>0</v>
      </c>
      <c r="K94">
        <v>53</v>
      </c>
      <c r="L94">
        <v>0</v>
      </c>
      <c r="O94">
        <v>7</v>
      </c>
      <c r="P94" t="s">
        <v>30</v>
      </c>
      <c r="Q94" t="s">
        <v>63</v>
      </c>
      <c r="R94">
        <v>32</v>
      </c>
      <c r="S94">
        <v>0</v>
      </c>
      <c r="T94">
        <v>0</v>
      </c>
      <c r="U94">
        <v>13</v>
      </c>
      <c r="V94">
        <v>0</v>
      </c>
      <c r="W94">
        <v>0</v>
      </c>
      <c r="X94">
        <v>10</v>
      </c>
      <c r="Y94">
        <v>9</v>
      </c>
      <c r="Z94">
        <v>0</v>
      </c>
    </row>
    <row r="95" spans="1:26" x14ac:dyDescent="0.25">
      <c r="A95">
        <v>39</v>
      </c>
      <c r="B95" t="s">
        <v>59</v>
      </c>
      <c r="C95" t="s">
        <v>65</v>
      </c>
      <c r="D95">
        <v>97</v>
      </c>
      <c r="E95">
        <v>0</v>
      </c>
      <c r="F95">
        <v>0</v>
      </c>
      <c r="G95">
        <v>24</v>
      </c>
      <c r="H95">
        <v>1</v>
      </c>
      <c r="I95">
        <v>0</v>
      </c>
      <c r="J95">
        <v>29</v>
      </c>
      <c r="K95">
        <v>33</v>
      </c>
      <c r="L95">
        <v>10</v>
      </c>
      <c r="O95">
        <v>7</v>
      </c>
      <c r="P95" t="s">
        <v>30</v>
      </c>
      <c r="Q95" t="s">
        <v>22</v>
      </c>
      <c r="R95">
        <v>43</v>
      </c>
      <c r="S95">
        <v>0</v>
      </c>
      <c r="T95">
        <v>0</v>
      </c>
      <c r="U95">
        <v>4</v>
      </c>
      <c r="V95">
        <v>1</v>
      </c>
      <c r="W95">
        <v>0</v>
      </c>
      <c r="X95">
        <v>0</v>
      </c>
      <c r="Y95">
        <v>38</v>
      </c>
      <c r="Z95">
        <v>0</v>
      </c>
    </row>
    <row r="96" spans="1:26" x14ac:dyDescent="0.25">
      <c r="A96">
        <v>39</v>
      </c>
      <c r="B96" t="s">
        <v>59</v>
      </c>
      <c r="C96" t="s">
        <v>63</v>
      </c>
      <c r="D96">
        <v>104</v>
      </c>
      <c r="E96">
        <v>0</v>
      </c>
      <c r="F96">
        <v>0</v>
      </c>
      <c r="G96">
        <v>44</v>
      </c>
      <c r="H96">
        <v>1</v>
      </c>
      <c r="I96">
        <v>0</v>
      </c>
      <c r="J96">
        <v>15</v>
      </c>
      <c r="K96">
        <v>42</v>
      </c>
      <c r="L96">
        <v>2</v>
      </c>
      <c r="O96">
        <v>7</v>
      </c>
      <c r="P96" t="s">
        <v>30</v>
      </c>
      <c r="Q96" t="s">
        <v>4</v>
      </c>
      <c r="R96">
        <v>44</v>
      </c>
      <c r="S96">
        <v>0</v>
      </c>
      <c r="T96">
        <v>0</v>
      </c>
      <c r="U96">
        <v>16</v>
      </c>
      <c r="V96">
        <v>3</v>
      </c>
      <c r="W96">
        <v>0</v>
      </c>
      <c r="X96">
        <v>0</v>
      </c>
      <c r="Y96">
        <v>25</v>
      </c>
      <c r="Z96">
        <v>0</v>
      </c>
    </row>
    <row r="97" spans="1:26" x14ac:dyDescent="0.25">
      <c r="A97">
        <v>39</v>
      </c>
      <c r="B97" t="s">
        <v>59</v>
      </c>
      <c r="C97" t="s">
        <v>64</v>
      </c>
      <c r="D97">
        <v>107</v>
      </c>
      <c r="E97">
        <v>0</v>
      </c>
      <c r="F97">
        <v>1</v>
      </c>
      <c r="G97">
        <v>51</v>
      </c>
      <c r="H97">
        <v>0</v>
      </c>
      <c r="I97">
        <v>0</v>
      </c>
      <c r="J97">
        <v>8</v>
      </c>
      <c r="K97">
        <v>45</v>
      </c>
      <c r="L97">
        <v>2</v>
      </c>
      <c r="O97">
        <v>7</v>
      </c>
      <c r="P97" t="s">
        <v>30</v>
      </c>
      <c r="Q97" t="s">
        <v>65</v>
      </c>
      <c r="R97">
        <v>62</v>
      </c>
      <c r="S97">
        <v>0</v>
      </c>
      <c r="T97">
        <v>0</v>
      </c>
      <c r="U97">
        <v>12</v>
      </c>
      <c r="V97">
        <v>1</v>
      </c>
      <c r="W97">
        <v>0</v>
      </c>
      <c r="X97">
        <v>16</v>
      </c>
      <c r="Y97">
        <v>27</v>
      </c>
      <c r="Z97">
        <v>6</v>
      </c>
    </row>
    <row r="98" spans="1:26" x14ac:dyDescent="0.25">
      <c r="A98">
        <v>39</v>
      </c>
      <c r="B98" t="s">
        <v>59</v>
      </c>
      <c r="C98" t="s">
        <v>23</v>
      </c>
      <c r="D98">
        <v>110</v>
      </c>
      <c r="E98">
        <v>1</v>
      </c>
      <c r="F98">
        <v>1</v>
      </c>
      <c r="G98">
        <v>62</v>
      </c>
      <c r="H98">
        <v>1</v>
      </c>
      <c r="I98">
        <v>0</v>
      </c>
      <c r="J98">
        <v>13</v>
      </c>
      <c r="K98">
        <v>26</v>
      </c>
      <c r="L98">
        <v>6</v>
      </c>
      <c r="O98">
        <v>7</v>
      </c>
      <c r="P98" t="s">
        <v>30</v>
      </c>
      <c r="Q98" t="s">
        <v>23</v>
      </c>
      <c r="R98">
        <v>63</v>
      </c>
      <c r="S98">
        <v>0</v>
      </c>
      <c r="T98">
        <v>0</v>
      </c>
      <c r="U98">
        <v>37</v>
      </c>
      <c r="V98">
        <v>0</v>
      </c>
      <c r="W98">
        <v>0</v>
      </c>
      <c r="X98">
        <v>16</v>
      </c>
      <c r="Y98">
        <v>10</v>
      </c>
      <c r="Z98">
        <v>0</v>
      </c>
    </row>
    <row r="99" spans="1:26" x14ac:dyDescent="0.25">
      <c r="A99">
        <v>39</v>
      </c>
      <c r="B99" t="s">
        <v>59</v>
      </c>
      <c r="C99" t="s">
        <v>8</v>
      </c>
      <c r="D99">
        <v>248</v>
      </c>
      <c r="E99">
        <v>0</v>
      </c>
      <c r="F99">
        <v>1</v>
      </c>
      <c r="G99">
        <v>138</v>
      </c>
      <c r="H99">
        <v>0</v>
      </c>
      <c r="I99">
        <v>0</v>
      </c>
      <c r="J99">
        <v>28</v>
      </c>
      <c r="K99">
        <v>79</v>
      </c>
      <c r="L99">
        <v>2</v>
      </c>
      <c r="O99">
        <v>7</v>
      </c>
      <c r="P99" t="s">
        <v>30</v>
      </c>
      <c r="Q99" t="s">
        <v>64</v>
      </c>
      <c r="R99">
        <v>90</v>
      </c>
      <c r="S99">
        <v>0</v>
      </c>
      <c r="T99">
        <v>0</v>
      </c>
      <c r="U99">
        <v>36</v>
      </c>
      <c r="V99">
        <v>0</v>
      </c>
      <c r="W99">
        <v>0</v>
      </c>
      <c r="X99">
        <v>15</v>
      </c>
      <c r="Y99">
        <v>37</v>
      </c>
      <c r="Z99">
        <v>2</v>
      </c>
    </row>
    <row r="100" spans="1:26" x14ac:dyDescent="0.25">
      <c r="A100">
        <v>39</v>
      </c>
      <c r="B100" t="s">
        <v>59</v>
      </c>
      <c r="C100" t="s">
        <v>6</v>
      </c>
      <c r="D100">
        <v>421</v>
      </c>
      <c r="E100">
        <v>0</v>
      </c>
      <c r="F100">
        <v>1</v>
      </c>
      <c r="G100">
        <v>211</v>
      </c>
      <c r="H100">
        <v>0</v>
      </c>
      <c r="I100">
        <v>0</v>
      </c>
      <c r="J100">
        <v>57</v>
      </c>
      <c r="K100">
        <v>140</v>
      </c>
      <c r="L100">
        <v>12</v>
      </c>
      <c r="O100">
        <v>7</v>
      </c>
      <c r="P100" t="s">
        <v>30</v>
      </c>
      <c r="Q100" t="s">
        <v>8</v>
      </c>
      <c r="R100">
        <v>185</v>
      </c>
      <c r="S100">
        <v>0</v>
      </c>
      <c r="T100">
        <v>0</v>
      </c>
      <c r="U100">
        <v>97</v>
      </c>
      <c r="V100">
        <v>0</v>
      </c>
      <c r="W100">
        <v>0</v>
      </c>
      <c r="X100">
        <v>40</v>
      </c>
      <c r="Y100">
        <v>48</v>
      </c>
      <c r="Z100">
        <v>0</v>
      </c>
    </row>
    <row r="101" spans="1:26" x14ac:dyDescent="0.25">
      <c r="A101">
        <v>39</v>
      </c>
      <c r="B101" t="s">
        <v>59</v>
      </c>
      <c r="C101" t="s">
        <v>1</v>
      </c>
      <c r="D101">
        <v>503</v>
      </c>
      <c r="E101">
        <v>0</v>
      </c>
      <c r="F101">
        <v>0</v>
      </c>
      <c r="G101">
        <v>119</v>
      </c>
      <c r="H101">
        <v>0</v>
      </c>
      <c r="I101">
        <v>0</v>
      </c>
      <c r="J101">
        <v>44</v>
      </c>
      <c r="K101">
        <v>333</v>
      </c>
      <c r="L101">
        <v>7</v>
      </c>
      <c r="O101">
        <v>7</v>
      </c>
      <c r="P101" t="s">
        <v>30</v>
      </c>
      <c r="Q101" t="s">
        <v>6</v>
      </c>
      <c r="R101">
        <v>279</v>
      </c>
      <c r="S101">
        <v>0</v>
      </c>
      <c r="T101">
        <v>0</v>
      </c>
      <c r="U101">
        <v>128</v>
      </c>
      <c r="V101">
        <v>0</v>
      </c>
      <c r="W101">
        <v>0</v>
      </c>
      <c r="X101">
        <v>65</v>
      </c>
      <c r="Y101">
        <v>80</v>
      </c>
      <c r="Z101">
        <v>6</v>
      </c>
    </row>
    <row r="102" spans="1:26" x14ac:dyDescent="0.25">
      <c r="A102">
        <v>39</v>
      </c>
      <c r="B102" t="s">
        <v>59</v>
      </c>
      <c r="C102" t="s">
        <v>66</v>
      </c>
      <c r="D102">
        <v>1220</v>
      </c>
      <c r="E102">
        <v>0</v>
      </c>
      <c r="F102">
        <v>0</v>
      </c>
      <c r="G102">
        <v>147</v>
      </c>
      <c r="H102">
        <v>5</v>
      </c>
      <c r="I102">
        <v>0</v>
      </c>
      <c r="J102">
        <v>17</v>
      </c>
      <c r="K102">
        <v>851</v>
      </c>
      <c r="L102">
        <v>200</v>
      </c>
      <c r="O102">
        <v>7</v>
      </c>
      <c r="P102" t="s">
        <v>30</v>
      </c>
      <c r="Q102" t="s">
        <v>1</v>
      </c>
      <c r="R102">
        <v>344</v>
      </c>
      <c r="S102">
        <v>0</v>
      </c>
      <c r="T102">
        <v>0</v>
      </c>
      <c r="U102">
        <v>82</v>
      </c>
      <c r="V102">
        <v>0</v>
      </c>
      <c r="W102">
        <v>0</v>
      </c>
      <c r="X102">
        <v>46</v>
      </c>
      <c r="Y102">
        <v>210</v>
      </c>
      <c r="Z102">
        <v>6</v>
      </c>
    </row>
    <row r="103" spans="1:26" x14ac:dyDescent="0.25">
      <c r="A103">
        <v>39</v>
      </c>
      <c r="B103" t="s">
        <v>59</v>
      </c>
      <c r="C103" t="s">
        <v>24</v>
      </c>
      <c r="D103">
        <v>1240</v>
      </c>
      <c r="E103">
        <v>0</v>
      </c>
      <c r="F103">
        <v>0</v>
      </c>
      <c r="G103">
        <v>299</v>
      </c>
      <c r="H103">
        <v>24</v>
      </c>
      <c r="I103">
        <v>0</v>
      </c>
      <c r="J103">
        <v>117</v>
      </c>
      <c r="K103">
        <v>170</v>
      </c>
      <c r="L103">
        <v>630</v>
      </c>
      <c r="O103">
        <v>7</v>
      </c>
      <c r="P103" t="s">
        <v>30</v>
      </c>
      <c r="Q103" t="s">
        <v>24</v>
      </c>
      <c r="R103">
        <v>929</v>
      </c>
      <c r="S103">
        <v>0</v>
      </c>
      <c r="T103">
        <v>0</v>
      </c>
      <c r="U103">
        <v>249</v>
      </c>
      <c r="V103">
        <v>27</v>
      </c>
      <c r="W103">
        <v>0</v>
      </c>
      <c r="X103">
        <v>78</v>
      </c>
      <c r="Y103">
        <v>108</v>
      </c>
      <c r="Z103">
        <v>467</v>
      </c>
    </row>
    <row r="104" spans="1:26" x14ac:dyDescent="0.25">
      <c r="D104">
        <f>SUM(D2:D103)</f>
        <v>13860</v>
      </c>
      <c r="E104">
        <f t="shared" ref="E104:L104" si="0">SUM(E2:E103)</f>
        <v>1</v>
      </c>
      <c r="F104">
        <f t="shared" si="0"/>
        <v>21</v>
      </c>
      <c r="G104">
        <f t="shared" si="0"/>
        <v>3715</v>
      </c>
      <c r="H104">
        <f t="shared" si="0"/>
        <v>142</v>
      </c>
      <c r="I104">
        <f t="shared" si="0"/>
        <v>0</v>
      </c>
      <c r="J104">
        <f t="shared" si="0"/>
        <v>1294</v>
      </c>
      <c r="K104">
        <f t="shared" si="0"/>
        <v>5909</v>
      </c>
      <c r="L104">
        <f t="shared" si="0"/>
        <v>2778</v>
      </c>
      <c r="O104">
        <v>7</v>
      </c>
      <c r="P104" t="s">
        <v>30</v>
      </c>
      <c r="Q104" t="s">
        <v>66</v>
      </c>
      <c r="R104">
        <v>981</v>
      </c>
      <c r="S104">
        <v>0</v>
      </c>
      <c r="T104">
        <v>0</v>
      </c>
      <c r="U104">
        <v>117</v>
      </c>
      <c r="V104">
        <v>11</v>
      </c>
      <c r="W104">
        <v>0</v>
      </c>
      <c r="X104">
        <v>23</v>
      </c>
      <c r="Y104">
        <v>644</v>
      </c>
      <c r="Z104">
        <v>186</v>
      </c>
    </row>
    <row r="105" spans="1:26" x14ac:dyDescent="0.25">
      <c r="D105">
        <f>D104/$N$9</f>
        <v>4.2923505729327962</v>
      </c>
      <c r="O105">
        <v>8</v>
      </c>
      <c r="P105" t="s">
        <v>31</v>
      </c>
      <c r="Q105" t="s">
        <v>5</v>
      </c>
      <c r="R105">
        <v>36</v>
      </c>
      <c r="S105">
        <v>0</v>
      </c>
      <c r="T105">
        <v>0</v>
      </c>
      <c r="U105">
        <v>9</v>
      </c>
      <c r="V105">
        <v>0</v>
      </c>
      <c r="W105">
        <v>0</v>
      </c>
      <c r="X105">
        <v>3</v>
      </c>
      <c r="Y105">
        <v>24</v>
      </c>
      <c r="Z105">
        <v>0</v>
      </c>
    </row>
    <row r="106" spans="1:26" x14ac:dyDescent="0.25">
      <c r="O106">
        <v>8</v>
      </c>
      <c r="P106" t="s">
        <v>31</v>
      </c>
      <c r="Q106" t="s">
        <v>22</v>
      </c>
      <c r="R106">
        <v>40</v>
      </c>
      <c r="S106">
        <v>0</v>
      </c>
      <c r="T106">
        <v>0</v>
      </c>
      <c r="U106">
        <v>6</v>
      </c>
      <c r="V106">
        <v>2</v>
      </c>
      <c r="W106">
        <v>0</v>
      </c>
      <c r="X106">
        <v>0</v>
      </c>
      <c r="Y106">
        <v>32</v>
      </c>
      <c r="Z106">
        <v>0</v>
      </c>
    </row>
    <row r="107" spans="1:26" x14ac:dyDescent="0.25">
      <c r="O107">
        <v>8</v>
      </c>
      <c r="P107" t="s">
        <v>31</v>
      </c>
      <c r="Q107" t="s">
        <v>4</v>
      </c>
      <c r="R107">
        <v>42</v>
      </c>
      <c r="S107">
        <v>0</v>
      </c>
      <c r="T107">
        <v>0</v>
      </c>
      <c r="U107">
        <v>7</v>
      </c>
      <c r="V107">
        <v>2</v>
      </c>
      <c r="W107">
        <v>0</v>
      </c>
      <c r="X107">
        <v>0</v>
      </c>
      <c r="Y107">
        <v>33</v>
      </c>
      <c r="Z107">
        <v>0</v>
      </c>
    </row>
    <row r="108" spans="1:26" x14ac:dyDescent="0.25">
      <c r="O108">
        <v>8</v>
      </c>
      <c r="P108" t="s">
        <v>31</v>
      </c>
      <c r="Q108" t="s">
        <v>63</v>
      </c>
      <c r="R108">
        <v>49</v>
      </c>
      <c r="S108">
        <v>0</v>
      </c>
      <c r="T108">
        <v>0</v>
      </c>
      <c r="U108">
        <v>15</v>
      </c>
      <c r="V108">
        <v>0</v>
      </c>
      <c r="W108">
        <v>0</v>
      </c>
      <c r="X108">
        <v>7</v>
      </c>
      <c r="Y108">
        <v>26</v>
      </c>
      <c r="Z108">
        <v>1</v>
      </c>
    </row>
    <row r="109" spans="1:26" x14ac:dyDescent="0.25">
      <c r="O109">
        <v>8</v>
      </c>
      <c r="P109" t="s">
        <v>31</v>
      </c>
      <c r="Q109" t="s">
        <v>23</v>
      </c>
      <c r="R109">
        <v>73</v>
      </c>
      <c r="S109">
        <v>0</v>
      </c>
      <c r="T109">
        <v>0</v>
      </c>
      <c r="U109">
        <v>42</v>
      </c>
      <c r="V109">
        <v>0</v>
      </c>
      <c r="W109">
        <v>0</v>
      </c>
      <c r="X109">
        <v>17</v>
      </c>
      <c r="Y109">
        <v>13</v>
      </c>
      <c r="Z109">
        <v>1</v>
      </c>
    </row>
    <row r="110" spans="1:26" x14ac:dyDescent="0.25">
      <c r="O110">
        <v>8</v>
      </c>
      <c r="P110" t="s">
        <v>31</v>
      </c>
      <c r="Q110" t="s">
        <v>65</v>
      </c>
      <c r="R110">
        <v>74</v>
      </c>
      <c r="S110">
        <v>0</v>
      </c>
      <c r="T110">
        <v>0</v>
      </c>
      <c r="U110">
        <v>19</v>
      </c>
      <c r="V110">
        <v>1</v>
      </c>
      <c r="W110">
        <v>0</v>
      </c>
      <c r="X110">
        <v>26</v>
      </c>
      <c r="Y110">
        <v>23</v>
      </c>
      <c r="Z110">
        <v>5</v>
      </c>
    </row>
    <row r="111" spans="1:26" x14ac:dyDescent="0.25">
      <c r="O111">
        <v>8</v>
      </c>
      <c r="P111" t="s">
        <v>31</v>
      </c>
      <c r="Q111" t="s">
        <v>64</v>
      </c>
      <c r="R111">
        <v>111</v>
      </c>
      <c r="S111">
        <v>0</v>
      </c>
      <c r="T111">
        <v>0</v>
      </c>
      <c r="U111">
        <v>49</v>
      </c>
      <c r="V111">
        <v>0</v>
      </c>
      <c r="W111">
        <v>0</v>
      </c>
      <c r="X111">
        <v>21</v>
      </c>
      <c r="Y111">
        <v>38</v>
      </c>
      <c r="Z111">
        <v>3</v>
      </c>
    </row>
    <row r="112" spans="1:26" x14ac:dyDescent="0.25">
      <c r="O112">
        <v>8</v>
      </c>
      <c r="P112" t="s">
        <v>31</v>
      </c>
      <c r="Q112" t="s">
        <v>8</v>
      </c>
      <c r="R112">
        <v>251</v>
      </c>
      <c r="S112">
        <v>0</v>
      </c>
      <c r="T112">
        <v>0</v>
      </c>
      <c r="U112">
        <v>157</v>
      </c>
      <c r="V112">
        <v>0</v>
      </c>
      <c r="W112">
        <v>0</v>
      </c>
      <c r="X112">
        <v>37</v>
      </c>
      <c r="Y112">
        <v>52</v>
      </c>
      <c r="Z112">
        <v>5</v>
      </c>
    </row>
    <row r="113" spans="15:26" x14ac:dyDescent="0.25">
      <c r="O113">
        <v>8</v>
      </c>
      <c r="P113" t="s">
        <v>31</v>
      </c>
      <c r="Q113" t="s">
        <v>6</v>
      </c>
      <c r="R113">
        <v>403</v>
      </c>
      <c r="S113">
        <v>0</v>
      </c>
      <c r="T113">
        <v>0</v>
      </c>
      <c r="U113">
        <v>214</v>
      </c>
      <c r="V113">
        <v>0</v>
      </c>
      <c r="W113">
        <v>0</v>
      </c>
      <c r="X113">
        <v>73</v>
      </c>
      <c r="Y113">
        <v>97</v>
      </c>
      <c r="Z113">
        <v>19</v>
      </c>
    </row>
    <row r="114" spans="15:26" x14ac:dyDescent="0.25">
      <c r="O114">
        <v>8</v>
      </c>
      <c r="P114" t="s">
        <v>31</v>
      </c>
      <c r="Q114" t="s">
        <v>1</v>
      </c>
      <c r="R114">
        <v>481</v>
      </c>
      <c r="S114">
        <v>0</v>
      </c>
      <c r="T114">
        <v>0</v>
      </c>
      <c r="U114">
        <v>132</v>
      </c>
      <c r="V114">
        <v>0</v>
      </c>
      <c r="W114">
        <v>0</v>
      </c>
      <c r="X114">
        <v>53</v>
      </c>
      <c r="Y114">
        <v>289</v>
      </c>
      <c r="Z114">
        <v>7</v>
      </c>
    </row>
    <row r="115" spans="15:26" x14ac:dyDescent="0.25">
      <c r="O115">
        <v>8</v>
      </c>
      <c r="P115" t="s">
        <v>31</v>
      </c>
      <c r="Q115" t="s">
        <v>24</v>
      </c>
      <c r="R115">
        <v>1247</v>
      </c>
      <c r="S115">
        <v>0</v>
      </c>
      <c r="T115">
        <v>0</v>
      </c>
      <c r="U115">
        <v>290</v>
      </c>
      <c r="V115">
        <v>37</v>
      </c>
      <c r="W115">
        <v>0</v>
      </c>
      <c r="X115">
        <v>92</v>
      </c>
      <c r="Y115">
        <v>130</v>
      </c>
      <c r="Z115">
        <v>698</v>
      </c>
    </row>
    <row r="116" spans="15:26" x14ac:dyDescent="0.25">
      <c r="O116">
        <v>8</v>
      </c>
      <c r="P116" t="s">
        <v>31</v>
      </c>
      <c r="Q116" t="s">
        <v>66</v>
      </c>
      <c r="R116">
        <v>1325</v>
      </c>
      <c r="S116">
        <v>0</v>
      </c>
      <c r="T116">
        <v>0</v>
      </c>
      <c r="U116">
        <v>147</v>
      </c>
      <c r="V116">
        <v>12</v>
      </c>
      <c r="W116">
        <v>0</v>
      </c>
      <c r="X116">
        <v>22</v>
      </c>
      <c r="Y116">
        <v>819</v>
      </c>
      <c r="Z116">
        <v>325</v>
      </c>
    </row>
    <row r="117" spans="15:26" x14ac:dyDescent="0.25">
      <c r="O117">
        <v>9</v>
      </c>
      <c r="P117" t="s">
        <v>32</v>
      </c>
      <c r="Q117" t="s">
        <v>72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5:26" x14ac:dyDescent="0.25">
      <c r="O118">
        <v>9</v>
      </c>
      <c r="P118" t="s">
        <v>32</v>
      </c>
      <c r="Q118" t="s">
        <v>22</v>
      </c>
      <c r="R118">
        <v>24</v>
      </c>
      <c r="S118">
        <v>0</v>
      </c>
      <c r="T118">
        <v>0</v>
      </c>
      <c r="U118">
        <v>3</v>
      </c>
      <c r="V118">
        <v>3</v>
      </c>
      <c r="W118">
        <v>0</v>
      </c>
      <c r="X118">
        <v>0</v>
      </c>
      <c r="Y118">
        <v>18</v>
      </c>
      <c r="Z118">
        <v>0</v>
      </c>
    </row>
    <row r="119" spans="15:26" x14ac:dyDescent="0.25">
      <c r="O119">
        <v>9</v>
      </c>
      <c r="P119" t="s">
        <v>32</v>
      </c>
      <c r="Q119" t="s">
        <v>4</v>
      </c>
      <c r="R119">
        <v>25</v>
      </c>
      <c r="S119">
        <v>0</v>
      </c>
      <c r="T119">
        <v>0</v>
      </c>
      <c r="U119">
        <v>4</v>
      </c>
      <c r="V119">
        <v>4</v>
      </c>
      <c r="W119">
        <v>0</v>
      </c>
      <c r="X119">
        <v>0</v>
      </c>
      <c r="Y119">
        <v>17</v>
      </c>
      <c r="Z119">
        <v>0</v>
      </c>
    </row>
    <row r="120" spans="15:26" x14ac:dyDescent="0.25">
      <c r="O120">
        <v>9</v>
      </c>
      <c r="P120" t="s">
        <v>32</v>
      </c>
      <c r="Q120" t="s">
        <v>5</v>
      </c>
      <c r="R120">
        <v>34</v>
      </c>
      <c r="S120">
        <v>0</v>
      </c>
      <c r="T120">
        <v>0</v>
      </c>
      <c r="U120">
        <v>8</v>
      </c>
      <c r="V120">
        <v>0</v>
      </c>
      <c r="W120">
        <v>0</v>
      </c>
      <c r="X120">
        <v>4</v>
      </c>
      <c r="Y120">
        <v>22</v>
      </c>
      <c r="Z120">
        <v>0</v>
      </c>
    </row>
    <row r="121" spans="15:26" x14ac:dyDescent="0.25">
      <c r="O121">
        <v>9</v>
      </c>
      <c r="P121" t="s">
        <v>32</v>
      </c>
      <c r="Q121" t="s">
        <v>63</v>
      </c>
      <c r="R121">
        <v>47</v>
      </c>
      <c r="S121">
        <v>0</v>
      </c>
      <c r="T121">
        <v>0</v>
      </c>
      <c r="U121">
        <v>15</v>
      </c>
      <c r="V121">
        <v>0</v>
      </c>
      <c r="W121">
        <v>0</v>
      </c>
      <c r="X121">
        <v>4</v>
      </c>
      <c r="Y121">
        <v>25</v>
      </c>
      <c r="Z121">
        <v>3</v>
      </c>
    </row>
    <row r="122" spans="15:26" x14ac:dyDescent="0.25">
      <c r="O122">
        <v>9</v>
      </c>
      <c r="P122" t="s">
        <v>32</v>
      </c>
      <c r="Q122" t="s">
        <v>23</v>
      </c>
      <c r="R122">
        <v>62</v>
      </c>
      <c r="S122">
        <v>0</v>
      </c>
      <c r="T122">
        <v>0</v>
      </c>
      <c r="U122">
        <v>21</v>
      </c>
      <c r="V122">
        <v>1</v>
      </c>
      <c r="W122">
        <v>0</v>
      </c>
      <c r="X122">
        <v>20</v>
      </c>
      <c r="Y122">
        <v>15</v>
      </c>
      <c r="Z122">
        <v>5</v>
      </c>
    </row>
    <row r="123" spans="15:26" x14ac:dyDescent="0.25">
      <c r="O123">
        <v>9</v>
      </c>
      <c r="P123" t="s">
        <v>32</v>
      </c>
      <c r="Q123" t="s">
        <v>65</v>
      </c>
      <c r="R123">
        <v>78</v>
      </c>
      <c r="S123">
        <v>0</v>
      </c>
      <c r="T123">
        <v>0</v>
      </c>
      <c r="U123">
        <v>23</v>
      </c>
      <c r="V123">
        <v>1</v>
      </c>
      <c r="W123">
        <v>0</v>
      </c>
      <c r="X123">
        <v>22</v>
      </c>
      <c r="Y123">
        <v>26</v>
      </c>
      <c r="Z123">
        <v>6</v>
      </c>
    </row>
    <row r="124" spans="15:26" x14ac:dyDescent="0.25">
      <c r="O124">
        <v>9</v>
      </c>
      <c r="P124" t="s">
        <v>32</v>
      </c>
      <c r="Q124" t="s">
        <v>64</v>
      </c>
      <c r="R124">
        <v>102</v>
      </c>
      <c r="S124">
        <v>0</v>
      </c>
      <c r="T124">
        <v>1</v>
      </c>
      <c r="U124">
        <v>41</v>
      </c>
      <c r="V124">
        <v>0</v>
      </c>
      <c r="W124">
        <v>0</v>
      </c>
      <c r="X124">
        <v>15</v>
      </c>
      <c r="Y124">
        <v>44</v>
      </c>
      <c r="Z124">
        <v>1</v>
      </c>
    </row>
    <row r="125" spans="15:26" x14ac:dyDescent="0.25">
      <c r="O125">
        <v>9</v>
      </c>
      <c r="P125" t="s">
        <v>32</v>
      </c>
      <c r="Q125" t="s">
        <v>8</v>
      </c>
      <c r="R125">
        <v>186</v>
      </c>
      <c r="S125">
        <v>0</v>
      </c>
      <c r="T125">
        <v>1</v>
      </c>
      <c r="U125">
        <v>95</v>
      </c>
      <c r="V125">
        <v>0</v>
      </c>
      <c r="W125">
        <v>0</v>
      </c>
      <c r="X125">
        <v>44</v>
      </c>
      <c r="Y125">
        <v>43</v>
      </c>
      <c r="Z125">
        <v>3</v>
      </c>
    </row>
    <row r="126" spans="15:26" x14ac:dyDescent="0.25">
      <c r="O126">
        <v>9</v>
      </c>
      <c r="P126" t="s">
        <v>32</v>
      </c>
      <c r="Q126" t="s">
        <v>6</v>
      </c>
      <c r="R126">
        <v>308</v>
      </c>
      <c r="S126">
        <v>0</v>
      </c>
      <c r="T126">
        <v>1</v>
      </c>
      <c r="U126">
        <v>131</v>
      </c>
      <c r="V126">
        <v>1</v>
      </c>
      <c r="W126">
        <v>0</v>
      </c>
      <c r="X126">
        <v>73</v>
      </c>
      <c r="Y126">
        <v>94</v>
      </c>
      <c r="Z126">
        <v>8</v>
      </c>
    </row>
    <row r="127" spans="15:26" x14ac:dyDescent="0.25">
      <c r="O127">
        <v>9</v>
      </c>
      <c r="P127" t="s">
        <v>32</v>
      </c>
      <c r="Q127" t="s">
        <v>1</v>
      </c>
      <c r="R127">
        <v>412</v>
      </c>
      <c r="S127">
        <v>0</v>
      </c>
      <c r="T127">
        <v>0</v>
      </c>
      <c r="U127">
        <v>71</v>
      </c>
      <c r="V127">
        <v>1</v>
      </c>
      <c r="W127">
        <v>0</v>
      </c>
      <c r="X127">
        <v>54</v>
      </c>
      <c r="Y127">
        <v>277</v>
      </c>
      <c r="Z127">
        <v>9</v>
      </c>
    </row>
    <row r="128" spans="15:26" x14ac:dyDescent="0.25">
      <c r="O128">
        <v>9</v>
      </c>
      <c r="P128" t="s">
        <v>32</v>
      </c>
      <c r="Q128" t="s">
        <v>66</v>
      </c>
      <c r="R128">
        <v>1014</v>
      </c>
      <c r="S128">
        <v>0</v>
      </c>
      <c r="T128">
        <v>0</v>
      </c>
      <c r="U128">
        <v>119</v>
      </c>
      <c r="V128">
        <v>18</v>
      </c>
      <c r="W128">
        <v>0</v>
      </c>
      <c r="X128">
        <v>24</v>
      </c>
      <c r="Y128">
        <v>614</v>
      </c>
      <c r="Z128">
        <v>239</v>
      </c>
    </row>
    <row r="129" spans="15:26" x14ac:dyDescent="0.25">
      <c r="O129">
        <v>9</v>
      </c>
      <c r="P129" t="s">
        <v>32</v>
      </c>
      <c r="Q129" t="s">
        <v>24</v>
      </c>
      <c r="R129">
        <v>1051</v>
      </c>
      <c r="S129">
        <v>0</v>
      </c>
      <c r="T129">
        <v>0</v>
      </c>
      <c r="U129">
        <v>230</v>
      </c>
      <c r="V129">
        <v>40</v>
      </c>
      <c r="W129">
        <v>0</v>
      </c>
      <c r="X129">
        <v>96</v>
      </c>
      <c r="Y129">
        <v>110</v>
      </c>
      <c r="Z129">
        <v>575</v>
      </c>
    </row>
    <row r="130" spans="15:26" x14ac:dyDescent="0.25">
      <c r="O130">
        <v>10</v>
      </c>
      <c r="P130" t="s">
        <v>33</v>
      </c>
      <c r="Q130" t="s">
        <v>22</v>
      </c>
      <c r="R130">
        <v>42</v>
      </c>
      <c r="S130">
        <v>0</v>
      </c>
      <c r="T130">
        <v>0</v>
      </c>
      <c r="U130">
        <v>9</v>
      </c>
      <c r="V130">
        <v>2</v>
      </c>
      <c r="W130">
        <v>0</v>
      </c>
      <c r="X130">
        <v>0</v>
      </c>
      <c r="Y130">
        <v>31</v>
      </c>
      <c r="Z130">
        <v>0</v>
      </c>
    </row>
    <row r="131" spans="15:26" x14ac:dyDescent="0.25">
      <c r="O131">
        <v>10</v>
      </c>
      <c r="P131" t="s">
        <v>33</v>
      </c>
      <c r="Q131" t="s">
        <v>4</v>
      </c>
      <c r="R131">
        <v>43</v>
      </c>
      <c r="S131">
        <v>0</v>
      </c>
      <c r="T131">
        <v>0</v>
      </c>
      <c r="U131">
        <v>16</v>
      </c>
      <c r="V131">
        <v>2</v>
      </c>
      <c r="W131">
        <v>0</v>
      </c>
      <c r="X131">
        <v>0</v>
      </c>
      <c r="Y131">
        <v>25</v>
      </c>
      <c r="Z131">
        <v>0</v>
      </c>
    </row>
    <row r="132" spans="15:26" x14ac:dyDescent="0.25">
      <c r="O132">
        <v>10</v>
      </c>
      <c r="P132" t="s">
        <v>33</v>
      </c>
      <c r="Q132" t="s">
        <v>5</v>
      </c>
      <c r="R132">
        <v>44</v>
      </c>
      <c r="S132">
        <v>0</v>
      </c>
      <c r="T132">
        <v>0</v>
      </c>
      <c r="U132">
        <v>8</v>
      </c>
      <c r="V132">
        <v>0</v>
      </c>
      <c r="W132">
        <v>0</v>
      </c>
      <c r="X132">
        <v>8</v>
      </c>
      <c r="Y132">
        <v>28</v>
      </c>
      <c r="Z132">
        <v>0</v>
      </c>
    </row>
    <row r="133" spans="15:26" x14ac:dyDescent="0.25">
      <c r="O133">
        <v>10</v>
      </c>
      <c r="P133" t="s">
        <v>33</v>
      </c>
      <c r="Q133" t="s">
        <v>63</v>
      </c>
      <c r="R133">
        <v>76</v>
      </c>
      <c r="S133">
        <v>0</v>
      </c>
      <c r="T133">
        <v>0</v>
      </c>
      <c r="U133">
        <v>28</v>
      </c>
      <c r="V133">
        <v>0</v>
      </c>
      <c r="W133">
        <v>0</v>
      </c>
      <c r="X133">
        <v>18</v>
      </c>
      <c r="Y133">
        <v>29</v>
      </c>
      <c r="Z133">
        <v>1</v>
      </c>
    </row>
    <row r="134" spans="15:26" x14ac:dyDescent="0.25">
      <c r="O134">
        <v>10</v>
      </c>
      <c r="P134" t="s">
        <v>33</v>
      </c>
      <c r="Q134" t="s">
        <v>23</v>
      </c>
      <c r="R134">
        <v>80</v>
      </c>
      <c r="S134">
        <v>0</v>
      </c>
      <c r="T134">
        <v>0</v>
      </c>
      <c r="U134">
        <v>48</v>
      </c>
      <c r="V134">
        <v>0</v>
      </c>
      <c r="W134">
        <v>0</v>
      </c>
      <c r="X134">
        <v>14</v>
      </c>
      <c r="Y134">
        <v>16</v>
      </c>
      <c r="Z134">
        <v>2</v>
      </c>
    </row>
    <row r="135" spans="15:26" x14ac:dyDescent="0.25">
      <c r="O135">
        <v>10</v>
      </c>
      <c r="P135" t="s">
        <v>33</v>
      </c>
      <c r="Q135" t="s">
        <v>65</v>
      </c>
      <c r="R135">
        <v>88</v>
      </c>
      <c r="S135">
        <v>0</v>
      </c>
      <c r="T135">
        <v>0</v>
      </c>
      <c r="U135">
        <v>26</v>
      </c>
      <c r="V135">
        <v>0</v>
      </c>
      <c r="W135">
        <v>0</v>
      </c>
      <c r="X135">
        <v>18</v>
      </c>
      <c r="Y135">
        <v>32</v>
      </c>
      <c r="Z135">
        <v>12</v>
      </c>
    </row>
    <row r="136" spans="15:26" x14ac:dyDescent="0.25">
      <c r="O136">
        <v>10</v>
      </c>
      <c r="P136" t="s">
        <v>33</v>
      </c>
      <c r="Q136" t="s">
        <v>64</v>
      </c>
      <c r="R136">
        <v>118</v>
      </c>
      <c r="S136">
        <v>0</v>
      </c>
      <c r="T136">
        <v>0</v>
      </c>
      <c r="U136">
        <v>61</v>
      </c>
      <c r="V136">
        <v>0</v>
      </c>
      <c r="W136">
        <v>0</v>
      </c>
      <c r="X136">
        <v>15</v>
      </c>
      <c r="Y136">
        <v>40</v>
      </c>
      <c r="Z136">
        <v>2</v>
      </c>
    </row>
    <row r="137" spans="15:26" x14ac:dyDescent="0.25">
      <c r="O137">
        <v>10</v>
      </c>
      <c r="P137" t="s">
        <v>33</v>
      </c>
      <c r="Q137" t="s">
        <v>8</v>
      </c>
      <c r="R137">
        <v>227</v>
      </c>
      <c r="S137">
        <v>0</v>
      </c>
      <c r="T137">
        <v>0</v>
      </c>
      <c r="U137">
        <v>129</v>
      </c>
      <c r="V137">
        <v>0</v>
      </c>
      <c r="W137">
        <v>0</v>
      </c>
      <c r="X137">
        <v>42</v>
      </c>
      <c r="Y137">
        <v>56</v>
      </c>
      <c r="Z137">
        <v>0</v>
      </c>
    </row>
    <row r="138" spans="15:26" x14ac:dyDescent="0.25">
      <c r="O138">
        <v>10</v>
      </c>
      <c r="P138" t="s">
        <v>33</v>
      </c>
      <c r="Q138" t="s">
        <v>6</v>
      </c>
      <c r="R138">
        <v>409</v>
      </c>
      <c r="S138">
        <v>0</v>
      </c>
      <c r="T138">
        <v>0</v>
      </c>
      <c r="U138">
        <v>214</v>
      </c>
      <c r="V138">
        <v>1</v>
      </c>
      <c r="W138">
        <v>0</v>
      </c>
      <c r="X138">
        <v>75</v>
      </c>
      <c r="Y138">
        <v>107</v>
      </c>
      <c r="Z138">
        <v>12</v>
      </c>
    </row>
    <row r="139" spans="15:26" x14ac:dyDescent="0.25">
      <c r="O139">
        <v>10</v>
      </c>
      <c r="P139" t="s">
        <v>33</v>
      </c>
      <c r="Q139" t="s">
        <v>1</v>
      </c>
      <c r="R139">
        <v>492</v>
      </c>
      <c r="S139">
        <v>0</v>
      </c>
      <c r="T139">
        <v>0</v>
      </c>
      <c r="U139">
        <v>111</v>
      </c>
      <c r="V139">
        <v>0</v>
      </c>
      <c r="W139">
        <v>0</v>
      </c>
      <c r="X139">
        <v>51</v>
      </c>
      <c r="Y139">
        <v>326</v>
      </c>
      <c r="Z139">
        <v>4</v>
      </c>
    </row>
    <row r="140" spans="15:26" x14ac:dyDescent="0.25">
      <c r="O140">
        <v>10</v>
      </c>
      <c r="P140" t="s">
        <v>33</v>
      </c>
      <c r="Q140" t="s">
        <v>24</v>
      </c>
      <c r="R140">
        <v>1224</v>
      </c>
      <c r="S140">
        <v>0</v>
      </c>
      <c r="T140">
        <v>0</v>
      </c>
      <c r="U140">
        <v>286</v>
      </c>
      <c r="V140">
        <v>23</v>
      </c>
      <c r="W140">
        <v>0</v>
      </c>
      <c r="X140">
        <v>112</v>
      </c>
      <c r="Y140">
        <v>167</v>
      </c>
      <c r="Z140">
        <v>636</v>
      </c>
    </row>
    <row r="141" spans="15:26" x14ac:dyDescent="0.25">
      <c r="O141">
        <v>10</v>
      </c>
      <c r="P141" t="s">
        <v>33</v>
      </c>
      <c r="Q141" t="s">
        <v>66</v>
      </c>
      <c r="R141">
        <v>1230</v>
      </c>
      <c r="S141">
        <v>0</v>
      </c>
      <c r="T141">
        <v>0</v>
      </c>
      <c r="U141">
        <v>129</v>
      </c>
      <c r="V141">
        <v>11</v>
      </c>
      <c r="W141">
        <v>0</v>
      </c>
      <c r="X141">
        <v>25</v>
      </c>
      <c r="Y141">
        <v>843</v>
      </c>
      <c r="Z141">
        <v>222</v>
      </c>
    </row>
    <row r="142" spans="15:26" x14ac:dyDescent="0.25">
      <c r="O142">
        <v>11</v>
      </c>
      <c r="P142" t="s">
        <v>34</v>
      </c>
      <c r="Q142" t="s">
        <v>78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5:26" x14ac:dyDescent="0.25">
      <c r="O143">
        <v>11</v>
      </c>
      <c r="P143" t="s">
        <v>34</v>
      </c>
      <c r="Q143" t="s">
        <v>72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5:26" x14ac:dyDescent="0.25">
      <c r="O144">
        <v>11</v>
      </c>
      <c r="P144" t="s">
        <v>34</v>
      </c>
      <c r="Q144" t="s">
        <v>5</v>
      </c>
      <c r="R144">
        <v>44</v>
      </c>
      <c r="S144">
        <v>0</v>
      </c>
      <c r="T144">
        <v>0</v>
      </c>
      <c r="U144">
        <v>14</v>
      </c>
      <c r="V144">
        <v>0</v>
      </c>
      <c r="W144">
        <v>0</v>
      </c>
      <c r="X144">
        <v>4</v>
      </c>
      <c r="Y144">
        <v>26</v>
      </c>
      <c r="Z144">
        <v>0</v>
      </c>
    </row>
    <row r="145" spans="15:26" x14ac:dyDescent="0.25">
      <c r="O145">
        <v>11</v>
      </c>
      <c r="P145" t="s">
        <v>34</v>
      </c>
      <c r="Q145" t="s">
        <v>22</v>
      </c>
      <c r="R145">
        <v>47</v>
      </c>
      <c r="S145">
        <v>0</v>
      </c>
      <c r="T145">
        <v>0</v>
      </c>
      <c r="U145">
        <v>5</v>
      </c>
      <c r="V145">
        <v>1</v>
      </c>
      <c r="W145">
        <v>0</v>
      </c>
      <c r="X145">
        <v>0</v>
      </c>
      <c r="Y145">
        <v>41</v>
      </c>
      <c r="Z145">
        <v>0</v>
      </c>
    </row>
    <row r="146" spans="15:26" x14ac:dyDescent="0.25">
      <c r="O146">
        <v>11</v>
      </c>
      <c r="P146" t="s">
        <v>34</v>
      </c>
      <c r="Q146" t="s">
        <v>4</v>
      </c>
      <c r="R146">
        <v>54</v>
      </c>
      <c r="S146">
        <v>0</v>
      </c>
      <c r="T146">
        <v>0</v>
      </c>
      <c r="U146">
        <v>15</v>
      </c>
      <c r="V146">
        <v>2</v>
      </c>
      <c r="W146">
        <v>0</v>
      </c>
      <c r="X146">
        <v>0</v>
      </c>
      <c r="Y146">
        <v>37</v>
      </c>
      <c r="Z146">
        <v>0</v>
      </c>
    </row>
    <row r="147" spans="15:26" x14ac:dyDescent="0.25">
      <c r="O147">
        <v>11</v>
      </c>
      <c r="P147" t="s">
        <v>34</v>
      </c>
      <c r="Q147" t="s">
        <v>65</v>
      </c>
      <c r="R147">
        <v>73</v>
      </c>
      <c r="S147">
        <v>0</v>
      </c>
      <c r="T147">
        <v>0</v>
      </c>
      <c r="U147">
        <v>27</v>
      </c>
      <c r="V147">
        <v>1</v>
      </c>
      <c r="W147">
        <v>0</v>
      </c>
      <c r="X147">
        <v>16</v>
      </c>
      <c r="Y147">
        <v>22</v>
      </c>
      <c r="Z147">
        <v>7</v>
      </c>
    </row>
    <row r="148" spans="15:26" x14ac:dyDescent="0.25">
      <c r="O148">
        <v>11</v>
      </c>
      <c r="P148" t="s">
        <v>34</v>
      </c>
      <c r="Q148" t="s">
        <v>63</v>
      </c>
      <c r="R148">
        <v>76</v>
      </c>
      <c r="S148">
        <v>0</v>
      </c>
      <c r="T148">
        <v>0</v>
      </c>
      <c r="U148">
        <v>25</v>
      </c>
      <c r="V148">
        <v>0</v>
      </c>
      <c r="W148">
        <v>0</v>
      </c>
      <c r="X148">
        <v>18</v>
      </c>
      <c r="Y148">
        <v>32</v>
      </c>
      <c r="Z148">
        <v>1</v>
      </c>
    </row>
    <row r="149" spans="15:26" x14ac:dyDescent="0.25">
      <c r="O149">
        <v>11</v>
      </c>
      <c r="P149" t="s">
        <v>34</v>
      </c>
      <c r="Q149" t="s">
        <v>23</v>
      </c>
      <c r="R149">
        <v>81</v>
      </c>
      <c r="S149">
        <v>0</v>
      </c>
      <c r="T149">
        <v>0</v>
      </c>
      <c r="U149">
        <v>43</v>
      </c>
      <c r="V149">
        <v>0</v>
      </c>
      <c r="W149">
        <v>0</v>
      </c>
      <c r="X149">
        <v>22</v>
      </c>
      <c r="Y149">
        <v>14</v>
      </c>
      <c r="Z149">
        <v>2</v>
      </c>
    </row>
    <row r="150" spans="15:26" x14ac:dyDescent="0.25">
      <c r="O150">
        <v>11</v>
      </c>
      <c r="P150" t="s">
        <v>34</v>
      </c>
      <c r="Q150" t="s">
        <v>64</v>
      </c>
      <c r="R150">
        <v>114</v>
      </c>
      <c r="S150">
        <v>0</v>
      </c>
      <c r="T150">
        <v>1</v>
      </c>
      <c r="U150">
        <v>58</v>
      </c>
      <c r="V150">
        <v>0</v>
      </c>
      <c r="W150">
        <v>0</v>
      </c>
      <c r="X150">
        <v>14</v>
      </c>
      <c r="Y150">
        <v>41</v>
      </c>
      <c r="Z150">
        <v>0</v>
      </c>
    </row>
    <row r="151" spans="15:26" x14ac:dyDescent="0.25">
      <c r="O151">
        <v>11</v>
      </c>
      <c r="P151" t="s">
        <v>34</v>
      </c>
      <c r="Q151" t="s">
        <v>8</v>
      </c>
      <c r="R151">
        <v>236</v>
      </c>
      <c r="S151">
        <v>0</v>
      </c>
      <c r="T151">
        <v>0</v>
      </c>
      <c r="U151">
        <v>117</v>
      </c>
      <c r="V151">
        <v>0</v>
      </c>
      <c r="W151">
        <v>0</v>
      </c>
      <c r="X151">
        <v>47</v>
      </c>
      <c r="Y151">
        <v>70</v>
      </c>
      <c r="Z151">
        <v>2</v>
      </c>
    </row>
    <row r="152" spans="15:26" x14ac:dyDescent="0.25">
      <c r="O152">
        <v>11</v>
      </c>
      <c r="P152" t="s">
        <v>34</v>
      </c>
      <c r="Q152" t="s">
        <v>6</v>
      </c>
      <c r="R152">
        <v>371</v>
      </c>
      <c r="S152">
        <v>0</v>
      </c>
      <c r="T152">
        <v>1</v>
      </c>
      <c r="U152">
        <v>173</v>
      </c>
      <c r="V152">
        <v>0</v>
      </c>
      <c r="W152">
        <v>0</v>
      </c>
      <c r="X152">
        <v>77</v>
      </c>
      <c r="Y152">
        <v>111</v>
      </c>
      <c r="Z152">
        <v>9</v>
      </c>
    </row>
    <row r="153" spans="15:26" x14ac:dyDescent="0.25">
      <c r="O153">
        <v>11</v>
      </c>
      <c r="P153" t="s">
        <v>34</v>
      </c>
      <c r="Q153" t="s">
        <v>1</v>
      </c>
      <c r="R153">
        <v>475</v>
      </c>
      <c r="S153">
        <v>0</v>
      </c>
      <c r="T153">
        <v>0</v>
      </c>
      <c r="U153">
        <v>100</v>
      </c>
      <c r="V153">
        <v>0</v>
      </c>
      <c r="W153">
        <v>0</v>
      </c>
      <c r="X153">
        <v>53</v>
      </c>
      <c r="Y153">
        <v>318</v>
      </c>
      <c r="Z153">
        <v>4</v>
      </c>
    </row>
    <row r="154" spans="15:26" x14ac:dyDescent="0.25">
      <c r="O154">
        <v>11</v>
      </c>
      <c r="P154" t="s">
        <v>34</v>
      </c>
      <c r="Q154" t="s">
        <v>24</v>
      </c>
      <c r="R154">
        <v>1087</v>
      </c>
      <c r="S154">
        <v>0</v>
      </c>
      <c r="T154">
        <v>0</v>
      </c>
      <c r="U154">
        <v>278</v>
      </c>
      <c r="V154">
        <v>26</v>
      </c>
      <c r="W154">
        <v>0</v>
      </c>
      <c r="X154">
        <v>80</v>
      </c>
      <c r="Y154">
        <v>133</v>
      </c>
      <c r="Z154">
        <v>570</v>
      </c>
    </row>
    <row r="155" spans="15:26" x14ac:dyDescent="0.25">
      <c r="O155">
        <v>11</v>
      </c>
      <c r="P155" t="s">
        <v>34</v>
      </c>
      <c r="Q155" t="s">
        <v>66</v>
      </c>
      <c r="R155">
        <v>1100</v>
      </c>
      <c r="S155">
        <v>0</v>
      </c>
      <c r="T155">
        <v>0</v>
      </c>
      <c r="U155">
        <v>119</v>
      </c>
      <c r="V155">
        <v>7</v>
      </c>
      <c r="W155">
        <v>0</v>
      </c>
      <c r="X155">
        <v>31</v>
      </c>
      <c r="Y155">
        <v>743</v>
      </c>
      <c r="Z155">
        <v>200</v>
      </c>
    </row>
    <row r="156" spans="15:26" x14ac:dyDescent="0.25">
      <c r="O156">
        <v>12</v>
      </c>
      <c r="P156" t="s">
        <v>35</v>
      </c>
      <c r="Q156" t="s">
        <v>62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5:26" x14ac:dyDescent="0.25">
      <c r="O157">
        <v>12</v>
      </c>
      <c r="P157" t="s">
        <v>35</v>
      </c>
      <c r="Q157" t="s">
        <v>11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5:26" x14ac:dyDescent="0.25">
      <c r="O158">
        <v>12</v>
      </c>
      <c r="P158" t="s">
        <v>35</v>
      </c>
      <c r="Q158" t="s">
        <v>22</v>
      </c>
      <c r="R158">
        <v>14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12</v>
      </c>
      <c r="Z158">
        <v>0</v>
      </c>
    </row>
    <row r="159" spans="15:26" x14ac:dyDescent="0.25">
      <c r="O159">
        <v>12</v>
      </c>
      <c r="P159" t="s">
        <v>35</v>
      </c>
      <c r="Q159" t="s">
        <v>4</v>
      </c>
      <c r="R159">
        <v>15</v>
      </c>
      <c r="S159">
        <v>0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12</v>
      </c>
      <c r="Z159">
        <v>0</v>
      </c>
    </row>
    <row r="160" spans="15:26" x14ac:dyDescent="0.25">
      <c r="O160">
        <v>12</v>
      </c>
      <c r="P160" t="s">
        <v>35</v>
      </c>
      <c r="Q160" t="s">
        <v>5</v>
      </c>
      <c r="R160">
        <v>18</v>
      </c>
      <c r="S160">
        <v>0</v>
      </c>
      <c r="T160">
        <v>0</v>
      </c>
      <c r="U160">
        <v>8</v>
      </c>
      <c r="V160">
        <v>0</v>
      </c>
      <c r="W160">
        <v>0</v>
      </c>
      <c r="X160">
        <v>1</v>
      </c>
      <c r="Y160">
        <v>9</v>
      </c>
      <c r="Z160">
        <v>0</v>
      </c>
    </row>
    <row r="161" spans="15:26" x14ac:dyDescent="0.25">
      <c r="O161">
        <v>12</v>
      </c>
      <c r="P161" t="s">
        <v>35</v>
      </c>
      <c r="Q161" t="s">
        <v>63</v>
      </c>
      <c r="R161">
        <v>26</v>
      </c>
      <c r="S161">
        <v>0</v>
      </c>
      <c r="T161">
        <v>0</v>
      </c>
      <c r="U161">
        <v>11</v>
      </c>
      <c r="V161">
        <v>0</v>
      </c>
      <c r="W161">
        <v>0</v>
      </c>
      <c r="X161">
        <v>6</v>
      </c>
      <c r="Y161">
        <v>9</v>
      </c>
      <c r="Z161">
        <v>0</v>
      </c>
    </row>
    <row r="162" spans="15:26" x14ac:dyDescent="0.25">
      <c r="O162">
        <v>12</v>
      </c>
      <c r="P162" t="s">
        <v>35</v>
      </c>
      <c r="Q162" t="s">
        <v>65</v>
      </c>
      <c r="R162">
        <v>39</v>
      </c>
      <c r="S162">
        <v>0</v>
      </c>
      <c r="T162">
        <v>0</v>
      </c>
      <c r="U162">
        <v>14</v>
      </c>
      <c r="V162">
        <v>0</v>
      </c>
      <c r="W162">
        <v>0</v>
      </c>
      <c r="X162">
        <v>16</v>
      </c>
      <c r="Y162">
        <v>5</v>
      </c>
      <c r="Z162">
        <v>4</v>
      </c>
    </row>
    <row r="163" spans="15:26" x14ac:dyDescent="0.25">
      <c r="O163">
        <v>12</v>
      </c>
      <c r="P163" t="s">
        <v>35</v>
      </c>
      <c r="Q163" t="s">
        <v>64</v>
      </c>
      <c r="R163">
        <v>40</v>
      </c>
      <c r="S163">
        <v>0</v>
      </c>
      <c r="T163">
        <v>0</v>
      </c>
      <c r="U163">
        <v>17</v>
      </c>
      <c r="V163">
        <v>0</v>
      </c>
      <c r="W163">
        <v>0</v>
      </c>
      <c r="X163">
        <v>4</v>
      </c>
      <c r="Y163">
        <v>18</v>
      </c>
      <c r="Z163">
        <v>1</v>
      </c>
    </row>
    <row r="164" spans="15:26" x14ac:dyDescent="0.25">
      <c r="O164">
        <v>12</v>
      </c>
      <c r="P164" t="s">
        <v>35</v>
      </c>
      <c r="Q164" t="s">
        <v>23</v>
      </c>
      <c r="R164">
        <v>47</v>
      </c>
      <c r="S164">
        <v>0</v>
      </c>
      <c r="T164">
        <v>0</v>
      </c>
      <c r="U164">
        <v>21</v>
      </c>
      <c r="V164">
        <v>0</v>
      </c>
      <c r="W164">
        <v>0</v>
      </c>
      <c r="X164">
        <v>14</v>
      </c>
      <c r="Y164">
        <v>11</v>
      </c>
      <c r="Z164">
        <v>1</v>
      </c>
    </row>
    <row r="165" spans="15:26" x14ac:dyDescent="0.25">
      <c r="O165">
        <v>12</v>
      </c>
      <c r="P165" t="s">
        <v>35</v>
      </c>
      <c r="Q165" t="s">
        <v>8</v>
      </c>
      <c r="R165">
        <v>88</v>
      </c>
      <c r="S165">
        <v>0</v>
      </c>
      <c r="T165">
        <v>0</v>
      </c>
      <c r="U165">
        <v>45</v>
      </c>
      <c r="V165">
        <v>0</v>
      </c>
      <c r="W165">
        <v>0</v>
      </c>
      <c r="X165">
        <v>18</v>
      </c>
      <c r="Y165">
        <v>25</v>
      </c>
      <c r="Z165">
        <v>0</v>
      </c>
    </row>
    <row r="166" spans="15:26" x14ac:dyDescent="0.25">
      <c r="O166">
        <v>12</v>
      </c>
      <c r="P166" t="s">
        <v>35</v>
      </c>
      <c r="Q166" t="s">
        <v>6</v>
      </c>
      <c r="R166">
        <v>176</v>
      </c>
      <c r="S166">
        <v>0</v>
      </c>
      <c r="T166">
        <v>0</v>
      </c>
      <c r="U166">
        <v>87</v>
      </c>
      <c r="V166">
        <v>0</v>
      </c>
      <c r="W166">
        <v>0</v>
      </c>
      <c r="X166">
        <v>39</v>
      </c>
      <c r="Y166">
        <v>44</v>
      </c>
      <c r="Z166">
        <v>6</v>
      </c>
    </row>
    <row r="167" spans="15:26" x14ac:dyDescent="0.25">
      <c r="O167">
        <v>12</v>
      </c>
      <c r="P167" t="s">
        <v>35</v>
      </c>
      <c r="Q167" t="s">
        <v>1</v>
      </c>
      <c r="R167">
        <v>247</v>
      </c>
      <c r="S167">
        <v>0</v>
      </c>
      <c r="T167">
        <v>0</v>
      </c>
      <c r="U167">
        <v>63</v>
      </c>
      <c r="V167">
        <v>0</v>
      </c>
      <c r="W167">
        <v>0</v>
      </c>
      <c r="X167">
        <v>27</v>
      </c>
      <c r="Y167">
        <v>156</v>
      </c>
      <c r="Z167">
        <v>1</v>
      </c>
    </row>
    <row r="168" spans="15:26" x14ac:dyDescent="0.25">
      <c r="O168">
        <v>12</v>
      </c>
      <c r="P168" t="s">
        <v>35</v>
      </c>
      <c r="Q168" t="s">
        <v>24</v>
      </c>
      <c r="R168">
        <v>901</v>
      </c>
      <c r="S168">
        <v>0</v>
      </c>
      <c r="T168">
        <v>0</v>
      </c>
      <c r="U168">
        <v>193</v>
      </c>
      <c r="V168">
        <v>27</v>
      </c>
      <c r="W168">
        <v>0</v>
      </c>
      <c r="X168">
        <v>120</v>
      </c>
      <c r="Y168">
        <v>82</v>
      </c>
      <c r="Z168">
        <v>479</v>
      </c>
    </row>
    <row r="169" spans="15:26" x14ac:dyDescent="0.25">
      <c r="O169">
        <v>12</v>
      </c>
      <c r="P169" t="s">
        <v>35</v>
      </c>
      <c r="Q169" t="s">
        <v>66</v>
      </c>
      <c r="R169">
        <v>981</v>
      </c>
      <c r="S169">
        <v>0</v>
      </c>
      <c r="T169">
        <v>0</v>
      </c>
      <c r="U169">
        <v>109</v>
      </c>
      <c r="V169">
        <v>16</v>
      </c>
      <c r="W169">
        <v>0</v>
      </c>
      <c r="X169">
        <v>27</v>
      </c>
      <c r="Y169">
        <v>621</v>
      </c>
      <c r="Z169">
        <v>208</v>
      </c>
    </row>
    <row r="170" spans="15:26" x14ac:dyDescent="0.25">
      <c r="O170">
        <v>13</v>
      </c>
      <c r="P170" t="s">
        <v>36</v>
      </c>
      <c r="Q170" t="s">
        <v>72</v>
      </c>
      <c r="R170">
        <v>2</v>
      </c>
      <c r="S170">
        <v>0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5:26" x14ac:dyDescent="0.25">
      <c r="O171">
        <v>13</v>
      </c>
      <c r="P171" t="s">
        <v>36</v>
      </c>
      <c r="Q171" t="s">
        <v>22</v>
      </c>
      <c r="R171">
        <v>63</v>
      </c>
      <c r="S171">
        <v>0</v>
      </c>
      <c r="T171">
        <v>0</v>
      </c>
      <c r="U171">
        <v>8</v>
      </c>
      <c r="V171">
        <v>1</v>
      </c>
      <c r="W171">
        <v>0</v>
      </c>
      <c r="X171">
        <v>0</v>
      </c>
      <c r="Y171">
        <v>54</v>
      </c>
      <c r="Z171">
        <v>0</v>
      </c>
    </row>
    <row r="172" spans="15:26" x14ac:dyDescent="0.25">
      <c r="O172">
        <v>13</v>
      </c>
      <c r="P172" t="s">
        <v>36</v>
      </c>
      <c r="Q172" t="s">
        <v>4</v>
      </c>
      <c r="R172">
        <v>65</v>
      </c>
      <c r="S172">
        <v>0</v>
      </c>
      <c r="T172">
        <v>0</v>
      </c>
      <c r="U172">
        <v>18</v>
      </c>
      <c r="V172">
        <v>3</v>
      </c>
      <c r="W172">
        <v>0</v>
      </c>
      <c r="X172">
        <v>0</v>
      </c>
      <c r="Y172">
        <v>44</v>
      </c>
      <c r="Z172">
        <v>0</v>
      </c>
    </row>
    <row r="173" spans="15:26" x14ac:dyDescent="0.25">
      <c r="O173">
        <v>13</v>
      </c>
      <c r="P173" t="s">
        <v>36</v>
      </c>
      <c r="Q173" t="s">
        <v>5</v>
      </c>
      <c r="R173">
        <v>71</v>
      </c>
      <c r="S173">
        <v>0</v>
      </c>
      <c r="T173">
        <v>0</v>
      </c>
      <c r="U173">
        <v>26</v>
      </c>
      <c r="V173">
        <v>0</v>
      </c>
      <c r="W173">
        <v>0</v>
      </c>
      <c r="X173">
        <v>9</v>
      </c>
      <c r="Y173">
        <v>36</v>
      </c>
      <c r="Z173">
        <v>0</v>
      </c>
    </row>
    <row r="174" spans="15:26" x14ac:dyDescent="0.25">
      <c r="O174">
        <v>13</v>
      </c>
      <c r="P174" t="s">
        <v>36</v>
      </c>
      <c r="Q174" t="s">
        <v>63</v>
      </c>
      <c r="R174">
        <v>97</v>
      </c>
      <c r="S174">
        <v>0</v>
      </c>
      <c r="T174">
        <v>0</v>
      </c>
      <c r="U174">
        <v>38</v>
      </c>
      <c r="V174">
        <v>0</v>
      </c>
      <c r="W174">
        <v>0</v>
      </c>
      <c r="X174">
        <v>10</v>
      </c>
      <c r="Y174">
        <v>46</v>
      </c>
      <c r="Z174">
        <v>3</v>
      </c>
    </row>
    <row r="175" spans="15:26" x14ac:dyDescent="0.25">
      <c r="O175">
        <v>13</v>
      </c>
      <c r="P175" t="s">
        <v>36</v>
      </c>
      <c r="Q175" t="s">
        <v>65</v>
      </c>
      <c r="R175">
        <v>104</v>
      </c>
      <c r="S175">
        <v>0</v>
      </c>
      <c r="T175">
        <v>0</v>
      </c>
      <c r="U175">
        <v>33</v>
      </c>
      <c r="V175">
        <v>1</v>
      </c>
      <c r="W175">
        <v>0</v>
      </c>
      <c r="X175">
        <v>30</v>
      </c>
      <c r="Y175">
        <v>33</v>
      </c>
      <c r="Z175">
        <v>7</v>
      </c>
    </row>
    <row r="176" spans="15:26" x14ac:dyDescent="0.25">
      <c r="O176">
        <v>13</v>
      </c>
      <c r="P176" t="s">
        <v>36</v>
      </c>
      <c r="Q176" t="s">
        <v>64</v>
      </c>
      <c r="R176">
        <v>178</v>
      </c>
      <c r="S176">
        <v>0</v>
      </c>
      <c r="T176">
        <v>0</v>
      </c>
      <c r="U176">
        <v>89</v>
      </c>
      <c r="V176">
        <v>0</v>
      </c>
      <c r="W176">
        <v>0</v>
      </c>
      <c r="X176">
        <v>34</v>
      </c>
      <c r="Y176">
        <v>53</v>
      </c>
      <c r="Z176">
        <v>2</v>
      </c>
    </row>
    <row r="177" spans="15:26" x14ac:dyDescent="0.25">
      <c r="O177">
        <v>13</v>
      </c>
      <c r="P177" t="s">
        <v>36</v>
      </c>
      <c r="Q177" t="s">
        <v>23</v>
      </c>
      <c r="R177">
        <v>184</v>
      </c>
      <c r="S177">
        <v>0</v>
      </c>
      <c r="T177">
        <v>0</v>
      </c>
      <c r="U177">
        <v>110</v>
      </c>
      <c r="V177">
        <v>0</v>
      </c>
      <c r="W177">
        <v>0</v>
      </c>
      <c r="X177">
        <v>26</v>
      </c>
      <c r="Y177">
        <v>45</v>
      </c>
      <c r="Z177">
        <v>3</v>
      </c>
    </row>
    <row r="178" spans="15:26" x14ac:dyDescent="0.25">
      <c r="O178">
        <v>13</v>
      </c>
      <c r="P178" t="s">
        <v>36</v>
      </c>
      <c r="Q178" t="s">
        <v>8</v>
      </c>
      <c r="R178">
        <v>368</v>
      </c>
      <c r="S178">
        <v>0</v>
      </c>
      <c r="T178">
        <v>1</v>
      </c>
      <c r="U178">
        <v>190</v>
      </c>
      <c r="V178">
        <v>0</v>
      </c>
      <c r="W178">
        <v>0</v>
      </c>
      <c r="X178">
        <v>68</v>
      </c>
      <c r="Y178">
        <v>108</v>
      </c>
      <c r="Z178">
        <v>1</v>
      </c>
    </row>
    <row r="179" spans="15:26" x14ac:dyDescent="0.25">
      <c r="O179">
        <v>13</v>
      </c>
      <c r="P179" t="s">
        <v>36</v>
      </c>
      <c r="Q179" t="s">
        <v>6</v>
      </c>
      <c r="R179">
        <v>589</v>
      </c>
      <c r="S179">
        <v>0</v>
      </c>
      <c r="T179">
        <v>1</v>
      </c>
      <c r="U179">
        <v>278</v>
      </c>
      <c r="V179">
        <v>0</v>
      </c>
      <c r="W179">
        <v>0</v>
      </c>
      <c r="X179">
        <v>117</v>
      </c>
      <c r="Y179">
        <v>175</v>
      </c>
      <c r="Z179">
        <v>18</v>
      </c>
    </row>
    <row r="180" spans="15:26" x14ac:dyDescent="0.25">
      <c r="O180">
        <v>13</v>
      </c>
      <c r="P180" t="s">
        <v>36</v>
      </c>
      <c r="Q180" t="s">
        <v>1</v>
      </c>
      <c r="R180">
        <v>738</v>
      </c>
      <c r="S180">
        <v>0</v>
      </c>
      <c r="T180">
        <v>0</v>
      </c>
      <c r="U180">
        <v>193</v>
      </c>
      <c r="V180">
        <v>2</v>
      </c>
      <c r="W180">
        <v>0</v>
      </c>
      <c r="X180">
        <v>71</v>
      </c>
      <c r="Y180">
        <v>465</v>
      </c>
      <c r="Z180">
        <v>7</v>
      </c>
    </row>
    <row r="181" spans="15:26" x14ac:dyDescent="0.25">
      <c r="O181">
        <v>13</v>
      </c>
      <c r="P181" t="s">
        <v>36</v>
      </c>
      <c r="Q181" t="s">
        <v>24</v>
      </c>
      <c r="R181">
        <v>1985</v>
      </c>
      <c r="S181">
        <v>0</v>
      </c>
      <c r="T181">
        <v>0</v>
      </c>
      <c r="U181">
        <v>498</v>
      </c>
      <c r="V181">
        <v>57</v>
      </c>
      <c r="W181">
        <v>0</v>
      </c>
      <c r="X181">
        <v>175</v>
      </c>
      <c r="Y181">
        <v>213</v>
      </c>
      <c r="Z181">
        <v>1042</v>
      </c>
    </row>
    <row r="182" spans="15:26" x14ac:dyDescent="0.25">
      <c r="O182">
        <v>13</v>
      </c>
      <c r="P182" t="s">
        <v>36</v>
      </c>
      <c r="Q182" t="s">
        <v>66</v>
      </c>
      <c r="R182">
        <v>2051</v>
      </c>
      <c r="S182">
        <v>0</v>
      </c>
      <c r="T182">
        <v>0</v>
      </c>
      <c r="U182">
        <v>251</v>
      </c>
      <c r="V182">
        <v>28</v>
      </c>
      <c r="W182">
        <v>0</v>
      </c>
      <c r="X182">
        <v>43</v>
      </c>
      <c r="Y182">
        <v>1288</v>
      </c>
      <c r="Z182">
        <v>441</v>
      </c>
    </row>
    <row r="183" spans="15:26" x14ac:dyDescent="0.25">
      <c r="O183">
        <v>15</v>
      </c>
      <c r="P183" t="s">
        <v>38</v>
      </c>
      <c r="Q183" t="s">
        <v>22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0</v>
      </c>
    </row>
    <row r="184" spans="15:26" x14ac:dyDescent="0.25">
      <c r="O184">
        <v>15</v>
      </c>
      <c r="P184" t="s">
        <v>38</v>
      </c>
      <c r="Q184" t="s">
        <v>4</v>
      </c>
      <c r="R184">
        <v>2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0</v>
      </c>
    </row>
    <row r="185" spans="15:26" x14ac:dyDescent="0.25">
      <c r="O185">
        <v>15</v>
      </c>
      <c r="P185" t="s">
        <v>38</v>
      </c>
      <c r="Q185" t="s">
        <v>64</v>
      </c>
      <c r="R185">
        <v>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2</v>
      </c>
      <c r="Z185">
        <v>0</v>
      </c>
    </row>
    <row r="186" spans="15:26" x14ac:dyDescent="0.25">
      <c r="O186">
        <v>15</v>
      </c>
      <c r="P186" t="s">
        <v>38</v>
      </c>
      <c r="Q186" t="s">
        <v>63</v>
      </c>
      <c r="R186">
        <v>4</v>
      </c>
      <c r="S186">
        <v>0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1</v>
      </c>
      <c r="Z186">
        <v>0</v>
      </c>
    </row>
    <row r="187" spans="15:26" x14ac:dyDescent="0.25">
      <c r="O187">
        <v>15</v>
      </c>
      <c r="P187" t="s">
        <v>38</v>
      </c>
      <c r="Q187" t="s">
        <v>23</v>
      </c>
      <c r="R187">
        <v>10</v>
      </c>
      <c r="S187">
        <v>0</v>
      </c>
      <c r="T187">
        <v>0</v>
      </c>
      <c r="U187">
        <v>4</v>
      </c>
      <c r="V187">
        <v>0</v>
      </c>
      <c r="W187">
        <v>0</v>
      </c>
      <c r="X187">
        <v>3</v>
      </c>
      <c r="Y187">
        <v>3</v>
      </c>
      <c r="Z187">
        <v>0</v>
      </c>
    </row>
    <row r="188" spans="15:26" x14ac:dyDescent="0.25">
      <c r="O188">
        <v>15</v>
      </c>
      <c r="P188" t="s">
        <v>38</v>
      </c>
      <c r="Q188" t="s">
        <v>8</v>
      </c>
      <c r="R188">
        <v>16</v>
      </c>
      <c r="S188">
        <v>0</v>
      </c>
      <c r="T188">
        <v>0</v>
      </c>
      <c r="U188">
        <v>9</v>
      </c>
      <c r="V188">
        <v>0</v>
      </c>
      <c r="W188">
        <v>0</v>
      </c>
      <c r="X188">
        <v>5</v>
      </c>
      <c r="Y188">
        <v>2</v>
      </c>
      <c r="Z188">
        <v>0</v>
      </c>
    </row>
    <row r="189" spans="15:26" x14ac:dyDescent="0.25">
      <c r="O189">
        <v>15</v>
      </c>
      <c r="P189" t="s">
        <v>38</v>
      </c>
      <c r="Q189" t="s">
        <v>65</v>
      </c>
      <c r="R189">
        <v>20</v>
      </c>
      <c r="S189">
        <v>0</v>
      </c>
      <c r="T189">
        <v>0</v>
      </c>
      <c r="U189">
        <v>10</v>
      </c>
      <c r="V189">
        <v>0</v>
      </c>
      <c r="W189">
        <v>0</v>
      </c>
      <c r="X189">
        <v>7</v>
      </c>
      <c r="Y189">
        <v>3</v>
      </c>
      <c r="Z189">
        <v>0</v>
      </c>
    </row>
    <row r="190" spans="15:26" x14ac:dyDescent="0.25">
      <c r="O190">
        <v>15</v>
      </c>
      <c r="P190" t="s">
        <v>38</v>
      </c>
      <c r="Q190" t="s">
        <v>6</v>
      </c>
      <c r="R190">
        <v>28</v>
      </c>
      <c r="S190">
        <v>0</v>
      </c>
      <c r="T190">
        <v>0</v>
      </c>
      <c r="U190">
        <v>14</v>
      </c>
      <c r="V190">
        <v>0</v>
      </c>
      <c r="W190">
        <v>0</v>
      </c>
      <c r="X190">
        <v>7</v>
      </c>
      <c r="Y190">
        <v>7</v>
      </c>
      <c r="Z190">
        <v>0</v>
      </c>
    </row>
    <row r="191" spans="15:26" x14ac:dyDescent="0.25">
      <c r="O191">
        <v>15</v>
      </c>
      <c r="P191" t="s">
        <v>38</v>
      </c>
      <c r="Q191" t="s">
        <v>1</v>
      </c>
      <c r="R191">
        <v>60</v>
      </c>
      <c r="S191">
        <v>0</v>
      </c>
      <c r="T191">
        <v>0</v>
      </c>
      <c r="U191">
        <v>14</v>
      </c>
      <c r="V191">
        <v>0</v>
      </c>
      <c r="W191">
        <v>0</v>
      </c>
      <c r="X191">
        <v>8</v>
      </c>
      <c r="Y191">
        <v>38</v>
      </c>
      <c r="Z191">
        <v>0</v>
      </c>
    </row>
    <row r="192" spans="15:26" x14ac:dyDescent="0.25">
      <c r="O192">
        <v>15</v>
      </c>
      <c r="P192" t="s">
        <v>38</v>
      </c>
      <c r="Q192" t="s">
        <v>24</v>
      </c>
      <c r="R192">
        <v>238</v>
      </c>
      <c r="S192">
        <v>0</v>
      </c>
      <c r="T192">
        <v>0</v>
      </c>
      <c r="U192">
        <v>60</v>
      </c>
      <c r="V192">
        <v>15</v>
      </c>
      <c r="W192">
        <v>0</v>
      </c>
      <c r="X192">
        <v>28</v>
      </c>
      <c r="Y192">
        <v>23</v>
      </c>
      <c r="Z192">
        <v>112</v>
      </c>
    </row>
    <row r="193" spans="15:26" x14ac:dyDescent="0.25">
      <c r="O193">
        <v>15</v>
      </c>
      <c r="P193" t="s">
        <v>38</v>
      </c>
      <c r="Q193" t="s">
        <v>66</v>
      </c>
      <c r="R193">
        <v>264</v>
      </c>
      <c r="S193">
        <v>0</v>
      </c>
      <c r="T193">
        <v>0</v>
      </c>
      <c r="U193">
        <v>37</v>
      </c>
      <c r="V193">
        <v>5</v>
      </c>
      <c r="W193">
        <v>0</v>
      </c>
      <c r="X193">
        <v>4</v>
      </c>
      <c r="Y193">
        <v>158</v>
      </c>
      <c r="Z193">
        <v>60</v>
      </c>
    </row>
    <row r="194" spans="15:26" x14ac:dyDescent="0.25">
      <c r="O194">
        <v>17</v>
      </c>
      <c r="P194" t="s">
        <v>40</v>
      </c>
      <c r="Q194" t="s">
        <v>11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5:26" x14ac:dyDescent="0.25">
      <c r="O195">
        <v>17</v>
      </c>
      <c r="P195" t="s">
        <v>40</v>
      </c>
      <c r="Q195" t="s">
        <v>5</v>
      </c>
      <c r="R195">
        <v>3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5:26" x14ac:dyDescent="0.25">
      <c r="O196">
        <v>17</v>
      </c>
      <c r="P196" t="s">
        <v>40</v>
      </c>
      <c r="Q196" t="s">
        <v>22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0</v>
      </c>
    </row>
    <row r="197" spans="15:26" x14ac:dyDescent="0.25">
      <c r="O197">
        <v>17</v>
      </c>
      <c r="P197" t="s">
        <v>40</v>
      </c>
      <c r="Q197" t="s">
        <v>4</v>
      </c>
      <c r="R197">
        <v>4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2</v>
      </c>
      <c r="Z197">
        <v>0</v>
      </c>
    </row>
    <row r="198" spans="15:26" x14ac:dyDescent="0.25">
      <c r="O198">
        <v>17</v>
      </c>
      <c r="P198" t="s">
        <v>40</v>
      </c>
      <c r="Q198" t="s">
        <v>63</v>
      </c>
      <c r="R198">
        <v>4</v>
      </c>
      <c r="S198">
        <v>0</v>
      </c>
      <c r="T198">
        <v>0</v>
      </c>
      <c r="U198">
        <v>3</v>
      </c>
      <c r="V198">
        <v>0</v>
      </c>
      <c r="W198">
        <v>0</v>
      </c>
      <c r="X198">
        <v>1</v>
      </c>
      <c r="Y198">
        <v>0</v>
      </c>
      <c r="Z198">
        <v>0</v>
      </c>
    </row>
    <row r="199" spans="15:26" x14ac:dyDescent="0.25">
      <c r="O199">
        <v>17</v>
      </c>
      <c r="P199" t="s">
        <v>40</v>
      </c>
      <c r="Q199" t="s">
        <v>65</v>
      </c>
      <c r="R199">
        <v>5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1</v>
      </c>
      <c r="Y199">
        <v>1</v>
      </c>
      <c r="Z199">
        <v>1</v>
      </c>
    </row>
    <row r="200" spans="15:26" x14ac:dyDescent="0.25">
      <c r="O200">
        <v>17</v>
      </c>
      <c r="P200" t="s">
        <v>40</v>
      </c>
      <c r="Q200" t="s">
        <v>64</v>
      </c>
      <c r="R200">
        <v>10</v>
      </c>
      <c r="S200">
        <v>0</v>
      </c>
      <c r="T200">
        <v>0</v>
      </c>
      <c r="U200">
        <v>6</v>
      </c>
      <c r="V200">
        <v>0</v>
      </c>
      <c r="W200">
        <v>0</v>
      </c>
      <c r="X200">
        <v>1</v>
      </c>
      <c r="Y200">
        <v>3</v>
      </c>
      <c r="Z200">
        <v>0</v>
      </c>
    </row>
    <row r="201" spans="15:26" x14ac:dyDescent="0.25">
      <c r="O201">
        <v>17</v>
      </c>
      <c r="P201" t="s">
        <v>40</v>
      </c>
      <c r="Q201" t="s">
        <v>23</v>
      </c>
      <c r="R201">
        <v>19</v>
      </c>
      <c r="S201">
        <v>0</v>
      </c>
      <c r="T201">
        <v>0</v>
      </c>
      <c r="U201">
        <v>9</v>
      </c>
      <c r="V201">
        <v>0</v>
      </c>
      <c r="W201">
        <v>0</v>
      </c>
      <c r="X201">
        <v>3</v>
      </c>
      <c r="Y201">
        <v>7</v>
      </c>
      <c r="Z201">
        <v>0</v>
      </c>
    </row>
    <row r="202" spans="15:26" x14ac:dyDescent="0.25">
      <c r="O202">
        <v>17</v>
      </c>
      <c r="P202" t="s">
        <v>40</v>
      </c>
      <c r="Q202" t="s">
        <v>8</v>
      </c>
      <c r="R202">
        <v>27</v>
      </c>
      <c r="S202">
        <v>0</v>
      </c>
      <c r="T202">
        <v>0</v>
      </c>
      <c r="U202">
        <v>18</v>
      </c>
      <c r="V202">
        <v>0</v>
      </c>
      <c r="W202">
        <v>0</v>
      </c>
      <c r="X202">
        <v>6</v>
      </c>
      <c r="Y202">
        <v>3</v>
      </c>
      <c r="Z202">
        <v>0</v>
      </c>
    </row>
    <row r="203" spans="15:26" x14ac:dyDescent="0.25">
      <c r="O203">
        <v>17</v>
      </c>
      <c r="P203" t="s">
        <v>40</v>
      </c>
      <c r="Q203" t="s">
        <v>6</v>
      </c>
      <c r="R203">
        <v>44</v>
      </c>
      <c r="S203">
        <v>0</v>
      </c>
      <c r="T203">
        <v>0</v>
      </c>
      <c r="U203">
        <v>21</v>
      </c>
      <c r="V203">
        <v>0</v>
      </c>
      <c r="W203">
        <v>0</v>
      </c>
      <c r="X203">
        <v>12</v>
      </c>
      <c r="Y203">
        <v>9</v>
      </c>
      <c r="Z203">
        <v>2</v>
      </c>
    </row>
    <row r="204" spans="15:26" x14ac:dyDescent="0.25">
      <c r="O204">
        <v>17</v>
      </c>
      <c r="P204" t="s">
        <v>40</v>
      </c>
      <c r="Q204" t="s">
        <v>1</v>
      </c>
      <c r="R204">
        <v>53</v>
      </c>
      <c r="S204">
        <v>0</v>
      </c>
      <c r="T204">
        <v>0</v>
      </c>
      <c r="U204">
        <v>18</v>
      </c>
      <c r="V204">
        <v>0</v>
      </c>
      <c r="W204">
        <v>0</v>
      </c>
      <c r="X204">
        <v>9</v>
      </c>
      <c r="Y204">
        <v>26</v>
      </c>
      <c r="Z204">
        <v>0</v>
      </c>
    </row>
    <row r="205" spans="15:26" x14ac:dyDescent="0.25">
      <c r="O205">
        <v>17</v>
      </c>
      <c r="P205" t="s">
        <v>40</v>
      </c>
      <c r="Q205" t="s">
        <v>24</v>
      </c>
      <c r="R205">
        <v>191</v>
      </c>
      <c r="S205">
        <v>0</v>
      </c>
      <c r="T205">
        <v>0</v>
      </c>
      <c r="U205">
        <v>35</v>
      </c>
      <c r="V205">
        <v>5</v>
      </c>
      <c r="W205">
        <v>0</v>
      </c>
      <c r="X205">
        <v>13</v>
      </c>
      <c r="Y205">
        <v>20</v>
      </c>
      <c r="Z205">
        <v>118</v>
      </c>
    </row>
    <row r="206" spans="15:26" x14ac:dyDescent="0.25">
      <c r="O206">
        <v>17</v>
      </c>
      <c r="P206" t="s">
        <v>40</v>
      </c>
      <c r="Q206" t="s">
        <v>66</v>
      </c>
      <c r="R206">
        <v>198</v>
      </c>
      <c r="S206">
        <v>0</v>
      </c>
      <c r="T206">
        <v>0</v>
      </c>
      <c r="U206">
        <v>19</v>
      </c>
      <c r="V206">
        <v>1</v>
      </c>
      <c r="W206">
        <v>0</v>
      </c>
      <c r="X206">
        <v>2</v>
      </c>
      <c r="Y206">
        <v>119</v>
      </c>
      <c r="Z206">
        <v>57</v>
      </c>
    </row>
    <row r="207" spans="15:26" x14ac:dyDescent="0.25">
      <c r="O207">
        <v>18</v>
      </c>
      <c r="P207" t="s">
        <v>41</v>
      </c>
      <c r="Q207" t="s">
        <v>65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</row>
    <row r="208" spans="15:26" x14ac:dyDescent="0.25">
      <c r="O208">
        <v>18</v>
      </c>
      <c r="P208" t="s">
        <v>41</v>
      </c>
      <c r="Q208" t="s">
        <v>23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</row>
    <row r="209" spans="15:26" x14ac:dyDescent="0.25">
      <c r="O209">
        <v>18</v>
      </c>
      <c r="P209" t="s">
        <v>41</v>
      </c>
      <c r="Q209" t="s">
        <v>63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5:26" x14ac:dyDescent="0.25">
      <c r="O210">
        <v>18</v>
      </c>
      <c r="P210" t="s">
        <v>41</v>
      </c>
      <c r="Q210" t="s">
        <v>64</v>
      </c>
      <c r="R210">
        <v>2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5:26" x14ac:dyDescent="0.25">
      <c r="O211">
        <v>18</v>
      </c>
      <c r="P211" t="s">
        <v>41</v>
      </c>
      <c r="Q211" t="s">
        <v>8</v>
      </c>
      <c r="R211">
        <v>4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5:26" x14ac:dyDescent="0.25">
      <c r="O212">
        <v>18</v>
      </c>
      <c r="P212" t="s">
        <v>41</v>
      </c>
      <c r="Q212" t="s">
        <v>6</v>
      </c>
      <c r="R212">
        <v>5</v>
      </c>
      <c r="S212">
        <v>0</v>
      </c>
      <c r="T212">
        <v>0</v>
      </c>
      <c r="U212">
        <v>5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5:26" x14ac:dyDescent="0.25">
      <c r="O213">
        <v>18</v>
      </c>
      <c r="P213" t="s">
        <v>41</v>
      </c>
      <c r="Q213" t="s">
        <v>1</v>
      </c>
      <c r="R213">
        <v>7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1</v>
      </c>
      <c r="Y213">
        <v>4</v>
      </c>
      <c r="Z213">
        <v>0</v>
      </c>
    </row>
    <row r="214" spans="15:26" x14ac:dyDescent="0.25">
      <c r="O214">
        <v>18</v>
      </c>
      <c r="P214" t="s">
        <v>41</v>
      </c>
      <c r="Q214" t="s">
        <v>24</v>
      </c>
      <c r="R214">
        <v>24</v>
      </c>
      <c r="S214">
        <v>0</v>
      </c>
      <c r="T214">
        <v>0</v>
      </c>
      <c r="U214">
        <v>8</v>
      </c>
      <c r="V214">
        <v>0</v>
      </c>
      <c r="W214">
        <v>0</v>
      </c>
      <c r="X214">
        <v>0</v>
      </c>
      <c r="Y214">
        <v>4</v>
      </c>
      <c r="Z214">
        <v>12</v>
      </c>
    </row>
    <row r="215" spans="15:26" x14ac:dyDescent="0.25">
      <c r="O215">
        <v>18</v>
      </c>
      <c r="P215" t="s">
        <v>41</v>
      </c>
      <c r="Q215" t="s">
        <v>66</v>
      </c>
      <c r="R215">
        <v>26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21</v>
      </c>
      <c r="Z215">
        <v>3</v>
      </c>
    </row>
    <row r="216" spans="15:26" x14ac:dyDescent="0.25">
      <c r="O216">
        <v>20</v>
      </c>
      <c r="P216" t="s">
        <v>43</v>
      </c>
      <c r="Q216" t="s">
        <v>22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</row>
    <row r="217" spans="15:26" x14ac:dyDescent="0.25">
      <c r="O217">
        <v>20</v>
      </c>
      <c r="P217" t="s">
        <v>43</v>
      </c>
      <c r="Q217" t="s">
        <v>4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</row>
    <row r="218" spans="15:26" x14ac:dyDescent="0.25">
      <c r="O218">
        <v>20</v>
      </c>
      <c r="P218" t="s">
        <v>43</v>
      </c>
      <c r="Q218" t="s">
        <v>63</v>
      </c>
      <c r="R218">
        <v>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1</v>
      </c>
      <c r="Z218">
        <v>0</v>
      </c>
    </row>
    <row r="219" spans="15:26" x14ac:dyDescent="0.25">
      <c r="O219">
        <v>20</v>
      </c>
      <c r="P219" t="s">
        <v>43</v>
      </c>
      <c r="Q219" t="s">
        <v>64</v>
      </c>
      <c r="R219">
        <v>5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3</v>
      </c>
      <c r="Y219">
        <v>0</v>
      </c>
      <c r="Z219">
        <v>0</v>
      </c>
    </row>
    <row r="220" spans="15:26" x14ac:dyDescent="0.25">
      <c r="O220">
        <v>20</v>
      </c>
      <c r="P220" t="s">
        <v>43</v>
      </c>
      <c r="Q220" t="s">
        <v>65</v>
      </c>
      <c r="R220">
        <v>6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2</v>
      </c>
      <c r="Y220">
        <v>2</v>
      </c>
      <c r="Z220">
        <v>0</v>
      </c>
    </row>
    <row r="221" spans="15:26" x14ac:dyDescent="0.25">
      <c r="O221">
        <v>20</v>
      </c>
      <c r="P221" t="s">
        <v>43</v>
      </c>
      <c r="Q221" t="s">
        <v>8</v>
      </c>
      <c r="R221">
        <v>9</v>
      </c>
      <c r="S221">
        <v>0</v>
      </c>
      <c r="T221">
        <v>0</v>
      </c>
      <c r="U221">
        <v>6</v>
      </c>
      <c r="V221">
        <v>0</v>
      </c>
      <c r="W221">
        <v>0</v>
      </c>
      <c r="X221">
        <v>3</v>
      </c>
      <c r="Y221">
        <v>0</v>
      </c>
      <c r="Z221">
        <v>0</v>
      </c>
    </row>
    <row r="222" spans="15:26" x14ac:dyDescent="0.25">
      <c r="O222">
        <v>20</v>
      </c>
      <c r="P222" t="s">
        <v>43</v>
      </c>
      <c r="Q222" t="s">
        <v>23</v>
      </c>
      <c r="R222">
        <v>10</v>
      </c>
      <c r="S222">
        <v>0</v>
      </c>
      <c r="T222">
        <v>0</v>
      </c>
      <c r="U222">
        <v>10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5:26" x14ac:dyDescent="0.25">
      <c r="O223">
        <v>20</v>
      </c>
      <c r="P223" t="s">
        <v>43</v>
      </c>
      <c r="Q223" t="s">
        <v>6</v>
      </c>
      <c r="R223">
        <v>16</v>
      </c>
      <c r="S223">
        <v>0</v>
      </c>
      <c r="T223">
        <v>0</v>
      </c>
      <c r="U223">
        <v>5</v>
      </c>
      <c r="V223">
        <v>0</v>
      </c>
      <c r="W223">
        <v>0</v>
      </c>
      <c r="X223">
        <v>9</v>
      </c>
      <c r="Y223">
        <v>1</v>
      </c>
      <c r="Z223">
        <v>1</v>
      </c>
    </row>
    <row r="224" spans="15:26" x14ac:dyDescent="0.25">
      <c r="O224">
        <v>20</v>
      </c>
      <c r="P224" t="s">
        <v>43</v>
      </c>
      <c r="Q224" t="s">
        <v>1</v>
      </c>
      <c r="R224">
        <v>44</v>
      </c>
      <c r="S224">
        <v>0</v>
      </c>
      <c r="T224">
        <v>0</v>
      </c>
      <c r="U224">
        <v>17</v>
      </c>
      <c r="V224">
        <v>0</v>
      </c>
      <c r="W224">
        <v>0</v>
      </c>
      <c r="X224">
        <v>5</v>
      </c>
      <c r="Y224">
        <v>22</v>
      </c>
      <c r="Z224">
        <v>0</v>
      </c>
    </row>
    <row r="225" spans="15:26" x14ac:dyDescent="0.25">
      <c r="O225">
        <v>20</v>
      </c>
      <c r="P225" t="s">
        <v>43</v>
      </c>
      <c r="Q225" t="s">
        <v>24</v>
      </c>
      <c r="R225">
        <v>154</v>
      </c>
      <c r="S225">
        <v>0</v>
      </c>
      <c r="T225">
        <v>0</v>
      </c>
      <c r="U225">
        <v>42</v>
      </c>
      <c r="V225">
        <v>4</v>
      </c>
      <c r="W225">
        <v>0</v>
      </c>
      <c r="X225">
        <v>20</v>
      </c>
      <c r="Y225">
        <v>21</v>
      </c>
      <c r="Z225">
        <v>67</v>
      </c>
    </row>
    <row r="226" spans="15:26" x14ac:dyDescent="0.25">
      <c r="O226">
        <v>20</v>
      </c>
      <c r="P226" t="s">
        <v>43</v>
      </c>
      <c r="Q226" t="s">
        <v>66</v>
      </c>
      <c r="R226">
        <v>162</v>
      </c>
      <c r="S226">
        <v>0</v>
      </c>
      <c r="T226">
        <v>0</v>
      </c>
      <c r="U226">
        <v>20</v>
      </c>
      <c r="V226">
        <v>1</v>
      </c>
      <c r="W226">
        <v>0</v>
      </c>
      <c r="X226">
        <v>4</v>
      </c>
      <c r="Y226">
        <v>107</v>
      </c>
      <c r="Z226">
        <v>30</v>
      </c>
    </row>
    <row r="227" spans="15:26" x14ac:dyDescent="0.25">
      <c r="O227">
        <v>21</v>
      </c>
      <c r="P227" t="s">
        <v>44</v>
      </c>
      <c r="Q227" t="s">
        <v>64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</row>
    <row r="228" spans="15:26" x14ac:dyDescent="0.25">
      <c r="O228">
        <v>21</v>
      </c>
      <c r="P228" t="s">
        <v>44</v>
      </c>
      <c r="Q228" t="s">
        <v>65</v>
      </c>
      <c r="R228">
        <v>3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0</v>
      </c>
    </row>
    <row r="229" spans="15:26" x14ac:dyDescent="0.25">
      <c r="O229">
        <v>21</v>
      </c>
      <c r="P229" t="s">
        <v>44</v>
      </c>
      <c r="Q229" t="s">
        <v>8</v>
      </c>
      <c r="R229">
        <v>4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2</v>
      </c>
      <c r="Y229">
        <v>0</v>
      </c>
      <c r="Z229">
        <v>0</v>
      </c>
    </row>
    <row r="230" spans="15:26" x14ac:dyDescent="0.25">
      <c r="O230">
        <v>21</v>
      </c>
      <c r="P230" t="s">
        <v>44</v>
      </c>
      <c r="Q230" t="s">
        <v>6</v>
      </c>
      <c r="R230">
        <v>11</v>
      </c>
      <c r="S230">
        <v>0</v>
      </c>
      <c r="T230">
        <v>0</v>
      </c>
      <c r="U230">
        <v>4</v>
      </c>
      <c r="V230">
        <v>0</v>
      </c>
      <c r="W230">
        <v>0</v>
      </c>
      <c r="X230">
        <v>6</v>
      </c>
      <c r="Y230">
        <v>1</v>
      </c>
      <c r="Z230">
        <v>0</v>
      </c>
    </row>
    <row r="231" spans="15:26" x14ac:dyDescent="0.25">
      <c r="O231">
        <v>21</v>
      </c>
      <c r="P231" t="s">
        <v>44</v>
      </c>
      <c r="Q231" t="s">
        <v>1</v>
      </c>
      <c r="R231">
        <v>13</v>
      </c>
      <c r="S231">
        <v>0</v>
      </c>
      <c r="T231">
        <v>0</v>
      </c>
      <c r="U231">
        <v>3</v>
      </c>
      <c r="V231">
        <v>0</v>
      </c>
      <c r="W231">
        <v>0</v>
      </c>
      <c r="X231">
        <v>3</v>
      </c>
      <c r="Y231">
        <v>6</v>
      </c>
      <c r="Z231">
        <v>1</v>
      </c>
    </row>
    <row r="232" spans="15:26" x14ac:dyDescent="0.25">
      <c r="O232">
        <v>21</v>
      </c>
      <c r="P232" t="s">
        <v>44</v>
      </c>
      <c r="Q232" t="s">
        <v>24</v>
      </c>
      <c r="R232">
        <v>65</v>
      </c>
      <c r="S232">
        <v>0</v>
      </c>
      <c r="T232">
        <v>0</v>
      </c>
      <c r="U232">
        <v>16</v>
      </c>
      <c r="V232">
        <v>4</v>
      </c>
      <c r="W232">
        <v>0</v>
      </c>
      <c r="X232">
        <v>6</v>
      </c>
      <c r="Y232">
        <v>6</v>
      </c>
      <c r="Z232">
        <v>33</v>
      </c>
    </row>
    <row r="233" spans="15:26" x14ac:dyDescent="0.25">
      <c r="O233">
        <v>21</v>
      </c>
      <c r="P233" t="s">
        <v>44</v>
      </c>
      <c r="Q233" t="s">
        <v>66</v>
      </c>
      <c r="R233">
        <v>70</v>
      </c>
      <c r="S233">
        <v>0</v>
      </c>
      <c r="T233">
        <v>0</v>
      </c>
      <c r="U233">
        <v>12</v>
      </c>
      <c r="V233">
        <v>2</v>
      </c>
      <c r="W233">
        <v>0</v>
      </c>
      <c r="X233">
        <v>3</v>
      </c>
      <c r="Y233">
        <v>39</v>
      </c>
      <c r="Z233">
        <v>14</v>
      </c>
    </row>
    <row r="234" spans="15:26" x14ac:dyDescent="0.25">
      <c r="O234">
        <v>22</v>
      </c>
      <c r="P234" t="s">
        <v>45</v>
      </c>
      <c r="Q234" t="s">
        <v>23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</row>
    <row r="235" spans="15:26" x14ac:dyDescent="0.25">
      <c r="O235">
        <v>22</v>
      </c>
      <c r="P235" t="s">
        <v>45</v>
      </c>
      <c r="Q235" t="s">
        <v>22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</row>
    <row r="236" spans="15:26" x14ac:dyDescent="0.25">
      <c r="O236">
        <v>22</v>
      </c>
      <c r="P236" t="s">
        <v>45</v>
      </c>
      <c r="Q236" t="s">
        <v>4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</row>
    <row r="237" spans="15:26" x14ac:dyDescent="0.25">
      <c r="O237">
        <v>22</v>
      </c>
      <c r="P237" t="s">
        <v>45</v>
      </c>
      <c r="Q237" t="s">
        <v>64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</row>
    <row r="238" spans="15:26" x14ac:dyDescent="0.25">
      <c r="O238">
        <v>22</v>
      </c>
      <c r="P238" t="s">
        <v>45</v>
      </c>
      <c r="Q238" t="s">
        <v>6</v>
      </c>
      <c r="R238">
        <v>2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</row>
    <row r="239" spans="15:26" x14ac:dyDescent="0.25">
      <c r="O239">
        <v>22</v>
      </c>
      <c r="P239" t="s">
        <v>45</v>
      </c>
      <c r="Q239" t="s">
        <v>8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</row>
    <row r="240" spans="15:26" x14ac:dyDescent="0.25">
      <c r="O240">
        <v>22</v>
      </c>
      <c r="P240" t="s">
        <v>45</v>
      </c>
      <c r="Q240" t="s">
        <v>65</v>
      </c>
      <c r="R240">
        <v>5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2</v>
      </c>
      <c r="Y240">
        <v>2</v>
      </c>
      <c r="Z240">
        <v>0</v>
      </c>
    </row>
    <row r="241" spans="15:26" x14ac:dyDescent="0.25">
      <c r="O241">
        <v>22</v>
      </c>
      <c r="P241" t="s">
        <v>45</v>
      </c>
      <c r="Q241" t="s">
        <v>1</v>
      </c>
      <c r="R241">
        <v>16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3</v>
      </c>
      <c r="Y241">
        <v>9</v>
      </c>
      <c r="Z241">
        <v>0</v>
      </c>
    </row>
    <row r="242" spans="15:26" x14ac:dyDescent="0.25">
      <c r="O242">
        <v>22</v>
      </c>
      <c r="P242" t="s">
        <v>45</v>
      </c>
      <c r="Q242" t="s">
        <v>66</v>
      </c>
      <c r="R242">
        <v>74</v>
      </c>
      <c r="S242">
        <v>0</v>
      </c>
      <c r="T242">
        <v>0</v>
      </c>
      <c r="U242">
        <v>6</v>
      </c>
      <c r="V242">
        <v>0</v>
      </c>
      <c r="W242">
        <v>0</v>
      </c>
      <c r="X242">
        <v>3</v>
      </c>
      <c r="Y242">
        <v>40</v>
      </c>
      <c r="Z242">
        <v>25</v>
      </c>
    </row>
    <row r="243" spans="15:26" x14ac:dyDescent="0.25">
      <c r="O243">
        <v>22</v>
      </c>
      <c r="P243" t="s">
        <v>45</v>
      </c>
      <c r="Q243" t="s">
        <v>24</v>
      </c>
      <c r="R243">
        <v>76</v>
      </c>
      <c r="S243">
        <v>0</v>
      </c>
      <c r="T243">
        <v>0</v>
      </c>
      <c r="U243">
        <v>18</v>
      </c>
      <c r="V243">
        <v>0</v>
      </c>
      <c r="W243">
        <v>0</v>
      </c>
      <c r="X243">
        <v>6</v>
      </c>
      <c r="Y243">
        <v>6</v>
      </c>
      <c r="Z243">
        <v>46</v>
      </c>
    </row>
    <row r="244" spans="15:26" x14ac:dyDescent="0.25">
      <c r="O244">
        <v>23</v>
      </c>
      <c r="P244" t="s">
        <v>46</v>
      </c>
      <c r="Q244" t="s">
        <v>5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</row>
    <row r="245" spans="15:26" x14ac:dyDescent="0.25">
      <c r="O245">
        <v>23</v>
      </c>
      <c r="P245" t="s">
        <v>46</v>
      </c>
      <c r="Q245" t="s">
        <v>65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5:26" x14ac:dyDescent="0.25">
      <c r="O246">
        <v>23</v>
      </c>
      <c r="P246" t="s">
        <v>46</v>
      </c>
      <c r="Q246" t="s">
        <v>63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</row>
    <row r="247" spans="15:26" x14ac:dyDescent="0.25">
      <c r="O247">
        <v>23</v>
      </c>
      <c r="P247" t="s">
        <v>46</v>
      </c>
      <c r="Q247" t="s">
        <v>64</v>
      </c>
      <c r="R247">
        <v>3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2</v>
      </c>
      <c r="Z247">
        <v>0</v>
      </c>
    </row>
    <row r="248" spans="15:26" x14ac:dyDescent="0.25">
      <c r="O248">
        <v>23</v>
      </c>
      <c r="P248" t="s">
        <v>46</v>
      </c>
      <c r="Q248" t="s">
        <v>23</v>
      </c>
      <c r="R248">
        <v>3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0</v>
      </c>
    </row>
    <row r="249" spans="15:26" x14ac:dyDescent="0.25">
      <c r="O249">
        <v>23</v>
      </c>
      <c r="P249" t="s">
        <v>46</v>
      </c>
      <c r="Q249" t="s">
        <v>8</v>
      </c>
      <c r="R249">
        <v>11</v>
      </c>
      <c r="S249">
        <v>0</v>
      </c>
      <c r="T249">
        <v>0</v>
      </c>
      <c r="U249">
        <v>7</v>
      </c>
      <c r="V249">
        <v>0</v>
      </c>
      <c r="W249">
        <v>0</v>
      </c>
      <c r="X249">
        <v>2</v>
      </c>
      <c r="Y249">
        <v>2</v>
      </c>
      <c r="Z249">
        <v>0</v>
      </c>
    </row>
    <row r="250" spans="15:26" x14ac:dyDescent="0.25">
      <c r="O250">
        <v>23</v>
      </c>
      <c r="P250" t="s">
        <v>46</v>
      </c>
      <c r="Q250" t="s">
        <v>6</v>
      </c>
      <c r="R250">
        <v>13</v>
      </c>
      <c r="S250">
        <v>0</v>
      </c>
      <c r="T250">
        <v>0</v>
      </c>
      <c r="U250">
        <v>7</v>
      </c>
      <c r="V250">
        <v>0</v>
      </c>
      <c r="W250">
        <v>0</v>
      </c>
      <c r="X250">
        <v>3</v>
      </c>
      <c r="Y250">
        <v>3</v>
      </c>
      <c r="Z250">
        <v>0</v>
      </c>
    </row>
    <row r="251" spans="15:26" x14ac:dyDescent="0.25">
      <c r="O251">
        <v>23</v>
      </c>
      <c r="P251" t="s">
        <v>46</v>
      </c>
      <c r="Q251" t="s">
        <v>1</v>
      </c>
      <c r="R251">
        <v>27</v>
      </c>
      <c r="S251">
        <v>0</v>
      </c>
      <c r="T251">
        <v>0</v>
      </c>
      <c r="U251">
        <v>6</v>
      </c>
      <c r="V251">
        <v>0</v>
      </c>
      <c r="W251">
        <v>0</v>
      </c>
      <c r="X251">
        <v>2</v>
      </c>
      <c r="Y251">
        <v>19</v>
      </c>
      <c r="Z251">
        <v>0</v>
      </c>
    </row>
    <row r="252" spans="15:26" x14ac:dyDescent="0.25">
      <c r="O252">
        <v>23</v>
      </c>
      <c r="P252" t="s">
        <v>46</v>
      </c>
      <c r="Q252" t="s">
        <v>66</v>
      </c>
      <c r="R252">
        <v>84</v>
      </c>
      <c r="S252">
        <v>0</v>
      </c>
      <c r="T252">
        <v>0</v>
      </c>
      <c r="U252">
        <v>13</v>
      </c>
      <c r="V252">
        <v>1</v>
      </c>
      <c r="W252">
        <v>0</v>
      </c>
      <c r="X252">
        <v>2</v>
      </c>
      <c r="Y252">
        <v>51</v>
      </c>
      <c r="Z252">
        <v>17</v>
      </c>
    </row>
    <row r="253" spans="15:26" x14ac:dyDescent="0.25">
      <c r="O253">
        <v>23</v>
      </c>
      <c r="P253" t="s">
        <v>46</v>
      </c>
      <c r="Q253" t="s">
        <v>24</v>
      </c>
      <c r="R253">
        <v>88</v>
      </c>
      <c r="S253">
        <v>0</v>
      </c>
      <c r="T253">
        <v>0</v>
      </c>
      <c r="U253">
        <v>24</v>
      </c>
      <c r="V253">
        <v>2</v>
      </c>
      <c r="W253">
        <v>0</v>
      </c>
      <c r="X253">
        <v>9</v>
      </c>
      <c r="Y253">
        <v>18</v>
      </c>
      <c r="Z253">
        <v>35</v>
      </c>
    </row>
    <row r="254" spans="15:26" x14ac:dyDescent="0.25">
      <c r="R254">
        <f>SUM(R2:R253)</f>
        <v>54572</v>
      </c>
      <c r="S254">
        <f t="shared" ref="S254:Z254" si="1">SUM(S2:S253)</f>
        <v>0</v>
      </c>
      <c r="T254">
        <f t="shared" si="1"/>
        <v>20</v>
      </c>
      <c r="U254">
        <f t="shared" si="1"/>
        <v>14351</v>
      </c>
      <c r="V254">
        <f t="shared" si="1"/>
        <v>779</v>
      </c>
      <c r="W254">
        <f t="shared" si="1"/>
        <v>16</v>
      </c>
      <c r="X254">
        <f t="shared" si="1"/>
        <v>5385</v>
      </c>
      <c r="Y254">
        <f t="shared" si="1"/>
        <v>21381</v>
      </c>
      <c r="Z254">
        <f t="shared" si="1"/>
        <v>12640</v>
      </c>
    </row>
    <row r="255" spans="15:26" x14ac:dyDescent="0.25">
      <c r="R255">
        <f>R254/$AB$18</f>
        <v>4.0954596622889303</v>
      </c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3"/>
  <sheetViews>
    <sheetView workbookViewId="0">
      <selection activeCell="S12" sqref="S12"/>
    </sheetView>
  </sheetViews>
  <sheetFormatPr defaultRowHeight="15" x14ac:dyDescent="0.25"/>
  <cols>
    <col min="2" max="2" width="15.140625" bestFit="1" customWidth="1"/>
    <col min="3" max="3" width="2.140625" bestFit="1" customWidth="1"/>
    <col min="19" max="19" width="9.5703125" bestFit="1" customWidth="1"/>
  </cols>
  <sheetData>
    <row r="1" spans="2:19" x14ac:dyDescent="0.25"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2:19" x14ac:dyDescent="0.25">
      <c r="B2" t="s">
        <v>21</v>
      </c>
      <c r="C2" t="s">
        <v>129</v>
      </c>
      <c r="D2">
        <v>11</v>
      </c>
      <c r="E2">
        <v>0</v>
      </c>
      <c r="F2">
        <v>1</v>
      </c>
      <c r="G2">
        <v>0</v>
      </c>
      <c r="H2">
        <v>38</v>
      </c>
      <c r="I2">
        <v>0</v>
      </c>
      <c r="J2">
        <f>SUM(D2:I2)</f>
        <v>50</v>
      </c>
      <c r="L2" t="s">
        <v>129</v>
      </c>
      <c r="M2">
        <v>72</v>
      </c>
      <c r="N2">
        <v>2</v>
      </c>
      <c r="O2">
        <v>13</v>
      </c>
      <c r="P2">
        <v>0</v>
      </c>
      <c r="Q2">
        <v>371</v>
      </c>
      <c r="R2">
        <v>7</v>
      </c>
      <c r="S2">
        <f>SUM(M2:R2)</f>
        <v>465</v>
      </c>
    </row>
    <row r="3" spans="2:19" x14ac:dyDescent="0.25">
      <c r="B3" t="s">
        <v>25</v>
      </c>
      <c r="C3" t="s">
        <v>129</v>
      </c>
      <c r="D3">
        <v>8</v>
      </c>
      <c r="E3">
        <v>0</v>
      </c>
      <c r="F3">
        <v>0</v>
      </c>
      <c r="G3">
        <v>0</v>
      </c>
      <c r="H3">
        <v>32</v>
      </c>
      <c r="I3">
        <v>0</v>
      </c>
      <c r="J3">
        <f t="shared" ref="J3:J42" si="0">SUM(D3:I3)</f>
        <v>40</v>
      </c>
      <c r="L3" t="s">
        <v>138</v>
      </c>
      <c r="M3">
        <v>53</v>
      </c>
      <c r="N3">
        <v>47</v>
      </c>
      <c r="O3">
        <v>12</v>
      </c>
      <c r="P3">
        <v>69</v>
      </c>
      <c r="Q3">
        <v>37</v>
      </c>
      <c r="R3">
        <v>2</v>
      </c>
      <c r="S3">
        <f>SUM(M3:R3)</f>
        <v>220</v>
      </c>
    </row>
    <row r="4" spans="2:19" x14ac:dyDescent="0.25">
      <c r="B4" t="s">
        <v>26</v>
      </c>
      <c r="C4" t="s">
        <v>129</v>
      </c>
      <c r="D4">
        <v>9</v>
      </c>
      <c r="E4">
        <v>0</v>
      </c>
      <c r="F4">
        <v>0</v>
      </c>
      <c r="G4">
        <v>0</v>
      </c>
      <c r="H4">
        <v>17</v>
      </c>
      <c r="I4">
        <v>1</v>
      </c>
      <c r="J4">
        <f t="shared" si="0"/>
        <v>27</v>
      </c>
      <c r="L4" t="s">
        <v>136</v>
      </c>
      <c r="M4">
        <v>9</v>
      </c>
      <c r="N4">
        <v>0</v>
      </c>
      <c r="O4">
        <v>2</v>
      </c>
      <c r="P4">
        <v>0</v>
      </c>
      <c r="Q4">
        <v>67</v>
      </c>
      <c r="R4">
        <v>9</v>
      </c>
      <c r="S4">
        <f>SUM(M4:R4)</f>
        <v>87</v>
      </c>
    </row>
    <row r="5" spans="2:19" x14ac:dyDescent="0.25">
      <c r="B5" t="s">
        <v>27</v>
      </c>
      <c r="C5" t="s">
        <v>129</v>
      </c>
      <c r="D5">
        <v>13</v>
      </c>
      <c r="E5">
        <v>0</v>
      </c>
      <c r="F5">
        <v>1</v>
      </c>
      <c r="G5">
        <v>0</v>
      </c>
      <c r="H5">
        <v>21</v>
      </c>
      <c r="I5">
        <v>1</v>
      </c>
      <c r="J5">
        <f t="shared" si="0"/>
        <v>36</v>
      </c>
      <c r="L5" t="s">
        <v>137</v>
      </c>
      <c r="M5">
        <v>22</v>
      </c>
      <c r="N5">
        <v>1</v>
      </c>
      <c r="O5">
        <v>4</v>
      </c>
      <c r="P5">
        <v>0</v>
      </c>
      <c r="Q5">
        <v>129</v>
      </c>
      <c r="R5">
        <v>1</v>
      </c>
      <c r="S5">
        <f>SUM(M5:R5)</f>
        <v>157</v>
      </c>
    </row>
    <row r="6" spans="2:19" x14ac:dyDescent="0.25">
      <c r="B6" t="s">
        <v>28</v>
      </c>
      <c r="C6" t="s">
        <v>129</v>
      </c>
      <c r="D6">
        <v>5</v>
      </c>
      <c r="E6">
        <v>0</v>
      </c>
      <c r="F6">
        <v>0</v>
      </c>
      <c r="G6">
        <v>0</v>
      </c>
      <c r="H6">
        <v>29</v>
      </c>
      <c r="I6">
        <v>0</v>
      </c>
      <c r="J6">
        <f t="shared" si="0"/>
        <v>34</v>
      </c>
      <c r="M6">
        <f t="shared" ref="M6:S6" si="1">SUM(M2:M5)</f>
        <v>156</v>
      </c>
      <c r="N6">
        <f t="shared" si="1"/>
        <v>50</v>
      </c>
      <c r="O6">
        <f t="shared" si="1"/>
        <v>31</v>
      </c>
      <c r="P6">
        <f t="shared" si="1"/>
        <v>69</v>
      </c>
      <c r="Q6">
        <f t="shared" si="1"/>
        <v>604</v>
      </c>
      <c r="R6">
        <f t="shared" si="1"/>
        <v>19</v>
      </c>
      <c r="S6">
        <f t="shared" si="1"/>
        <v>929</v>
      </c>
    </row>
    <row r="7" spans="2:19" x14ac:dyDescent="0.25">
      <c r="B7" t="s">
        <v>29</v>
      </c>
      <c r="C7" t="s">
        <v>129</v>
      </c>
      <c r="D7">
        <v>3</v>
      </c>
      <c r="E7">
        <v>0</v>
      </c>
      <c r="F7">
        <v>2</v>
      </c>
      <c r="G7">
        <v>0</v>
      </c>
      <c r="H7">
        <v>18</v>
      </c>
      <c r="I7">
        <v>1</v>
      </c>
      <c r="J7">
        <f t="shared" si="0"/>
        <v>24</v>
      </c>
      <c r="L7" t="str">
        <f>L2</f>
        <v>E</v>
      </c>
      <c r="M7" s="6">
        <f t="shared" ref="M7:R7" si="2">M2/$S2</f>
        <v>0.15483870967741936</v>
      </c>
      <c r="N7" s="6">
        <f t="shared" si="2"/>
        <v>4.3010752688172043E-3</v>
      </c>
      <c r="O7" s="6">
        <f t="shared" si="2"/>
        <v>2.7956989247311829E-2</v>
      </c>
      <c r="P7" s="6">
        <f t="shared" si="2"/>
        <v>0</v>
      </c>
      <c r="Q7" s="6">
        <f t="shared" si="2"/>
        <v>0.7978494623655914</v>
      </c>
      <c r="R7" s="6">
        <f t="shared" si="2"/>
        <v>1.5053763440860216E-2</v>
      </c>
      <c r="S7" s="5">
        <f>S2/$S$6</f>
        <v>0.50053821313240043</v>
      </c>
    </row>
    <row r="8" spans="2:19" x14ac:dyDescent="0.25">
      <c r="B8" t="s">
        <v>30</v>
      </c>
      <c r="C8" t="s">
        <v>129</v>
      </c>
      <c r="D8">
        <v>2</v>
      </c>
      <c r="E8">
        <v>0</v>
      </c>
      <c r="F8">
        <v>0</v>
      </c>
      <c r="G8">
        <v>0</v>
      </c>
      <c r="H8">
        <v>19</v>
      </c>
      <c r="I8">
        <v>0</v>
      </c>
      <c r="J8">
        <f t="shared" si="0"/>
        <v>21</v>
      </c>
      <c r="L8" t="str">
        <f>L3</f>
        <v>P</v>
      </c>
      <c r="M8" s="6">
        <f>M3/$S3</f>
        <v>0.24090909090909091</v>
      </c>
      <c r="N8" s="6">
        <f t="shared" ref="N8:R9" si="3">N3/$S3</f>
        <v>0.21363636363636362</v>
      </c>
      <c r="O8" s="6">
        <f t="shared" si="3"/>
        <v>5.4545454545454543E-2</v>
      </c>
      <c r="P8" s="6">
        <f t="shared" si="3"/>
        <v>0.31363636363636366</v>
      </c>
      <c r="Q8" s="6">
        <f t="shared" si="3"/>
        <v>0.16818181818181818</v>
      </c>
      <c r="R8" s="6">
        <f t="shared" si="3"/>
        <v>9.0909090909090905E-3</v>
      </c>
      <c r="S8" s="5">
        <f>S3/$S$6</f>
        <v>0.23681377825618946</v>
      </c>
    </row>
    <row r="9" spans="2:19" x14ac:dyDescent="0.25">
      <c r="B9" t="s">
        <v>31</v>
      </c>
      <c r="C9" t="s">
        <v>129</v>
      </c>
      <c r="D9">
        <v>4</v>
      </c>
      <c r="E9">
        <v>0</v>
      </c>
      <c r="F9">
        <v>0</v>
      </c>
      <c r="G9">
        <v>0</v>
      </c>
      <c r="H9">
        <v>27</v>
      </c>
      <c r="I9">
        <v>0</v>
      </c>
      <c r="J9">
        <f t="shared" si="0"/>
        <v>31</v>
      </c>
      <c r="L9" t="str">
        <f>L4</f>
        <v>T</v>
      </c>
      <c r="M9" s="6">
        <f>M4/$S4</f>
        <v>0.10344827586206896</v>
      </c>
      <c r="N9" s="6">
        <f t="shared" si="3"/>
        <v>0</v>
      </c>
      <c r="O9" s="6">
        <f t="shared" si="3"/>
        <v>2.2988505747126436E-2</v>
      </c>
      <c r="P9" s="6">
        <f t="shared" si="3"/>
        <v>0</v>
      </c>
      <c r="Q9" s="6">
        <f t="shared" si="3"/>
        <v>0.77011494252873558</v>
      </c>
      <c r="R9" s="6">
        <f t="shared" si="3"/>
        <v>0.10344827586206896</v>
      </c>
      <c r="S9" s="5">
        <f>S4/$S$6</f>
        <v>9.3649085037674926E-2</v>
      </c>
    </row>
    <row r="10" spans="2:19" x14ac:dyDescent="0.25">
      <c r="B10" t="s">
        <v>32</v>
      </c>
      <c r="C10" t="s">
        <v>129</v>
      </c>
      <c r="D10">
        <v>6</v>
      </c>
      <c r="E10">
        <v>0</v>
      </c>
      <c r="F10">
        <v>1</v>
      </c>
      <c r="G10">
        <v>0</v>
      </c>
      <c r="H10">
        <v>17</v>
      </c>
      <c r="I10">
        <v>0</v>
      </c>
      <c r="J10">
        <f t="shared" si="0"/>
        <v>24</v>
      </c>
      <c r="L10" t="str">
        <f>L5</f>
        <v>L</v>
      </c>
      <c r="M10" s="6">
        <f>M5/$S5</f>
        <v>0.14012738853503184</v>
      </c>
      <c r="N10" s="6">
        <f t="shared" ref="N10:R11" si="4">N5/$S5</f>
        <v>6.369426751592357E-3</v>
      </c>
      <c r="O10" s="6">
        <f t="shared" si="4"/>
        <v>2.5477707006369428E-2</v>
      </c>
      <c r="P10" s="6">
        <f t="shared" si="4"/>
        <v>0</v>
      </c>
      <c r="Q10" s="6">
        <f t="shared" si="4"/>
        <v>0.82165605095541405</v>
      </c>
      <c r="R10" s="6">
        <f t="shared" si="4"/>
        <v>6.369426751592357E-3</v>
      </c>
      <c r="S10" s="5">
        <f>S5/$S$6</f>
        <v>0.16899892357373519</v>
      </c>
    </row>
    <row r="11" spans="2:19" x14ac:dyDescent="0.25">
      <c r="B11" t="s">
        <v>33</v>
      </c>
      <c r="C11" t="s">
        <v>129</v>
      </c>
      <c r="D11">
        <v>0</v>
      </c>
      <c r="E11">
        <v>0</v>
      </c>
      <c r="F11">
        <v>1</v>
      </c>
      <c r="G11">
        <v>0</v>
      </c>
      <c r="H11">
        <v>21</v>
      </c>
      <c r="I11">
        <v>0</v>
      </c>
      <c r="J11">
        <f t="shared" si="0"/>
        <v>22</v>
      </c>
      <c r="M11" s="6">
        <f>M6/$S6</f>
        <v>0.16792249730893433</v>
      </c>
      <c r="N11" s="6">
        <f t="shared" si="4"/>
        <v>5.3821313240043057E-2</v>
      </c>
      <c r="O11" s="6">
        <f t="shared" si="4"/>
        <v>3.3369214208826693E-2</v>
      </c>
      <c r="P11" s="6">
        <f t="shared" si="4"/>
        <v>7.4273412271259415E-2</v>
      </c>
      <c r="Q11" s="6">
        <f t="shared" si="4"/>
        <v>0.65016146393972007</v>
      </c>
      <c r="R11" s="6">
        <f t="shared" si="4"/>
        <v>2.0452099031216361E-2</v>
      </c>
      <c r="S11" s="7">
        <f>SUM(S7:S10)</f>
        <v>1</v>
      </c>
    </row>
    <row r="12" spans="2:19" x14ac:dyDescent="0.25">
      <c r="B12" t="s">
        <v>34</v>
      </c>
      <c r="C12" t="s">
        <v>129</v>
      </c>
      <c r="D12">
        <v>0</v>
      </c>
      <c r="E12">
        <v>0</v>
      </c>
      <c r="F12">
        <v>0</v>
      </c>
      <c r="G12">
        <v>0</v>
      </c>
      <c r="H12">
        <v>25</v>
      </c>
      <c r="I12">
        <v>0</v>
      </c>
      <c r="J12">
        <f t="shared" si="0"/>
        <v>25</v>
      </c>
    </row>
    <row r="13" spans="2:19" x14ac:dyDescent="0.25">
      <c r="B13" t="s">
        <v>35</v>
      </c>
      <c r="C13" t="s">
        <v>129</v>
      </c>
      <c r="D13">
        <v>5</v>
      </c>
      <c r="E13">
        <v>1</v>
      </c>
      <c r="F13">
        <v>5</v>
      </c>
      <c r="G13">
        <v>0</v>
      </c>
      <c r="H13">
        <v>26</v>
      </c>
      <c r="I13">
        <v>2</v>
      </c>
      <c r="J13">
        <f t="shared" si="0"/>
        <v>39</v>
      </c>
    </row>
    <row r="14" spans="2:19" x14ac:dyDescent="0.25">
      <c r="B14" t="s">
        <v>35</v>
      </c>
      <c r="C14" t="s">
        <v>136</v>
      </c>
      <c r="D14">
        <v>3</v>
      </c>
      <c r="E14">
        <v>0</v>
      </c>
      <c r="F14">
        <v>2</v>
      </c>
      <c r="G14">
        <v>0</v>
      </c>
      <c r="H14">
        <v>16</v>
      </c>
      <c r="I14">
        <v>6</v>
      </c>
      <c r="J14">
        <f t="shared" si="0"/>
        <v>27</v>
      </c>
    </row>
    <row r="15" spans="2:19" x14ac:dyDescent="0.25">
      <c r="B15" t="s">
        <v>36</v>
      </c>
      <c r="C15" t="s">
        <v>129</v>
      </c>
      <c r="D15">
        <v>3</v>
      </c>
      <c r="E15">
        <v>0</v>
      </c>
      <c r="F15">
        <v>0</v>
      </c>
      <c r="G15">
        <v>0</v>
      </c>
      <c r="H15">
        <v>48</v>
      </c>
      <c r="I15">
        <v>1</v>
      </c>
      <c r="J15">
        <f t="shared" si="0"/>
        <v>52</v>
      </c>
    </row>
    <row r="16" spans="2:19" x14ac:dyDescent="0.25">
      <c r="B16" t="s">
        <v>37</v>
      </c>
      <c r="C16" t="s">
        <v>136</v>
      </c>
      <c r="D16">
        <v>4</v>
      </c>
      <c r="E16">
        <v>0</v>
      </c>
      <c r="F16">
        <v>0</v>
      </c>
      <c r="G16">
        <v>0</v>
      </c>
      <c r="H16">
        <v>42</v>
      </c>
      <c r="I16">
        <v>2</v>
      </c>
      <c r="J16">
        <f t="shared" si="0"/>
        <v>48</v>
      </c>
    </row>
    <row r="17" spans="2:10" x14ac:dyDescent="0.25">
      <c r="B17" t="s">
        <v>38</v>
      </c>
      <c r="C17" t="s">
        <v>129</v>
      </c>
      <c r="D17">
        <v>2</v>
      </c>
      <c r="E17">
        <v>0</v>
      </c>
      <c r="F17">
        <v>0</v>
      </c>
      <c r="G17">
        <v>0</v>
      </c>
      <c r="H17">
        <v>12</v>
      </c>
      <c r="I17">
        <v>0</v>
      </c>
      <c r="J17">
        <f t="shared" si="0"/>
        <v>14</v>
      </c>
    </row>
    <row r="18" spans="2:10" x14ac:dyDescent="0.25">
      <c r="B18" t="s">
        <v>39</v>
      </c>
      <c r="C18" t="s">
        <v>136</v>
      </c>
      <c r="D18">
        <v>0</v>
      </c>
      <c r="E18">
        <v>0</v>
      </c>
      <c r="F18">
        <v>0</v>
      </c>
      <c r="G18">
        <v>0</v>
      </c>
      <c r="H18">
        <v>4</v>
      </c>
      <c r="I18">
        <v>0</v>
      </c>
      <c r="J18">
        <f t="shared" si="0"/>
        <v>4</v>
      </c>
    </row>
    <row r="19" spans="2:10" x14ac:dyDescent="0.25">
      <c r="B19" t="s">
        <v>40</v>
      </c>
      <c r="C19" t="s">
        <v>129</v>
      </c>
      <c r="D19">
        <v>0</v>
      </c>
      <c r="E19">
        <v>1</v>
      </c>
      <c r="F19">
        <v>0</v>
      </c>
      <c r="G19">
        <v>0</v>
      </c>
      <c r="H19">
        <v>8</v>
      </c>
      <c r="I19">
        <v>0</v>
      </c>
      <c r="J19">
        <f t="shared" si="0"/>
        <v>9</v>
      </c>
    </row>
    <row r="20" spans="2:10" x14ac:dyDescent="0.25">
      <c r="B20" t="s">
        <v>41</v>
      </c>
      <c r="C20" t="s">
        <v>129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f t="shared" si="0"/>
        <v>1</v>
      </c>
    </row>
    <row r="21" spans="2:10" x14ac:dyDescent="0.25">
      <c r="B21" t="s">
        <v>42</v>
      </c>
      <c r="C21" t="s">
        <v>137</v>
      </c>
      <c r="D21">
        <v>0</v>
      </c>
      <c r="E21">
        <v>0</v>
      </c>
      <c r="F21">
        <v>1</v>
      </c>
      <c r="G21">
        <v>0</v>
      </c>
      <c r="H21">
        <v>3</v>
      </c>
      <c r="I21">
        <v>0</v>
      </c>
      <c r="J21">
        <f t="shared" si="0"/>
        <v>4</v>
      </c>
    </row>
    <row r="22" spans="2:10" x14ac:dyDescent="0.25">
      <c r="B22" t="s">
        <v>43</v>
      </c>
      <c r="C22" t="s">
        <v>129</v>
      </c>
      <c r="D22">
        <v>1</v>
      </c>
      <c r="E22">
        <v>0</v>
      </c>
      <c r="F22">
        <v>1</v>
      </c>
      <c r="G22">
        <v>0</v>
      </c>
      <c r="H22">
        <v>5</v>
      </c>
      <c r="I22">
        <v>0</v>
      </c>
      <c r="J22">
        <f t="shared" si="0"/>
        <v>7</v>
      </c>
    </row>
    <row r="23" spans="2:10" x14ac:dyDescent="0.25">
      <c r="B23" t="s">
        <v>44</v>
      </c>
      <c r="C23" t="s">
        <v>129</v>
      </c>
      <c r="D23">
        <v>0</v>
      </c>
      <c r="E23">
        <v>0</v>
      </c>
      <c r="F23">
        <v>1</v>
      </c>
      <c r="G23">
        <v>0</v>
      </c>
      <c r="H23">
        <v>2</v>
      </c>
      <c r="I23">
        <v>0</v>
      </c>
      <c r="J23">
        <f t="shared" si="0"/>
        <v>3</v>
      </c>
    </row>
    <row r="24" spans="2:10" x14ac:dyDescent="0.25">
      <c r="B24" t="s">
        <v>45</v>
      </c>
      <c r="C24" t="s">
        <v>129</v>
      </c>
      <c r="D24">
        <v>0</v>
      </c>
      <c r="E24">
        <v>0</v>
      </c>
      <c r="F24">
        <v>0</v>
      </c>
      <c r="G24">
        <v>0</v>
      </c>
      <c r="H24">
        <v>2</v>
      </c>
      <c r="I24">
        <v>1</v>
      </c>
      <c r="J24">
        <f t="shared" si="0"/>
        <v>3</v>
      </c>
    </row>
    <row r="25" spans="2:10" x14ac:dyDescent="0.25">
      <c r="B25" t="s">
        <v>46</v>
      </c>
      <c r="C25" t="s">
        <v>129</v>
      </c>
      <c r="D25">
        <v>0</v>
      </c>
      <c r="E25">
        <v>0</v>
      </c>
      <c r="F25">
        <v>0</v>
      </c>
      <c r="G25">
        <v>0</v>
      </c>
      <c r="H25">
        <v>3</v>
      </c>
      <c r="I25">
        <v>0</v>
      </c>
      <c r="J25">
        <f t="shared" si="0"/>
        <v>3</v>
      </c>
    </row>
    <row r="26" spans="2:10" x14ac:dyDescent="0.25">
      <c r="B26" t="s">
        <v>47</v>
      </c>
      <c r="C26" t="s">
        <v>137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f t="shared" si="0"/>
        <v>2</v>
      </c>
    </row>
    <row r="27" spans="2:10" x14ac:dyDescent="0.25">
      <c r="B27" t="s">
        <v>48</v>
      </c>
      <c r="C27" t="s">
        <v>137</v>
      </c>
      <c r="D27">
        <v>2</v>
      </c>
      <c r="E27">
        <v>0</v>
      </c>
      <c r="F27">
        <v>0</v>
      </c>
      <c r="G27">
        <v>0</v>
      </c>
      <c r="H27">
        <v>12</v>
      </c>
      <c r="I27">
        <v>0</v>
      </c>
      <c r="J27">
        <f t="shared" si="0"/>
        <v>14</v>
      </c>
    </row>
    <row r="28" spans="2:10" x14ac:dyDescent="0.25">
      <c r="B28" t="s">
        <v>49</v>
      </c>
      <c r="C28" t="s">
        <v>137</v>
      </c>
      <c r="D28">
        <v>0</v>
      </c>
      <c r="E28">
        <v>0</v>
      </c>
      <c r="F28">
        <v>0</v>
      </c>
      <c r="G28">
        <v>0</v>
      </c>
      <c r="H28">
        <v>3</v>
      </c>
      <c r="I28">
        <v>0</v>
      </c>
      <c r="J28">
        <f t="shared" si="0"/>
        <v>3</v>
      </c>
    </row>
    <row r="29" spans="2:10" x14ac:dyDescent="0.25">
      <c r="B29" t="s">
        <v>7</v>
      </c>
      <c r="C29" t="s">
        <v>138</v>
      </c>
      <c r="D29">
        <v>47</v>
      </c>
      <c r="E29">
        <v>43</v>
      </c>
      <c r="F29">
        <v>5</v>
      </c>
      <c r="G29">
        <v>37</v>
      </c>
      <c r="H29">
        <v>16</v>
      </c>
      <c r="I29">
        <v>2</v>
      </c>
      <c r="J29">
        <f t="shared" si="0"/>
        <v>150</v>
      </c>
    </row>
    <row r="30" spans="2:10" x14ac:dyDescent="0.25">
      <c r="B30" t="s">
        <v>12</v>
      </c>
      <c r="C30" t="s">
        <v>138</v>
      </c>
      <c r="D30">
        <v>0</v>
      </c>
      <c r="E30">
        <v>2</v>
      </c>
      <c r="F30">
        <v>6</v>
      </c>
      <c r="G30">
        <v>17</v>
      </c>
      <c r="H30">
        <v>6</v>
      </c>
      <c r="I30">
        <v>0</v>
      </c>
      <c r="J30">
        <f t="shared" si="0"/>
        <v>31</v>
      </c>
    </row>
    <row r="31" spans="2:10" x14ac:dyDescent="0.25">
      <c r="B31" t="s">
        <v>0</v>
      </c>
      <c r="C31" t="s">
        <v>138</v>
      </c>
      <c r="D31">
        <v>6</v>
      </c>
      <c r="E31">
        <v>2</v>
      </c>
      <c r="F31">
        <v>1</v>
      </c>
      <c r="G31">
        <v>15</v>
      </c>
      <c r="H31">
        <v>15</v>
      </c>
      <c r="I31">
        <v>0</v>
      </c>
      <c r="J31">
        <f t="shared" si="0"/>
        <v>39</v>
      </c>
    </row>
    <row r="32" spans="2:10" x14ac:dyDescent="0.25">
      <c r="B32" t="s">
        <v>0</v>
      </c>
      <c r="C32" t="s">
        <v>136</v>
      </c>
      <c r="D32">
        <v>0</v>
      </c>
      <c r="E32">
        <v>0</v>
      </c>
      <c r="F32">
        <v>0</v>
      </c>
      <c r="G32">
        <v>0</v>
      </c>
      <c r="H32">
        <v>3</v>
      </c>
      <c r="I32">
        <v>0</v>
      </c>
      <c r="J32">
        <f t="shared" si="0"/>
        <v>3</v>
      </c>
    </row>
    <row r="33" spans="2:10" x14ac:dyDescent="0.25">
      <c r="B33" t="s">
        <v>50</v>
      </c>
      <c r="C33" t="s">
        <v>137</v>
      </c>
      <c r="D33">
        <v>4</v>
      </c>
      <c r="E33">
        <v>0</v>
      </c>
      <c r="F33">
        <v>1</v>
      </c>
      <c r="G33">
        <v>0</v>
      </c>
      <c r="H33">
        <v>3</v>
      </c>
      <c r="I33">
        <v>0</v>
      </c>
      <c r="J33">
        <f t="shared" si="0"/>
        <v>8</v>
      </c>
    </row>
    <row r="34" spans="2:10" x14ac:dyDescent="0.25">
      <c r="B34" t="s">
        <v>51</v>
      </c>
      <c r="C34" t="s">
        <v>137</v>
      </c>
      <c r="D34">
        <v>0</v>
      </c>
      <c r="E34">
        <v>0</v>
      </c>
      <c r="F34">
        <v>0</v>
      </c>
      <c r="G34">
        <v>0</v>
      </c>
      <c r="H34">
        <v>4</v>
      </c>
      <c r="I34">
        <v>0</v>
      </c>
      <c r="J34">
        <f t="shared" si="0"/>
        <v>4</v>
      </c>
    </row>
    <row r="35" spans="2:10" x14ac:dyDescent="0.25">
      <c r="B35" t="s">
        <v>52</v>
      </c>
      <c r="C35" t="s">
        <v>136</v>
      </c>
      <c r="D35">
        <v>2</v>
      </c>
      <c r="E35">
        <v>0</v>
      </c>
      <c r="F35">
        <v>0</v>
      </c>
      <c r="G35">
        <v>0</v>
      </c>
      <c r="H35">
        <v>2</v>
      </c>
      <c r="I35">
        <v>1</v>
      </c>
      <c r="J35">
        <f t="shared" si="0"/>
        <v>5</v>
      </c>
    </row>
    <row r="36" spans="2:10" x14ac:dyDescent="0.25">
      <c r="B36" t="s">
        <v>53</v>
      </c>
      <c r="C36" t="s">
        <v>137</v>
      </c>
      <c r="D36">
        <v>2</v>
      </c>
      <c r="E36">
        <v>0</v>
      </c>
      <c r="F36">
        <v>0</v>
      </c>
      <c r="G36">
        <v>0</v>
      </c>
      <c r="H36">
        <v>10</v>
      </c>
      <c r="I36">
        <v>0</v>
      </c>
      <c r="J36">
        <f t="shared" si="0"/>
        <v>12</v>
      </c>
    </row>
    <row r="37" spans="2:10" x14ac:dyDescent="0.25">
      <c r="B37" t="s">
        <v>54</v>
      </c>
      <c r="C37" t="s">
        <v>137</v>
      </c>
      <c r="D37">
        <v>0</v>
      </c>
      <c r="E37">
        <v>0</v>
      </c>
      <c r="F37">
        <v>0</v>
      </c>
      <c r="G37">
        <v>0</v>
      </c>
      <c r="H37">
        <v>10</v>
      </c>
      <c r="I37">
        <v>0</v>
      </c>
      <c r="J37">
        <f t="shared" si="0"/>
        <v>10</v>
      </c>
    </row>
    <row r="38" spans="2:10" x14ac:dyDescent="0.25">
      <c r="B38" t="s">
        <v>55</v>
      </c>
      <c r="C38" t="s">
        <v>137</v>
      </c>
      <c r="D38">
        <v>0</v>
      </c>
      <c r="E38">
        <v>0</v>
      </c>
      <c r="F38">
        <v>0</v>
      </c>
      <c r="G38">
        <v>0</v>
      </c>
      <c r="H38">
        <v>12</v>
      </c>
      <c r="I38">
        <v>0</v>
      </c>
      <c r="J38">
        <f t="shared" si="0"/>
        <v>12</v>
      </c>
    </row>
    <row r="39" spans="2:10" x14ac:dyDescent="0.25">
      <c r="B39" t="s">
        <v>56</v>
      </c>
      <c r="C39" t="s">
        <v>137</v>
      </c>
      <c r="D39">
        <v>0</v>
      </c>
      <c r="E39">
        <v>1</v>
      </c>
      <c r="F39">
        <v>0</v>
      </c>
      <c r="G39">
        <v>0</v>
      </c>
      <c r="H39">
        <v>9</v>
      </c>
      <c r="I39">
        <v>0</v>
      </c>
      <c r="J39">
        <f t="shared" si="0"/>
        <v>10</v>
      </c>
    </row>
    <row r="40" spans="2:10" x14ac:dyDescent="0.25">
      <c r="B40" t="s">
        <v>57</v>
      </c>
      <c r="C40" t="s">
        <v>137</v>
      </c>
      <c r="D40">
        <v>2</v>
      </c>
      <c r="E40">
        <v>0</v>
      </c>
      <c r="F40">
        <v>0</v>
      </c>
      <c r="G40">
        <v>0</v>
      </c>
      <c r="H40">
        <v>11</v>
      </c>
      <c r="I40">
        <v>0</v>
      </c>
      <c r="J40">
        <f t="shared" si="0"/>
        <v>13</v>
      </c>
    </row>
    <row r="41" spans="2:10" x14ac:dyDescent="0.25">
      <c r="B41" t="s">
        <v>58</v>
      </c>
      <c r="C41" t="s">
        <v>137</v>
      </c>
      <c r="D41">
        <v>9</v>
      </c>
      <c r="E41">
        <v>0</v>
      </c>
      <c r="F41">
        <v>2</v>
      </c>
      <c r="G41">
        <v>0</v>
      </c>
      <c r="H41">
        <v>17</v>
      </c>
      <c r="I41">
        <v>1</v>
      </c>
      <c r="J41">
        <f t="shared" si="0"/>
        <v>29</v>
      </c>
    </row>
    <row r="42" spans="2:10" x14ac:dyDescent="0.25">
      <c r="B42" t="s">
        <v>59</v>
      </c>
      <c r="C42" t="s">
        <v>137</v>
      </c>
      <c r="D42">
        <v>3</v>
      </c>
      <c r="E42">
        <v>0</v>
      </c>
      <c r="F42">
        <v>0</v>
      </c>
      <c r="G42">
        <v>0</v>
      </c>
      <c r="H42">
        <v>33</v>
      </c>
      <c r="I42">
        <v>0</v>
      </c>
      <c r="J42">
        <f t="shared" si="0"/>
        <v>36</v>
      </c>
    </row>
    <row r="43" spans="2:10" x14ac:dyDescent="0.25">
      <c r="J43">
        <f>SUM(J2:J42)</f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Poetry </vt:lpstr>
      <vt:lpstr>Poetry-by-chapter</vt:lpstr>
      <vt:lpstr>Prose</vt:lpstr>
      <vt:lpstr>Psalms-by-group</vt:lpstr>
      <vt:lpstr>The Five Scrolls</vt:lpstr>
      <vt:lpstr>Torah</vt:lpstr>
      <vt:lpstr>Joshua-Judges</vt:lpstr>
      <vt:lpstr>Samuel</vt:lpstr>
      <vt:lpstr>Kings</vt:lpstr>
      <vt:lpstr>Isaiah</vt:lpstr>
      <vt:lpstr>Jeremiah</vt:lpstr>
      <vt:lpstr>Ezekiel</vt:lpstr>
      <vt:lpstr>The-Twelve</vt:lpstr>
      <vt:lpstr>Daniel-E-N</vt:lpstr>
      <vt:lpstr>Chronicles</vt:lpstr>
      <vt:lpstr>LBH-EBH</vt:lpstr>
      <vt:lpstr>TENOR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2025-08-23T15:25:11Z</dcterms:created>
  <dcterms:modified xsi:type="dcterms:W3CDTF">2025-10-24T06:57:55Z</dcterms:modified>
</cp:coreProperties>
</file>